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45913</v>
      </c>
      <c r="D4" t="inlineStr">
        <is>
          <t>JÄMTLANDS LÄN</t>
        </is>
      </c>
      <c r="E4" t="inlineStr">
        <is>
          <t>KROKOM</t>
        </is>
      </c>
      <c r="G4" t="n">
        <v>16.4</v>
      </c>
      <c r="H4" t="n">
        <v>2</v>
      </c>
      <c r="I4" t="n">
        <v>20</v>
      </c>
      <c r="J4" t="n">
        <v>15</v>
      </c>
      <c r="K4" t="n">
        <v>6</v>
      </c>
      <c r="L4" t="n">
        <v>1</v>
      </c>
      <c r="M4" t="n">
        <v>0</v>
      </c>
      <c r="N4" t="n">
        <v>0</v>
      </c>
      <c r="O4" t="n">
        <v>22</v>
      </c>
      <c r="P4" t="n">
        <v>7</v>
      </c>
      <c r="Q4" t="n">
        <v>42</v>
      </c>
      <c r="R4"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45913</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45913</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45913</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45913</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45913</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45913</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45913</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61459-2024</t>
        </is>
      </c>
      <c r="B19" s="1" t="n">
        <v>45646</v>
      </c>
      <c r="C19" s="1" t="n">
        <v>45913</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45913</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45913</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52647-2023</t>
        </is>
      </c>
      <c r="B22" s="1" t="n">
        <v>45219</v>
      </c>
      <c r="C22" s="1" t="n">
        <v>45913</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30145-2021</t>
        </is>
      </c>
      <c r="B23" s="1" t="n">
        <v>44363</v>
      </c>
      <c r="C23" s="1" t="n">
        <v>45913</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57461-2024</t>
        </is>
      </c>
      <c r="B24" s="1" t="n">
        <v>45630</v>
      </c>
      <c r="C24" s="1" t="n">
        <v>45913</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45913</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45913</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45913</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45913</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45913</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45913</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45913</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45913</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45913</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45913</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45913</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45913</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23499-2025</t>
        </is>
      </c>
      <c r="B37" s="1" t="n">
        <v>45792</v>
      </c>
      <c r="C37" s="1" t="n">
        <v>45913</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3005-2022</t>
        </is>
      </c>
      <c r="B38" s="1" t="n">
        <v>44581</v>
      </c>
      <c r="C38" s="1" t="n">
        <v>45913</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22078-2021</t>
        </is>
      </c>
      <c r="B39" s="1" t="n">
        <v>44323</v>
      </c>
      <c r="C39" s="1" t="n">
        <v>45913</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45913</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45913</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45913</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45913</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45913</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61388-2024</t>
        </is>
      </c>
      <c r="B45" s="1" t="n">
        <v>45646</v>
      </c>
      <c r="C45" s="1" t="n">
        <v>45913</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45913</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39503-2024</t>
        </is>
      </c>
      <c r="B47" s="1" t="n">
        <v>45551</v>
      </c>
      <c r="C47" s="1" t="n">
        <v>45913</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45913</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32351-2024</t>
        </is>
      </c>
      <c r="B49" s="1" t="n">
        <v>45512</v>
      </c>
      <c r="C49" s="1" t="n">
        <v>45913</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29997-2024</t>
        </is>
      </c>
      <c r="B50" s="1" t="n">
        <v>45488.56961805555</v>
      </c>
      <c r="C50" s="1" t="n">
        <v>45913</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36309-2024</t>
        </is>
      </c>
      <c r="B51" s="1" t="n">
        <v>45534</v>
      </c>
      <c r="C51" s="1" t="n">
        <v>45913</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60117-2024</t>
        </is>
      </c>
      <c r="B52" s="1" t="n">
        <v>45639</v>
      </c>
      <c r="C52" s="1" t="n">
        <v>45913</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34678-2022</t>
        </is>
      </c>
      <c r="B53" s="1" t="n">
        <v>44795</v>
      </c>
      <c r="C53" s="1" t="n">
        <v>45913</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45913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45913</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46038-2024</t>
        </is>
      </c>
      <c r="B56" s="1" t="n">
        <v>45580</v>
      </c>
      <c r="C56" s="1" t="n">
        <v>45913</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45913</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45913</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52574-2020</t>
        </is>
      </c>
      <c r="B59" s="1" t="n">
        <v>44118</v>
      </c>
      <c r="C59" s="1" t="n">
        <v>45913</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60372-2024</t>
        </is>
      </c>
      <c r="B60" s="1" t="n">
        <v>45643</v>
      </c>
      <c r="C60" s="1" t="n">
        <v>45913</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23661-2024</t>
        </is>
      </c>
      <c r="B61" s="1" t="n">
        <v>45454</v>
      </c>
      <c r="C61" s="1" t="n">
        <v>45913</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61749-2021</t>
        </is>
      </c>
      <c r="B62" s="1" t="n">
        <v>44498</v>
      </c>
      <c r="C62" s="1" t="n">
        <v>45913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45913</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45913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45913</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40206-2023</t>
        </is>
      </c>
      <c r="B66" s="1" t="n">
        <v>45169</v>
      </c>
      <c r="C66" s="1" t="n">
        <v>45913</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19014-2021</t>
        </is>
      </c>
      <c r="B67" s="1" t="n">
        <v>44308</v>
      </c>
      <c r="C67" s="1" t="n">
        <v>45913</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56568-2020</t>
        </is>
      </c>
      <c r="B68" s="1" t="n">
        <v>44133</v>
      </c>
      <c r="C68" s="1" t="n">
        <v>45913</v>
      </c>
      <c r="D68" t="inlineStr">
        <is>
          <t>JÄMTLANDS LÄN</t>
        </is>
      </c>
      <c r="E68" t="inlineStr">
        <is>
          <t>KROKOM</t>
        </is>
      </c>
      <c r="G68" t="n">
        <v>45.2</v>
      </c>
      <c r="H68" t="n">
        <v>2</v>
      </c>
      <c r="I68" t="n">
        <v>1</v>
      </c>
      <c r="J68" t="n">
        <v>7</v>
      </c>
      <c r="K68" t="n">
        <v>0</v>
      </c>
      <c r="L68" t="n">
        <v>0</v>
      </c>
      <c r="M68" t="n">
        <v>0</v>
      </c>
      <c r="N68" t="n">
        <v>0</v>
      </c>
      <c r="O68" t="n">
        <v>7</v>
      </c>
      <c r="P68" t="n">
        <v>0</v>
      </c>
      <c r="Q68" t="n">
        <v>8</v>
      </c>
      <c r="R68" s="2" t="inlineStr">
        <is>
          <t>Garnlav
Granticka
Gränsticka
Lunglav
Spillkråka
Tretåig hackspett
Ullticka
Trådticka</t>
        </is>
      </c>
      <c r="S68">
        <f>HYPERLINK("https://klasma.github.io/Logging_2309/artfynd/A 56568-2020 artfynd.xlsx", "A 56568-2020")</f>
        <v/>
      </c>
      <c r="T68">
        <f>HYPERLINK("https://klasma.github.io/Logging_2309/kartor/A 56568-2020 karta.png", "A 56568-2020")</f>
        <v/>
      </c>
      <c r="V68">
        <f>HYPERLINK("https://klasma.github.io/Logging_2309/klagomål/A 56568-2020 FSC-klagomål.docx", "A 56568-2020")</f>
        <v/>
      </c>
      <c r="W68">
        <f>HYPERLINK("https://klasma.github.io/Logging_2309/klagomålsmail/A 56568-2020 FSC-klagomål mail.docx", "A 56568-2020")</f>
        <v/>
      </c>
      <c r="X68">
        <f>HYPERLINK("https://klasma.github.io/Logging_2309/tillsyn/A 56568-2020 tillsynsbegäran.docx", "A 56568-2020")</f>
        <v/>
      </c>
      <c r="Y68">
        <f>HYPERLINK("https://klasma.github.io/Logging_2309/tillsynsmail/A 56568-2020 tillsynsbegäran mail.docx", "A 56568-2020")</f>
        <v/>
      </c>
      <c r="Z68">
        <f>HYPERLINK("https://klasma.github.io/Logging_2309/fåglar/A 56568-2020 prioriterade fågelarter.docx", "A 56568-2020")</f>
        <v/>
      </c>
    </row>
    <row r="69" ht="15" customHeight="1">
      <c r="A69" t="inlineStr">
        <is>
          <t>A 3433-2022</t>
        </is>
      </c>
      <c r="B69" s="1" t="n">
        <v>44585</v>
      </c>
      <c r="C69" s="1" t="n">
        <v>45913</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45913</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45913</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3134-2024</t>
        </is>
      </c>
      <c r="B72" s="1" t="n">
        <v>45316</v>
      </c>
      <c r="C72" s="1" t="n">
        <v>45913</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45913</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45913</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45913</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54140-2024</t>
        </is>
      </c>
      <c r="B76" s="1" t="n">
        <v>45616</v>
      </c>
      <c r="C76" s="1" t="n">
        <v>45913</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35884-2025</t>
        </is>
      </c>
      <c r="B77" s="1" t="n">
        <v>45862.42901620371</v>
      </c>
      <c r="C77" s="1" t="n">
        <v>45913</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45913</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12925-2021</t>
        </is>
      </c>
      <c r="B79" s="1" t="n">
        <v>44271</v>
      </c>
      <c r="C79" s="1" t="n">
        <v>45913</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45913</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45913</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45913</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11097-2024</t>
        </is>
      </c>
      <c r="B83" s="1" t="n">
        <v>45370</v>
      </c>
      <c r="C83" s="1" t="n">
        <v>45913</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22511-2021</t>
        </is>
      </c>
      <c r="B84" s="1" t="n">
        <v>44326</v>
      </c>
      <c r="C84" s="1" t="n">
        <v>45913</v>
      </c>
      <c r="D84" t="inlineStr">
        <is>
          <t>JÄMTLANDS LÄN</t>
        </is>
      </c>
      <c r="E84" t="inlineStr">
        <is>
          <t>KROKOM</t>
        </is>
      </c>
      <c r="G84" t="n">
        <v>6.9</v>
      </c>
      <c r="H84" t="n">
        <v>1</v>
      </c>
      <c r="I84" t="n">
        <v>0</v>
      </c>
      <c r="J84" t="n">
        <v>6</v>
      </c>
      <c r="K84" t="n">
        <v>0</v>
      </c>
      <c r="L84" t="n">
        <v>0</v>
      </c>
      <c r="M84" t="n">
        <v>0</v>
      </c>
      <c r="N84" t="n">
        <v>0</v>
      </c>
      <c r="O84" t="n">
        <v>6</v>
      </c>
      <c r="P84" t="n">
        <v>0</v>
      </c>
      <c r="Q84" t="n">
        <v>6</v>
      </c>
      <c r="R84" s="2" t="inlineStr">
        <is>
          <t>Doftskinn
Garnlav
Granticka
Harticka
Tretåig hackspett
Ullticka</t>
        </is>
      </c>
      <c r="S84">
        <f>HYPERLINK("https://klasma.github.io/Logging_2309/artfynd/A 22511-2021 artfynd.xlsx", "A 22511-2021")</f>
        <v/>
      </c>
      <c r="T84">
        <f>HYPERLINK("https://klasma.github.io/Logging_2309/kartor/A 22511-2021 karta.png", "A 22511-2021")</f>
        <v/>
      </c>
      <c r="V84">
        <f>HYPERLINK("https://klasma.github.io/Logging_2309/klagomål/A 22511-2021 FSC-klagomål.docx", "A 22511-2021")</f>
        <v/>
      </c>
      <c r="W84">
        <f>HYPERLINK("https://klasma.github.io/Logging_2309/klagomålsmail/A 22511-2021 FSC-klagomål mail.docx", "A 22511-2021")</f>
        <v/>
      </c>
      <c r="X84">
        <f>HYPERLINK("https://klasma.github.io/Logging_2309/tillsyn/A 22511-2021 tillsynsbegäran.docx", "A 22511-2021")</f>
        <v/>
      </c>
      <c r="Y84">
        <f>HYPERLINK("https://klasma.github.io/Logging_2309/tillsynsmail/A 22511-2021 tillsynsbegäran mail.docx", "A 22511-2021")</f>
        <v/>
      </c>
      <c r="Z84">
        <f>HYPERLINK("https://klasma.github.io/Logging_2309/fåglar/A 22511-2021 prioriterade fågelarter.docx", "A 22511-2021")</f>
        <v/>
      </c>
    </row>
    <row r="85" ht="15" customHeight="1">
      <c r="A85" t="inlineStr">
        <is>
          <t>A 56194-2021</t>
        </is>
      </c>
      <c r="B85" s="1" t="n">
        <v>44477</v>
      </c>
      <c r="C85" s="1" t="n">
        <v>45913</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45913</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45913</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58951-2023</t>
        </is>
      </c>
      <c r="B88" s="1" t="n">
        <v>45252</v>
      </c>
      <c r="C88" s="1" t="n">
        <v>45913</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35158-2022</t>
        </is>
      </c>
      <c r="B89" s="1" t="n">
        <v>44797</v>
      </c>
      <c r="C89" s="1" t="n">
        <v>45913</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45913</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16978-2025</t>
        </is>
      </c>
      <c r="B91" s="1" t="n">
        <v>45755.47527777778</v>
      </c>
      <c r="C91" s="1" t="n">
        <v>45913</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45913</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45913</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45913</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30921-2025</t>
        </is>
      </c>
      <c r="B95" s="1" t="n">
        <v>45832.38581018519</v>
      </c>
      <c r="C95" s="1" t="n">
        <v>45913</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45913</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45913</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45913</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59619-2020</t>
        </is>
      </c>
      <c r="B99" s="1" t="n">
        <v>44150</v>
      </c>
      <c r="C99" s="1" t="n">
        <v>45913</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36995-2025</t>
        </is>
      </c>
      <c r="B100" s="1" t="n">
        <v>45874.67765046296</v>
      </c>
      <c r="C100" s="1" t="n">
        <v>45913</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32658-2025</t>
        </is>
      </c>
      <c r="B101" s="1" t="n">
        <v>45838.67858796296</v>
      </c>
      <c r="C101" s="1" t="n">
        <v>45913</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39118-2025</t>
        </is>
      </c>
      <c r="B102" s="1" t="n">
        <v>45888.55305555555</v>
      </c>
      <c r="C102" s="1" t="n">
        <v>45913</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48914-2021</t>
        </is>
      </c>
      <c r="B103" s="1" t="n">
        <v>44452</v>
      </c>
      <c r="C103" s="1" t="n">
        <v>45913</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45913</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59039-2022</t>
        </is>
      </c>
      <c r="B105" s="1" t="n">
        <v>44903</v>
      </c>
      <c r="C105" s="1" t="n">
        <v>45913</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71570-2021</t>
        </is>
      </c>
      <c r="B106" s="1" t="n">
        <v>44540</v>
      </c>
      <c r="C106" s="1" t="n">
        <v>45913</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35749-2024</t>
        </is>
      </c>
      <c r="B107" s="1" t="n">
        <v>45532</v>
      </c>
      <c r="C107" s="1" t="n">
        <v>45913</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39487-2024</t>
        </is>
      </c>
      <c r="B108" s="1" t="n">
        <v>45551</v>
      </c>
      <c r="C108" s="1" t="n">
        <v>45913</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53815-2024</t>
        </is>
      </c>
      <c r="B109" s="1" t="n">
        <v>45615</v>
      </c>
      <c r="C109" s="1" t="n">
        <v>45913</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72538-2021</t>
        </is>
      </c>
      <c r="B110" s="1" t="n">
        <v>44546</v>
      </c>
      <c r="C110" s="1" t="n">
        <v>45913</v>
      </c>
      <c r="D110" t="inlineStr">
        <is>
          <t>JÄMTLANDS LÄN</t>
        </is>
      </c>
      <c r="E110" t="inlineStr">
        <is>
          <t>KROKOM</t>
        </is>
      </c>
      <c r="F110" t="inlineStr">
        <is>
          <t>Övriga Aktiebolag</t>
        </is>
      </c>
      <c r="G110" t="n">
        <v>23.4</v>
      </c>
      <c r="H110" t="n">
        <v>0</v>
      </c>
      <c r="I110" t="n">
        <v>0</v>
      </c>
      <c r="J110" t="n">
        <v>5</v>
      </c>
      <c r="K110" t="n">
        <v>0</v>
      </c>
      <c r="L110" t="n">
        <v>0</v>
      </c>
      <c r="M110" t="n">
        <v>0</v>
      </c>
      <c r="N110" t="n">
        <v>0</v>
      </c>
      <c r="O110" t="n">
        <v>5</v>
      </c>
      <c r="P110" t="n">
        <v>0</v>
      </c>
      <c r="Q110" t="n">
        <v>5</v>
      </c>
      <c r="R110" s="2" t="inlineStr">
        <is>
          <t>Garnlav
Granticka
Gränsticka
Stjärntagging
Vitgrynig nållav</t>
        </is>
      </c>
      <c r="S110">
        <f>HYPERLINK("https://klasma.github.io/Logging_2309/artfynd/A 72538-2021 artfynd.xlsx", "A 72538-2021")</f>
        <v/>
      </c>
      <c r="T110">
        <f>HYPERLINK("https://klasma.github.io/Logging_2309/kartor/A 72538-2021 karta.png", "A 72538-2021")</f>
        <v/>
      </c>
      <c r="V110">
        <f>HYPERLINK("https://klasma.github.io/Logging_2309/klagomål/A 72538-2021 FSC-klagomål.docx", "A 72538-2021")</f>
        <v/>
      </c>
      <c r="W110">
        <f>HYPERLINK("https://klasma.github.io/Logging_2309/klagomålsmail/A 72538-2021 FSC-klagomål mail.docx", "A 72538-2021")</f>
        <v/>
      </c>
      <c r="X110">
        <f>HYPERLINK("https://klasma.github.io/Logging_2309/tillsyn/A 72538-2021 tillsynsbegäran.docx", "A 72538-2021")</f>
        <v/>
      </c>
      <c r="Y110">
        <f>HYPERLINK("https://klasma.github.io/Logging_2309/tillsynsmail/A 72538-2021 tillsynsbegäran mail.docx", "A 72538-2021")</f>
        <v/>
      </c>
    </row>
    <row r="111" ht="15" customHeight="1">
      <c r="A111" t="inlineStr">
        <is>
          <t>A 11319-2025</t>
        </is>
      </c>
      <c r="B111" s="1" t="n">
        <v>45726.46192129629</v>
      </c>
      <c r="C111" s="1" t="n">
        <v>45913</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45913</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45913</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45913</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45913</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56312-2024</t>
        </is>
      </c>
      <c r="B116" s="1" t="n">
        <v>45624</v>
      </c>
      <c r="C116" s="1" t="n">
        <v>45913</v>
      </c>
      <c r="D116" t="inlineStr">
        <is>
          <t>JÄMTLANDS LÄN</t>
        </is>
      </c>
      <c r="E116" t="inlineStr">
        <is>
          <t>KROKOM</t>
        </is>
      </c>
      <c r="G116" t="n">
        <v>7.2</v>
      </c>
      <c r="H116" t="n">
        <v>2</v>
      </c>
      <c r="I116" t="n">
        <v>0</v>
      </c>
      <c r="J116" t="n">
        <v>4</v>
      </c>
      <c r="K116" t="n">
        <v>0</v>
      </c>
      <c r="L116" t="n">
        <v>0</v>
      </c>
      <c r="M116" t="n">
        <v>0</v>
      </c>
      <c r="N116" t="n">
        <v>0</v>
      </c>
      <c r="O116" t="n">
        <v>4</v>
      </c>
      <c r="P116" t="n">
        <v>0</v>
      </c>
      <c r="Q116" t="n">
        <v>4</v>
      </c>
      <c r="R116" s="2" t="inlineStr">
        <is>
          <t>Granticka
Spillkråka
Tretåig hackspett
Ullticka</t>
        </is>
      </c>
      <c r="S116">
        <f>HYPERLINK("https://klasma.github.io/Logging_2309/artfynd/A 56312-2024 artfynd.xlsx", "A 56312-2024")</f>
        <v/>
      </c>
      <c r="T116">
        <f>HYPERLINK("https://klasma.github.io/Logging_2309/kartor/A 56312-2024 karta.png", "A 56312-2024")</f>
        <v/>
      </c>
      <c r="V116">
        <f>HYPERLINK("https://klasma.github.io/Logging_2309/klagomål/A 56312-2024 FSC-klagomål.docx", "A 56312-2024")</f>
        <v/>
      </c>
      <c r="W116">
        <f>HYPERLINK("https://klasma.github.io/Logging_2309/klagomålsmail/A 56312-2024 FSC-klagomål mail.docx", "A 56312-2024")</f>
        <v/>
      </c>
      <c r="X116">
        <f>HYPERLINK("https://klasma.github.io/Logging_2309/tillsyn/A 56312-2024 tillsynsbegäran.docx", "A 56312-2024")</f>
        <v/>
      </c>
      <c r="Y116">
        <f>HYPERLINK("https://klasma.github.io/Logging_2309/tillsynsmail/A 56312-2024 tillsynsbegäran mail.docx", "A 56312-2024")</f>
        <v/>
      </c>
      <c r="Z116">
        <f>HYPERLINK("https://klasma.github.io/Logging_2309/fåglar/A 56312-2024 prioriterade fågelarter.docx", "A 56312-2024")</f>
        <v/>
      </c>
    </row>
    <row r="117" ht="15" customHeight="1">
      <c r="A117" t="inlineStr">
        <is>
          <t>A 40179-2023</t>
        </is>
      </c>
      <c r="B117" s="1" t="n">
        <v>45169</v>
      </c>
      <c r="C117" s="1" t="n">
        <v>45913</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73935-2021</t>
        </is>
      </c>
      <c r="B118" s="1" t="n">
        <v>44553</v>
      </c>
      <c r="C118" s="1" t="n">
        <v>45913</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49178-2024</t>
        </is>
      </c>
      <c r="B119" s="1" t="n">
        <v>45595</v>
      </c>
      <c r="C119" s="1" t="n">
        <v>45913</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60566-2022</t>
        </is>
      </c>
      <c r="B120" s="1" t="n">
        <v>44904</v>
      </c>
      <c r="C120" s="1" t="n">
        <v>45913</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18940-2025</t>
        </is>
      </c>
      <c r="B121" s="1" t="n">
        <v>45764</v>
      </c>
      <c r="C121" s="1" t="n">
        <v>45913</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65901-2020</t>
        </is>
      </c>
      <c r="B122" s="1" t="n">
        <v>44174</v>
      </c>
      <c r="C122" s="1" t="n">
        <v>45913</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6682-2023</t>
        </is>
      </c>
      <c r="B123" s="1" t="n">
        <v>44966</v>
      </c>
      <c r="C123" s="1" t="n">
        <v>45913</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53363-2022</t>
        </is>
      </c>
      <c r="B124" s="1" t="n">
        <v>44879</v>
      </c>
      <c r="C124" s="1" t="n">
        <v>45913</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13383-2025</t>
        </is>
      </c>
      <c r="B125" s="1" t="n">
        <v>45735</v>
      </c>
      <c r="C125" s="1" t="n">
        <v>45913</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45913</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35023-2024</t>
        </is>
      </c>
      <c r="B127" s="1" t="n">
        <v>45527</v>
      </c>
      <c r="C127" s="1" t="n">
        <v>45913</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34855-2025</t>
        </is>
      </c>
      <c r="B128" s="1" t="n">
        <v>45849.42818287037</v>
      </c>
      <c r="C128" s="1" t="n">
        <v>45913</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55224-2024</t>
        </is>
      </c>
      <c r="B129" s="1" t="n">
        <v>45621</v>
      </c>
      <c r="C129" s="1" t="n">
        <v>45913</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45913</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54427-2024</t>
        </is>
      </c>
      <c r="B131" s="1" t="n">
        <v>45617</v>
      </c>
      <c r="C131" s="1" t="n">
        <v>45913</v>
      </c>
      <c r="D131" t="inlineStr">
        <is>
          <t>JÄMTLANDS LÄN</t>
        </is>
      </c>
      <c r="E131" t="inlineStr">
        <is>
          <t>KROKOM</t>
        </is>
      </c>
      <c r="G131" t="n">
        <v>22.2</v>
      </c>
      <c r="H131" t="n">
        <v>2</v>
      </c>
      <c r="I131" t="n">
        <v>0</v>
      </c>
      <c r="J131" t="n">
        <v>3</v>
      </c>
      <c r="K131" t="n">
        <v>0</v>
      </c>
      <c r="L131" t="n">
        <v>0</v>
      </c>
      <c r="M131" t="n">
        <v>0</v>
      </c>
      <c r="N131" t="n">
        <v>0</v>
      </c>
      <c r="O131" t="n">
        <v>3</v>
      </c>
      <c r="P131" t="n">
        <v>0</v>
      </c>
      <c r="Q131" t="n">
        <v>4</v>
      </c>
      <c r="R131" s="2" t="inlineStr">
        <is>
          <t>Garnlav
Granticka
Tretåig hackspett
Lavskrika</t>
        </is>
      </c>
      <c r="S131">
        <f>HYPERLINK("https://klasma.github.io/Logging_2309/artfynd/A 54427-2024 artfynd.xlsx", "A 54427-2024")</f>
        <v/>
      </c>
      <c r="T131">
        <f>HYPERLINK("https://klasma.github.io/Logging_2309/kartor/A 54427-2024 karta.png", "A 54427-2024")</f>
        <v/>
      </c>
      <c r="V131">
        <f>HYPERLINK("https://klasma.github.io/Logging_2309/klagomål/A 54427-2024 FSC-klagomål.docx", "A 54427-2024")</f>
        <v/>
      </c>
      <c r="W131">
        <f>HYPERLINK("https://klasma.github.io/Logging_2309/klagomålsmail/A 54427-2024 FSC-klagomål mail.docx", "A 54427-2024")</f>
        <v/>
      </c>
      <c r="X131">
        <f>HYPERLINK("https://klasma.github.io/Logging_2309/tillsyn/A 54427-2024 tillsynsbegäran.docx", "A 54427-2024")</f>
        <v/>
      </c>
      <c r="Y131">
        <f>HYPERLINK("https://klasma.github.io/Logging_2309/tillsynsmail/A 54427-2024 tillsynsbegäran mail.docx", "A 54427-2024")</f>
        <v/>
      </c>
      <c r="Z131">
        <f>HYPERLINK("https://klasma.github.io/Logging_2309/fåglar/A 54427-2024 prioriterade fågelarter.docx", "A 54427-2024")</f>
        <v/>
      </c>
    </row>
    <row r="132" ht="15" customHeight="1">
      <c r="A132" t="inlineStr">
        <is>
          <t>A 62113-2024</t>
        </is>
      </c>
      <c r="B132" s="1" t="n">
        <v>45656.54600694445</v>
      </c>
      <c r="C132" s="1" t="n">
        <v>45913</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32148-2024</t>
        </is>
      </c>
      <c r="B133" s="1" t="n">
        <v>45511.55719907407</v>
      </c>
      <c r="C133" s="1" t="n">
        <v>45913</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71573-2021</t>
        </is>
      </c>
      <c r="B134" s="1" t="n">
        <v>44540</v>
      </c>
      <c r="C134" s="1" t="n">
        <v>45913</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62731-2023</t>
        </is>
      </c>
      <c r="B135" s="1" t="n">
        <v>45271</v>
      </c>
      <c r="C135" s="1" t="n">
        <v>45913</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45913</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45913</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29035-2025</t>
        </is>
      </c>
      <c r="B138" s="1" t="n">
        <v>45821.44299768518</v>
      </c>
      <c r="C138" s="1" t="n">
        <v>45913</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11439-2024</t>
        </is>
      </c>
      <c r="B139" s="1" t="n">
        <v>45372</v>
      </c>
      <c r="C139" s="1" t="n">
        <v>45913</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45913</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50431-2023</t>
        </is>
      </c>
      <c r="B141" s="1" t="n">
        <v>45216.67748842593</v>
      </c>
      <c r="C141" s="1" t="n">
        <v>45913</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45913</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45913</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30068-2022</t>
        </is>
      </c>
      <c r="B144" s="1" t="n">
        <v>44757</v>
      </c>
      <c r="C144" s="1" t="n">
        <v>45913</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38966-2025</t>
        </is>
      </c>
      <c r="B145" s="1" t="n">
        <v>45887.6989699074</v>
      </c>
      <c r="C145" s="1" t="n">
        <v>45913</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45913</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57468-2024</t>
        </is>
      </c>
      <c r="B147" s="1" t="n">
        <v>45630</v>
      </c>
      <c r="C147" s="1" t="n">
        <v>45913</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44869-2022</t>
        </is>
      </c>
      <c r="B148" s="1" t="n">
        <v>44841</v>
      </c>
      <c r="C148" s="1" t="n">
        <v>45913</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36009-2025</t>
        </is>
      </c>
      <c r="B149" s="1" t="n">
        <v>45863.58127314815</v>
      </c>
      <c r="C149" s="1" t="n">
        <v>45913</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54494-2023</t>
        </is>
      </c>
      <c r="B150" s="1" t="n">
        <v>45233</v>
      </c>
      <c r="C150" s="1" t="n">
        <v>45913</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51663-2022</t>
        </is>
      </c>
      <c r="B151" s="1" t="n">
        <v>44867</v>
      </c>
      <c r="C151" s="1" t="n">
        <v>45913</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2592-2024</t>
        </is>
      </c>
      <c r="B152" s="1" t="n">
        <v>45313</v>
      </c>
      <c r="C152" s="1" t="n">
        <v>45913</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5278-2025</t>
        </is>
      </c>
      <c r="B153" s="1" t="n">
        <v>45692</v>
      </c>
      <c r="C153" s="1" t="n">
        <v>45913</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45913</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45913</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45913</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45913</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45913</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45913</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30060-2022</t>
        </is>
      </c>
      <c r="B160" s="1" t="n">
        <v>44757</v>
      </c>
      <c r="C160" s="1" t="n">
        <v>45913</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62453-2023</t>
        </is>
      </c>
      <c r="B161" s="1" t="n">
        <v>45268</v>
      </c>
      <c r="C161" s="1" t="n">
        <v>45913</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11984-2024</t>
        </is>
      </c>
      <c r="B162" s="1" t="n">
        <v>45376</v>
      </c>
      <c r="C162" s="1" t="n">
        <v>45913</v>
      </c>
      <c r="D162" t="inlineStr">
        <is>
          <t>JÄMTLANDS LÄN</t>
        </is>
      </c>
      <c r="E162" t="inlineStr">
        <is>
          <t>KROKOM</t>
        </is>
      </c>
      <c r="F162" t="inlineStr">
        <is>
          <t>SCA</t>
        </is>
      </c>
      <c r="G162" t="n">
        <v>11.8</v>
      </c>
      <c r="H162" t="n">
        <v>0</v>
      </c>
      <c r="I162" t="n">
        <v>0</v>
      </c>
      <c r="J162" t="n">
        <v>2</v>
      </c>
      <c r="K162" t="n">
        <v>0</v>
      </c>
      <c r="L162" t="n">
        <v>0</v>
      </c>
      <c r="M162" t="n">
        <v>0</v>
      </c>
      <c r="N162" t="n">
        <v>0</v>
      </c>
      <c r="O162" t="n">
        <v>2</v>
      </c>
      <c r="P162" t="n">
        <v>0</v>
      </c>
      <c r="Q162" t="n">
        <v>2</v>
      </c>
      <c r="R162" s="2" t="inlineStr">
        <is>
          <t>Garnlav
Granticka</t>
        </is>
      </c>
      <c r="S162">
        <f>HYPERLINK("https://klasma.github.io/Logging_2309/artfynd/A 11984-2024 artfynd.xlsx", "A 11984-2024")</f>
        <v/>
      </c>
      <c r="T162">
        <f>HYPERLINK("https://klasma.github.io/Logging_2309/kartor/A 11984-2024 karta.png", "A 11984-2024")</f>
        <v/>
      </c>
      <c r="V162">
        <f>HYPERLINK("https://klasma.github.io/Logging_2309/klagomål/A 11984-2024 FSC-klagomål.docx", "A 11984-2024")</f>
        <v/>
      </c>
      <c r="W162">
        <f>HYPERLINK("https://klasma.github.io/Logging_2309/klagomålsmail/A 11984-2024 FSC-klagomål mail.docx", "A 11984-2024")</f>
        <v/>
      </c>
      <c r="X162">
        <f>HYPERLINK("https://klasma.github.io/Logging_2309/tillsyn/A 11984-2024 tillsynsbegäran.docx", "A 11984-2024")</f>
        <v/>
      </c>
      <c r="Y162">
        <f>HYPERLINK("https://klasma.github.io/Logging_2309/tillsynsmail/A 11984-2024 tillsynsbegäran mail.docx", "A 11984-2024")</f>
        <v/>
      </c>
    </row>
    <row r="163" ht="15" customHeight="1">
      <c r="A163" t="inlineStr">
        <is>
          <t>A 23730-2025</t>
        </is>
      </c>
      <c r="B163" s="1" t="n">
        <v>45793.4189699074</v>
      </c>
      <c r="C163" s="1" t="n">
        <v>45913</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71571-2021</t>
        </is>
      </c>
      <c r="B164" s="1" t="n">
        <v>44540</v>
      </c>
      <c r="C164" s="1" t="n">
        <v>45913</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25952-2025</t>
        </is>
      </c>
      <c r="B165" s="1" t="n">
        <v>45804.60005787037</v>
      </c>
      <c r="C165" s="1" t="n">
        <v>45913</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40236-2024</t>
        </is>
      </c>
      <c r="B166" s="1" t="n">
        <v>45554</v>
      </c>
      <c r="C166" s="1" t="n">
        <v>45913</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1698-2021</t>
        </is>
      </c>
      <c r="B167" s="1" t="n">
        <v>44209</v>
      </c>
      <c r="C167" s="1" t="n">
        <v>45913</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18032-2022</t>
        </is>
      </c>
      <c r="B168" s="1" t="n">
        <v>44683</v>
      </c>
      <c r="C168" s="1" t="n">
        <v>45913</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7575-2024</t>
        </is>
      </c>
      <c r="B169" s="1" t="n">
        <v>45348</v>
      </c>
      <c r="C169" s="1" t="n">
        <v>45913</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37509-2025</t>
        </is>
      </c>
      <c r="B170" s="1" t="n">
        <v>45877.67787037037</v>
      </c>
      <c r="C170" s="1" t="n">
        <v>45913</v>
      </c>
      <c r="D170" t="inlineStr">
        <is>
          <t>JÄMTLANDS LÄN</t>
        </is>
      </c>
      <c r="E170" t="inlineStr">
        <is>
          <t>KROKOM</t>
        </is>
      </c>
      <c r="F170" t="inlineStr">
        <is>
          <t>SCA</t>
        </is>
      </c>
      <c r="G170" t="n">
        <v>13.6</v>
      </c>
      <c r="H170" t="n">
        <v>0</v>
      </c>
      <c r="I170" t="n">
        <v>0</v>
      </c>
      <c r="J170" t="n">
        <v>1</v>
      </c>
      <c r="K170" t="n">
        <v>1</v>
      </c>
      <c r="L170" t="n">
        <v>0</v>
      </c>
      <c r="M170" t="n">
        <v>0</v>
      </c>
      <c r="N170" t="n">
        <v>0</v>
      </c>
      <c r="O170" t="n">
        <v>2</v>
      </c>
      <c r="P170" t="n">
        <v>1</v>
      </c>
      <c r="Q170" t="n">
        <v>2</v>
      </c>
      <c r="R170" s="2" t="inlineStr">
        <is>
          <t>Gräddporing
Skrovellav</t>
        </is>
      </c>
      <c r="S170">
        <f>HYPERLINK("https://klasma.github.io/Logging_2309/artfynd/A 37509-2025 artfynd.xlsx", "A 37509-2025")</f>
        <v/>
      </c>
      <c r="T170">
        <f>HYPERLINK("https://klasma.github.io/Logging_2309/kartor/A 37509-2025 karta.png", "A 37509-2025")</f>
        <v/>
      </c>
      <c r="V170">
        <f>HYPERLINK("https://klasma.github.io/Logging_2309/klagomål/A 37509-2025 FSC-klagomål.docx", "A 37509-2025")</f>
        <v/>
      </c>
      <c r="W170">
        <f>HYPERLINK("https://klasma.github.io/Logging_2309/klagomålsmail/A 37509-2025 FSC-klagomål mail.docx", "A 37509-2025")</f>
        <v/>
      </c>
      <c r="X170">
        <f>HYPERLINK("https://klasma.github.io/Logging_2309/tillsyn/A 37509-2025 tillsynsbegäran.docx", "A 37509-2025")</f>
        <v/>
      </c>
      <c r="Y170">
        <f>HYPERLINK("https://klasma.github.io/Logging_2309/tillsynsmail/A 37509-2025 tillsynsbegäran mail.docx", "A 37509-2025")</f>
        <v/>
      </c>
    </row>
    <row r="171" ht="15" customHeight="1">
      <c r="A171" t="inlineStr">
        <is>
          <t>A 60419-2024</t>
        </is>
      </c>
      <c r="B171" s="1" t="n">
        <v>45643.53393518519</v>
      </c>
      <c r="C171" s="1" t="n">
        <v>45913</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45913</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35891-2025</t>
        </is>
      </c>
      <c r="B173" s="1" t="n">
        <v>45862</v>
      </c>
      <c r="C173" s="1" t="n">
        <v>45913</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49386-2024</t>
        </is>
      </c>
      <c r="B174" s="1" t="n">
        <v>45595</v>
      </c>
      <c r="C174" s="1" t="n">
        <v>45913</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40508-2025</t>
        </is>
      </c>
      <c r="B175" s="1" t="n">
        <v>45896.34465277778</v>
      </c>
      <c r="C175" s="1" t="n">
        <v>45913</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61692-2024</t>
        </is>
      </c>
      <c r="B176" s="1" t="n">
        <v>45647</v>
      </c>
      <c r="C176" s="1" t="n">
        <v>45913</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36011-2025</t>
        </is>
      </c>
      <c r="B177" s="1" t="n">
        <v>45863.59111111111</v>
      </c>
      <c r="C177" s="1" t="n">
        <v>45913</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14589-2021</t>
        </is>
      </c>
      <c r="B178" s="1" t="n">
        <v>44279</v>
      </c>
      <c r="C178" s="1" t="n">
        <v>45913</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36445-2025</t>
        </is>
      </c>
      <c r="B179" s="1" t="n">
        <v>45869</v>
      </c>
      <c r="C179" s="1" t="n">
        <v>45913</v>
      </c>
      <c r="D179" t="inlineStr">
        <is>
          <t>JÄMTLANDS LÄN</t>
        </is>
      </c>
      <c r="E179" t="inlineStr">
        <is>
          <t>KROKOM</t>
        </is>
      </c>
      <c r="F179" t="inlineStr">
        <is>
          <t>SCA</t>
        </is>
      </c>
      <c r="G179" t="n">
        <v>12.8</v>
      </c>
      <c r="H179" t="n">
        <v>0</v>
      </c>
      <c r="I179" t="n">
        <v>0</v>
      </c>
      <c r="J179" t="n">
        <v>2</v>
      </c>
      <c r="K179" t="n">
        <v>0</v>
      </c>
      <c r="L179" t="n">
        <v>0</v>
      </c>
      <c r="M179" t="n">
        <v>0</v>
      </c>
      <c r="N179" t="n">
        <v>0</v>
      </c>
      <c r="O179" t="n">
        <v>2</v>
      </c>
      <c r="P179" t="n">
        <v>0</v>
      </c>
      <c r="Q179" t="n">
        <v>2</v>
      </c>
      <c r="R179" s="2" t="inlineStr">
        <is>
          <t>Ullticka
Vitgrynig nållav</t>
        </is>
      </c>
      <c r="S179">
        <f>HYPERLINK("https://klasma.github.io/Logging_2309/artfynd/A 36445-2025 artfynd.xlsx", "A 36445-2025")</f>
        <v/>
      </c>
      <c r="T179">
        <f>HYPERLINK("https://klasma.github.io/Logging_2309/kartor/A 36445-2025 karta.png", "A 36445-2025")</f>
        <v/>
      </c>
      <c r="V179">
        <f>HYPERLINK("https://klasma.github.io/Logging_2309/klagomål/A 36445-2025 FSC-klagomål.docx", "A 36445-2025")</f>
        <v/>
      </c>
      <c r="W179">
        <f>HYPERLINK("https://klasma.github.io/Logging_2309/klagomålsmail/A 36445-2025 FSC-klagomål mail.docx", "A 36445-2025")</f>
        <v/>
      </c>
      <c r="X179">
        <f>HYPERLINK("https://klasma.github.io/Logging_2309/tillsyn/A 36445-2025 tillsynsbegäran.docx", "A 36445-2025")</f>
        <v/>
      </c>
      <c r="Y179">
        <f>HYPERLINK("https://klasma.github.io/Logging_2309/tillsynsmail/A 36445-2025 tillsynsbegäran mail.docx", "A 36445-2025")</f>
        <v/>
      </c>
    </row>
    <row r="180" ht="15" customHeight="1">
      <c r="A180" t="inlineStr">
        <is>
          <t>A 54189-2022</t>
        </is>
      </c>
      <c r="B180" s="1" t="n">
        <v>44879</v>
      </c>
      <c r="C180" s="1" t="n">
        <v>45913</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45913</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48863-2020</t>
        </is>
      </c>
      <c r="B182" s="1" t="n">
        <v>44099</v>
      </c>
      <c r="C182" s="1" t="n">
        <v>45913</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45913</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45626-2020</t>
        </is>
      </c>
      <c r="B184" s="1" t="n">
        <v>44090</v>
      </c>
      <c r="C184" s="1" t="n">
        <v>45913</v>
      </c>
      <c r="D184" t="inlineStr">
        <is>
          <t>JÄMTLANDS LÄN</t>
        </is>
      </c>
      <c r="E184" t="inlineStr">
        <is>
          <t>KROKOM</t>
        </is>
      </c>
      <c r="G184" t="n">
        <v>1</v>
      </c>
      <c r="H184" t="n">
        <v>0</v>
      </c>
      <c r="I184" t="n">
        <v>0</v>
      </c>
      <c r="J184" t="n">
        <v>1</v>
      </c>
      <c r="K184" t="n">
        <v>0</v>
      </c>
      <c r="L184" t="n">
        <v>0</v>
      </c>
      <c r="M184" t="n">
        <v>0</v>
      </c>
      <c r="N184" t="n">
        <v>0</v>
      </c>
      <c r="O184" t="n">
        <v>1</v>
      </c>
      <c r="P184" t="n">
        <v>0</v>
      </c>
      <c r="Q184" t="n">
        <v>1</v>
      </c>
      <c r="R184" s="2" t="inlineStr">
        <is>
          <t>Dofttaggsvamp</t>
        </is>
      </c>
      <c r="S184">
        <f>HYPERLINK("https://klasma.github.io/Logging_2309/artfynd/A 45626-2020 artfynd.xlsx", "A 45626-2020")</f>
        <v/>
      </c>
      <c r="T184">
        <f>HYPERLINK("https://klasma.github.io/Logging_2309/kartor/A 45626-2020 karta.png", "A 45626-2020")</f>
        <v/>
      </c>
      <c r="V184">
        <f>HYPERLINK("https://klasma.github.io/Logging_2309/klagomål/A 45626-2020 FSC-klagomål.docx", "A 45626-2020")</f>
        <v/>
      </c>
      <c r="W184">
        <f>HYPERLINK("https://klasma.github.io/Logging_2309/klagomålsmail/A 45626-2020 FSC-klagomål mail.docx", "A 45626-2020")</f>
        <v/>
      </c>
      <c r="X184">
        <f>HYPERLINK("https://klasma.github.io/Logging_2309/tillsyn/A 45626-2020 tillsynsbegäran.docx", "A 45626-2020")</f>
        <v/>
      </c>
      <c r="Y184">
        <f>HYPERLINK("https://klasma.github.io/Logging_2309/tillsynsmail/A 45626-2020 tillsynsbegäran mail.docx", "A 45626-2020")</f>
        <v/>
      </c>
    </row>
    <row r="185" ht="15" customHeight="1">
      <c r="A185" t="inlineStr">
        <is>
          <t>A 64951-2021</t>
        </is>
      </c>
      <c r="B185" s="1" t="n">
        <v>44512</v>
      </c>
      <c r="C185" s="1" t="n">
        <v>45913</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45913</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45913</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45913</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25041-2022</t>
        </is>
      </c>
      <c r="B189" s="1" t="n">
        <v>44728</v>
      </c>
      <c r="C189" s="1" t="n">
        <v>45913</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35246-2022</t>
        </is>
      </c>
      <c r="B190" s="1" t="n">
        <v>44797</v>
      </c>
      <c r="C190" s="1" t="n">
        <v>45913</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45913</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1112-2021</t>
        </is>
      </c>
      <c r="B192" s="1" t="n">
        <v>44207</v>
      </c>
      <c r="C192" s="1" t="n">
        <v>45913</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33347-2021</t>
        </is>
      </c>
      <c r="B193" s="1" t="n">
        <v>44377</v>
      </c>
      <c r="C193" s="1" t="n">
        <v>45913</v>
      </c>
      <c r="D193" t="inlineStr">
        <is>
          <t>JÄMTLANDS LÄN</t>
        </is>
      </c>
      <c r="E193" t="inlineStr">
        <is>
          <t>KROKOM</t>
        </is>
      </c>
      <c r="F193" t="inlineStr">
        <is>
          <t>Övriga Aktiebolag</t>
        </is>
      </c>
      <c r="G193" t="n">
        <v>4.9</v>
      </c>
      <c r="H193" t="n">
        <v>1</v>
      </c>
      <c r="I193" t="n">
        <v>0</v>
      </c>
      <c r="J193" t="n">
        <v>0</v>
      </c>
      <c r="K193" t="n">
        <v>1</v>
      </c>
      <c r="L193" t="n">
        <v>0</v>
      </c>
      <c r="M193" t="n">
        <v>0</v>
      </c>
      <c r="N193" t="n">
        <v>0</v>
      </c>
      <c r="O193" t="n">
        <v>1</v>
      </c>
      <c r="P193" t="n">
        <v>1</v>
      </c>
      <c r="Q193" t="n">
        <v>1</v>
      </c>
      <c r="R193" s="2" t="inlineStr">
        <is>
          <t>Doftticka</t>
        </is>
      </c>
      <c r="S193">
        <f>HYPERLINK("https://klasma.github.io/Logging_2309/artfynd/A 33347-2021 artfynd.xlsx", "A 33347-2021")</f>
        <v/>
      </c>
      <c r="T193">
        <f>HYPERLINK("https://klasma.github.io/Logging_2309/kartor/A 33347-2021 karta.png", "A 33347-2021")</f>
        <v/>
      </c>
      <c r="V193">
        <f>HYPERLINK("https://klasma.github.io/Logging_2309/klagomål/A 33347-2021 FSC-klagomål.docx", "A 33347-2021")</f>
        <v/>
      </c>
      <c r="W193">
        <f>HYPERLINK("https://klasma.github.io/Logging_2309/klagomålsmail/A 33347-2021 FSC-klagomål mail.docx", "A 33347-2021")</f>
        <v/>
      </c>
      <c r="X193">
        <f>HYPERLINK("https://klasma.github.io/Logging_2309/tillsyn/A 33347-2021 tillsynsbegäran.docx", "A 33347-2021")</f>
        <v/>
      </c>
      <c r="Y193">
        <f>HYPERLINK("https://klasma.github.io/Logging_2309/tillsynsmail/A 33347-2021 tillsynsbegäran mail.docx", "A 33347-2021")</f>
        <v/>
      </c>
    </row>
    <row r="194" ht="15" customHeight="1">
      <c r="A194" t="inlineStr">
        <is>
          <t>A 32756-2023</t>
        </is>
      </c>
      <c r="B194" s="1" t="n">
        <v>45123</v>
      </c>
      <c r="C194" s="1" t="n">
        <v>45913</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55387-2024</t>
        </is>
      </c>
      <c r="B195" s="1" t="n">
        <v>45622</v>
      </c>
      <c r="C195" s="1" t="n">
        <v>45913</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7005-2022</t>
        </is>
      </c>
      <c r="B196" s="1" t="n">
        <v>44603</v>
      </c>
      <c r="C196" s="1" t="n">
        <v>45913</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49388-2024</t>
        </is>
      </c>
      <c r="B197" s="1" t="n">
        <v>45595</v>
      </c>
      <c r="C197" s="1" t="n">
        <v>45913</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25285-2023</t>
        </is>
      </c>
      <c r="B198" s="1" t="n">
        <v>45079</v>
      </c>
      <c r="C198" s="1" t="n">
        <v>45913</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45913</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25268-2025</t>
        </is>
      </c>
      <c r="B200" s="1" t="n">
        <v>45800</v>
      </c>
      <c r="C200" s="1" t="n">
        <v>45913</v>
      </c>
      <c r="D200" t="inlineStr">
        <is>
          <t>JÄMTLANDS LÄN</t>
        </is>
      </c>
      <c r="E200" t="inlineStr">
        <is>
          <t>KROKOM</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25268-2025 artfynd.xlsx", "A 25268-2025")</f>
        <v/>
      </c>
      <c r="T200">
        <f>HYPERLINK("https://klasma.github.io/Logging_2309/kartor/A 25268-2025 karta.png", "A 25268-2025")</f>
        <v/>
      </c>
      <c r="V200">
        <f>HYPERLINK("https://klasma.github.io/Logging_2309/klagomål/A 25268-2025 FSC-klagomål.docx", "A 25268-2025")</f>
        <v/>
      </c>
      <c r="W200">
        <f>HYPERLINK("https://klasma.github.io/Logging_2309/klagomålsmail/A 25268-2025 FSC-klagomål mail.docx", "A 25268-2025")</f>
        <v/>
      </c>
      <c r="X200">
        <f>HYPERLINK("https://klasma.github.io/Logging_2309/tillsyn/A 25268-2025 tillsynsbegäran.docx", "A 25268-2025")</f>
        <v/>
      </c>
      <c r="Y200">
        <f>HYPERLINK("https://klasma.github.io/Logging_2309/tillsynsmail/A 25268-2025 tillsynsbegäran mail.docx", "A 25268-2025")</f>
        <v/>
      </c>
      <c r="Z200">
        <f>HYPERLINK("https://klasma.github.io/Logging_2309/fåglar/A 25268-2025 prioriterade fågelarter.docx", "A 25268-2025")</f>
        <v/>
      </c>
    </row>
    <row r="201" ht="15" customHeight="1">
      <c r="A201" t="inlineStr">
        <is>
          <t>A 11413-2022</t>
        </is>
      </c>
      <c r="B201" s="1" t="n">
        <v>44630</v>
      </c>
      <c r="C201" s="1" t="n">
        <v>45913</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814-2022</t>
        </is>
      </c>
      <c r="B202" s="1" t="n">
        <v>44568</v>
      </c>
      <c r="C202" s="1" t="n">
        <v>45913</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36639-2023</t>
        </is>
      </c>
      <c r="B203" s="1" t="n">
        <v>45153</v>
      </c>
      <c r="C203" s="1" t="n">
        <v>45913</v>
      </c>
      <c r="D203" t="inlineStr">
        <is>
          <t>JÄMTLANDS LÄN</t>
        </is>
      </c>
      <c r="E203" t="inlineStr">
        <is>
          <t>KROKOM</t>
        </is>
      </c>
      <c r="F203" t="inlineStr">
        <is>
          <t>Övriga Aktiebolag</t>
        </is>
      </c>
      <c r="G203" t="n">
        <v>5.5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36639-2023 artfynd.xlsx", "A 36639-2023")</f>
        <v/>
      </c>
      <c r="T203">
        <f>HYPERLINK("https://klasma.github.io/Logging_2309/kartor/A 36639-2023 karta.png", "A 36639-2023")</f>
        <v/>
      </c>
      <c r="V203">
        <f>HYPERLINK("https://klasma.github.io/Logging_2309/klagomål/A 36639-2023 FSC-klagomål.docx", "A 36639-2023")</f>
        <v/>
      </c>
      <c r="W203">
        <f>HYPERLINK("https://klasma.github.io/Logging_2309/klagomålsmail/A 36639-2023 FSC-klagomål mail.docx", "A 36639-2023")</f>
        <v/>
      </c>
      <c r="X203">
        <f>HYPERLINK("https://klasma.github.io/Logging_2309/tillsyn/A 36639-2023 tillsynsbegäran.docx", "A 36639-2023")</f>
        <v/>
      </c>
      <c r="Y203">
        <f>HYPERLINK("https://klasma.github.io/Logging_2309/tillsynsmail/A 36639-2023 tillsynsbegäran mail.docx", "A 36639-2023")</f>
        <v/>
      </c>
      <c r="Z203">
        <f>HYPERLINK("https://klasma.github.io/Logging_2309/fåglar/A 36639-2023 prioriterade fågelarter.docx", "A 36639-2023")</f>
        <v/>
      </c>
    </row>
    <row r="204" ht="15" customHeight="1">
      <c r="A204" t="inlineStr">
        <is>
          <t>A 61240-2024</t>
        </is>
      </c>
      <c r="B204" s="1" t="n">
        <v>45645.67945601852</v>
      </c>
      <c r="C204" s="1" t="n">
        <v>45913</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28660-2025</t>
        </is>
      </c>
      <c r="B205" s="1" t="n">
        <v>45819.65796296296</v>
      </c>
      <c r="C205" s="1" t="n">
        <v>45913</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6705-2025</t>
        </is>
      </c>
      <c r="B206" s="1" t="n">
        <v>45700</v>
      </c>
      <c r="C206" s="1" t="n">
        <v>45913</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29941-2025</t>
        </is>
      </c>
      <c r="B207" s="1" t="n">
        <v>45826.45174768518</v>
      </c>
      <c r="C207" s="1" t="n">
        <v>45913</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52486-2024</t>
        </is>
      </c>
      <c r="B208" s="1" t="n">
        <v>45609</v>
      </c>
      <c r="C208" s="1" t="n">
        <v>45913</v>
      </c>
      <c r="D208" t="inlineStr">
        <is>
          <t>JÄMTLANDS LÄN</t>
        </is>
      </c>
      <c r="E208" t="inlineStr">
        <is>
          <t>KROKOM</t>
        </is>
      </c>
      <c r="G208" t="n">
        <v>20.6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52486-2024 artfynd.xlsx", "A 52486-2024")</f>
        <v/>
      </c>
      <c r="T208">
        <f>HYPERLINK("https://klasma.github.io/Logging_2309/kartor/A 52486-2024 karta.png", "A 52486-2024")</f>
        <v/>
      </c>
      <c r="V208">
        <f>HYPERLINK("https://klasma.github.io/Logging_2309/klagomål/A 52486-2024 FSC-klagomål.docx", "A 52486-2024")</f>
        <v/>
      </c>
      <c r="W208">
        <f>HYPERLINK("https://klasma.github.io/Logging_2309/klagomålsmail/A 52486-2024 FSC-klagomål mail.docx", "A 52486-2024")</f>
        <v/>
      </c>
      <c r="X208">
        <f>HYPERLINK("https://klasma.github.io/Logging_2309/tillsyn/A 52486-2024 tillsynsbegäran.docx", "A 52486-2024")</f>
        <v/>
      </c>
      <c r="Y208">
        <f>HYPERLINK("https://klasma.github.io/Logging_2309/tillsynsmail/A 52486-2024 tillsynsbegäran mail.docx", "A 52486-2024")</f>
        <v/>
      </c>
      <c r="Z208">
        <f>HYPERLINK("https://klasma.github.io/Logging_2309/fåglar/A 52486-2024 prioriterade fågelarter.docx", "A 52486-2024")</f>
        <v/>
      </c>
    </row>
    <row r="209" ht="15" customHeight="1">
      <c r="A209" t="inlineStr">
        <is>
          <t>A 49175-2024</t>
        </is>
      </c>
      <c r="B209" s="1" t="n">
        <v>45595</v>
      </c>
      <c r="C209" s="1" t="n">
        <v>45913</v>
      </c>
      <c r="D209" t="inlineStr">
        <is>
          <t>JÄMTLANDS LÄN</t>
        </is>
      </c>
      <c r="E209" t="inlineStr">
        <is>
          <t>KROKOM</t>
        </is>
      </c>
      <c r="G209" t="n">
        <v>172.9</v>
      </c>
      <c r="H209" t="n">
        <v>0</v>
      </c>
      <c r="I209" t="n">
        <v>0</v>
      </c>
      <c r="J209" t="n">
        <v>1</v>
      </c>
      <c r="K209" t="n">
        <v>0</v>
      </c>
      <c r="L209" t="n">
        <v>0</v>
      </c>
      <c r="M209" t="n">
        <v>0</v>
      </c>
      <c r="N209" t="n">
        <v>0</v>
      </c>
      <c r="O209" t="n">
        <v>1</v>
      </c>
      <c r="P209" t="n">
        <v>0</v>
      </c>
      <c r="Q209" t="n">
        <v>1</v>
      </c>
      <c r="R209" s="2" t="inlineStr">
        <is>
          <t>Granticka</t>
        </is>
      </c>
      <c r="S209">
        <f>HYPERLINK("https://klasma.github.io/Logging_2309/artfynd/A 49175-2024 artfynd.xlsx", "A 49175-2024")</f>
        <v/>
      </c>
      <c r="T209">
        <f>HYPERLINK("https://klasma.github.io/Logging_2309/kartor/A 49175-2024 karta.png", "A 49175-2024")</f>
        <v/>
      </c>
      <c r="V209">
        <f>HYPERLINK("https://klasma.github.io/Logging_2309/klagomål/A 49175-2024 FSC-klagomål.docx", "A 49175-2024")</f>
        <v/>
      </c>
      <c r="W209">
        <f>HYPERLINK("https://klasma.github.io/Logging_2309/klagomålsmail/A 49175-2024 FSC-klagomål mail.docx", "A 49175-2024")</f>
        <v/>
      </c>
      <c r="X209">
        <f>HYPERLINK("https://klasma.github.io/Logging_2309/tillsyn/A 49175-2024 tillsynsbegäran.docx", "A 49175-2024")</f>
        <v/>
      </c>
      <c r="Y209">
        <f>HYPERLINK("https://klasma.github.io/Logging_2309/tillsynsmail/A 49175-2024 tillsynsbegäran mail.docx", "A 49175-2024")</f>
        <v/>
      </c>
    </row>
    <row r="210" ht="15" customHeight="1">
      <c r="A210" t="inlineStr">
        <is>
          <t>A 32656-2025</t>
        </is>
      </c>
      <c r="B210" s="1" t="n">
        <v>45838.67815972222</v>
      </c>
      <c r="C210" s="1" t="n">
        <v>45913</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32465-2025</t>
        </is>
      </c>
      <c r="B211" s="1" t="n">
        <v>45838</v>
      </c>
      <c r="C211" s="1" t="n">
        <v>45913</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15430-2023</t>
        </is>
      </c>
      <c r="B212" s="1" t="n">
        <v>45020</v>
      </c>
      <c r="C212" s="1" t="n">
        <v>45913</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32888-2025</t>
        </is>
      </c>
      <c r="B213" s="1" t="n">
        <v>45839.60460648148</v>
      </c>
      <c r="C213" s="1" t="n">
        <v>45913</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4331-2025</t>
        </is>
      </c>
      <c r="B214" s="1" t="n">
        <v>45685.78776620371</v>
      </c>
      <c r="C214" s="1" t="n">
        <v>45913</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4331-2025 artfynd.xlsx", "A 4331-2025")</f>
        <v/>
      </c>
      <c r="T214">
        <f>HYPERLINK("https://klasma.github.io/Logging_2309/kartor/A 4331-2025 karta.png", "A 4331-2025")</f>
        <v/>
      </c>
      <c r="V214">
        <f>HYPERLINK("https://klasma.github.io/Logging_2309/klagomål/A 4331-2025 FSC-klagomål.docx", "A 4331-2025")</f>
        <v/>
      </c>
      <c r="W214">
        <f>HYPERLINK("https://klasma.github.io/Logging_2309/klagomålsmail/A 4331-2025 FSC-klagomål mail.docx", "A 4331-2025")</f>
        <v/>
      </c>
      <c r="X214">
        <f>HYPERLINK("https://klasma.github.io/Logging_2309/tillsyn/A 4331-2025 tillsynsbegäran.docx", "A 4331-2025")</f>
        <v/>
      </c>
      <c r="Y214">
        <f>HYPERLINK("https://klasma.github.io/Logging_2309/tillsynsmail/A 4331-2025 tillsynsbegäran mail.docx", "A 4331-2025")</f>
        <v/>
      </c>
    </row>
    <row r="215" ht="15" customHeight="1">
      <c r="A215" t="inlineStr">
        <is>
          <t>A 27753-2023</t>
        </is>
      </c>
      <c r="B215" s="1" t="n">
        <v>45098</v>
      </c>
      <c r="C215" s="1" t="n">
        <v>45913</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33513-2025</t>
        </is>
      </c>
      <c r="B216" s="1" t="n">
        <v>45841.52454861111</v>
      </c>
      <c r="C216" s="1" t="n">
        <v>45913</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5919-2025</t>
        </is>
      </c>
      <c r="B217" s="1" t="n">
        <v>45695.42197916667</v>
      </c>
      <c r="C217" s="1" t="n">
        <v>45913</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4348-2025</t>
        </is>
      </c>
      <c r="B218" s="1" t="n">
        <v>45686.27208333334</v>
      </c>
      <c r="C218" s="1" t="n">
        <v>45913</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16125-2025</t>
        </is>
      </c>
      <c r="B219" s="1" t="n">
        <v>45750.42127314815</v>
      </c>
      <c r="C219" s="1" t="n">
        <v>45913</v>
      </c>
      <c r="D219" t="inlineStr">
        <is>
          <t>JÄMTLANDS LÄN</t>
        </is>
      </c>
      <c r="E219" t="inlineStr">
        <is>
          <t>KROKOM</t>
        </is>
      </c>
      <c r="G219" t="n">
        <v>1.5</v>
      </c>
      <c r="H219" t="n">
        <v>0</v>
      </c>
      <c r="I219" t="n">
        <v>0</v>
      </c>
      <c r="J219" t="n">
        <v>1</v>
      </c>
      <c r="K219" t="n">
        <v>0</v>
      </c>
      <c r="L219" t="n">
        <v>0</v>
      </c>
      <c r="M219" t="n">
        <v>0</v>
      </c>
      <c r="N219" t="n">
        <v>0</v>
      </c>
      <c r="O219" t="n">
        <v>1</v>
      </c>
      <c r="P219" t="n">
        <v>0</v>
      </c>
      <c r="Q219" t="n">
        <v>1</v>
      </c>
      <c r="R219" s="2" t="inlineStr">
        <is>
          <t>Månlåsbräken</t>
        </is>
      </c>
      <c r="S219">
        <f>HYPERLINK("https://klasma.github.io/Logging_2309/artfynd/A 16125-2025 artfynd.xlsx", "A 16125-2025")</f>
        <v/>
      </c>
      <c r="T219">
        <f>HYPERLINK("https://klasma.github.io/Logging_2309/kartor/A 16125-2025 karta.png", "A 16125-2025")</f>
        <v/>
      </c>
      <c r="V219">
        <f>HYPERLINK("https://klasma.github.io/Logging_2309/klagomål/A 16125-2025 FSC-klagomål.docx", "A 16125-2025")</f>
        <v/>
      </c>
      <c r="W219">
        <f>HYPERLINK("https://klasma.github.io/Logging_2309/klagomålsmail/A 16125-2025 FSC-klagomål mail.docx", "A 16125-2025")</f>
        <v/>
      </c>
      <c r="X219">
        <f>HYPERLINK("https://klasma.github.io/Logging_2309/tillsyn/A 16125-2025 tillsynsbegäran.docx", "A 16125-2025")</f>
        <v/>
      </c>
      <c r="Y219">
        <f>HYPERLINK("https://klasma.github.io/Logging_2309/tillsynsmail/A 16125-2025 tillsynsbegäran mail.docx", "A 16125-2025")</f>
        <v/>
      </c>
    </row>
    <row r="220" ht="15" customHeight="1">
      <c r="A220" t="inlineStr">
        <is>
          <t>A 71574-2021</t>
        </is>
      </c>
      <c r="B220" s="1" t="n">
        <v>44540</v>
      </c>
      <c r="C220" s="1" t="n">
        <v>45913</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7208-2025</t>
        </is>
      </c>
      <c r="B221" s="1" t="n">
        <v>45702.47149305556</v>
      </c>
      <c r="C221" s="1" t="n">
        <v>45913</v>
      </c>
      <c r="D221" t="inlineStr">
        <is>
          <t>JÄMTLANDS LÄN</t>
        </is>
      </c>
      <c r="E221" t="inlineStr">
        <is>
          <t>KROKOM</t>
        </is>
      </c>
      <c r="F221" t="inlineStr">
        <is>
          <t>Övriga Aktiebolag</t>
        </is>
      </c>
      <c r="G221" t="n">
        <v>39.4</v>
      </c>
      <c r="H221" t="n">
        <v>0</v>
      </c>
      <c r="I221" t="n">
        <v>0</v>
      </c>
      <c r="J221" t="n">
        <v>1</v>
      </c>
      <c r="K221" t="n">
        <v>0</v>
      </c>
      <c r="L221" t="n">
        <v>0</v>
      </c>
      <c r="M221" t="n">
        <v>0</v>
      </c>
      <c r="N221" t="n">
        <v>0</v>
      </c>
      <c r="O221" t="n">
        <v>1</v>
      </c>
      <c r="P221" t="n">
        <v>0</v>
      </c>
      <c r="Q221" t="n">
        <v>1</v>
      </c>
      <c r="R221" s="2" t="inlineStr">
        <is>
          <t>Ullticka</t>
        </is>
      </c>
      <c r="S221">
        <f>HYPERLINK("https://klasma.github.io/Logging_2309/artfynd/A 7208-2025 artfynd.xlsx", "A 7208-2025")</f>
        <v/>
      </c>
      <c r="T221">
        <f>HYPERLINK("https://klasma.github.io/Logging_2309/kartor/A 7208-2025 karta.png", "A 7208-2025")</f>
        <v/>
      </c>
      <c r="V221">
        <f>HYPERLINK("https://klasma.github.io/Logging_2309/klagomål/A 7208-2025 FSC-klagomål.docx", "A 7208-2025")</f>
        <v/>
      </c>
      <c r="W221">
        <f>HYPERLINK("https://klasma.github.io/Logging_2309/klagomålsmail/A 7208-2025 FSC-klagomål mail.docx", "A 7208-2025")</f>
        <v/>
      </c>
      <c r="X221">
        <f>HYPERLINK("https://klasma.github.io/Logging_2309/tillsyn/A 7208-2025 tillsynsbegäran.docx", "A 7208-2025")</f>
        <v/>
      </c>
      <c r="Y221">
        <f>HYPERLINK("https://klasma.github.io/Logging_2309/tillsynsmail/A 7208-2025 tillsynsbegäran mail.docx", "A 7208-2025")</f>
        <v/>
      </c>
    </row>
    <row r="222" ht="15" customHeight="1">
      <c r="A222" t="inlineStr">
        <is>
          <t>A 42258-2023</t>
        </is>
      </c>
      <c r="B222" s="1" t="n">
        <v>45180</v>
      </c>
      <c r="C222" s="1" t="n">
        <v>45913</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806-2022</t>
        </is>
      </c>
      <c r="B223" s="1" t="n">
        <v>44568</v>
      </c>
      <c r="C223" s="1" t="n">
        <v>45913</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26231-2024</t>
        </is>
      </c>
      <c r="B224" s="1" t="n">
        <v>45467</v>
      </c>
      <c r="C224" s="1" t="n">
        <v>45913</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34534-2025</t>
        </is>
      </c>
      <c r="B225" s="1" t="n">
        <v>45847.51078703703</v>
      </c>
      <c r="C225" s="1" t="n">
        <v>45913</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34520-2025</t>
        </is>
      </c>
      <c r="B226" s="1" t="n">
        <v>45847.46962962963</v>
      </c>
      <c r="C226" s="1" t="n">
        <v>45913</v>
      </c>
      <c r="D226" t="inlineStr">
        <is>
          <t>JÄMTLANDS LÄN</t>
        </is>
      </c>
      <c r="E226" t="inlineStr">
        <is>
          <t>KROKOM</t>
        </is>
      </c>
      <c r="G226" t="n">
        <v>17.5</v>
      </c>
      <c r="H226" t="n">
        <v>0</v>
      </c>
      <c r="I226" t="n">
        <v>0</v>
      </c>
      <c r="J226" t="n">
        <v>1</v>
      </c>
      <c r="K226" t="n">
        <v>0</v>
      </c>
      <c r="L226" t="n">
        <v>0</v>
      </c>
      <c r="M226" t="n">
        <v>0</v>
      </c>
      <c r="N226" t="n">
        <v>0</v>
      </c>
      <c r="O226" t="n">
        <v>1</v>
      </c>
      <c r="P226" t="n">
        <v>0</v>
      </c>
      <c r="Q226" t="n">
        <v>1</v>
      </c>
      <c r="R226" s="2" t="inlineStr">
        <is>
          <t>Luddfingersvamp</t>
        </is>
      </c>
      <c r="S226">
        <f>HYPERLINK("https://klasma.github.io/Logging_2309/artfynd/A 34520-2025 artfynd.xlsx", "A 34520-2025")</f>
        <v/>
      </c>
      <c r="T226">
        <f>HYPERLINK("https://klasma.github.io/Logging_2309/kartor/A 34520-2025 karta.png", "A 34520-2025")</f>
        <v/>
      </c>
      <c r="V226">
        <f>HYPERLINK("https://klasma.github.io/Logging_2309/klagomål/A 34520-2025 FSC-klagomål.docx", "A 34520-2025")</f>
        <v/>
      </c>
      <c r="W226">
        <f>HYPERLINK("https://klasma.github.io/Logging_2309/klagomålsmail/A 34520-2025 FSC-klagomål mail.docx", "A 34520-2025")</f>
        <v/>
      </c>
      <c r="X226">
        <f>HYPERLINK("https://klasma.github.io/Logging_2309/tillsyn/A 34520-2025 tillsynsbegäran.docx", "A 34520-2025")</f>
        <v/>
      </c>
      <c r="Y226">
        <f>HYPERLINK("https://klasma.github.io/Logging_2309/tillsynsmail/A 34520-2025 tillsynsbegäran mail.docx", "A 34520-2025")</f>
        <v/>
      </c>
    </row>
    <row r="227" ht="15" customHeight="1">
      <c r="A227" t="inlineStr">
        <is>
          <t>A 49387-2024</t>
        </is>
      </c>
      <c r="B227" s="1" t="n">
        <v>45595</v>
      </c>
      <c r="C227" s="1" t="n">
        <v>45913</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804-2022</t>
        </is>
      </c>
      <c r="B228" s="1" t="n">
        <v>44568</v>
      </c>
      <c r="C228" s="1" t="n">
        <v>45913</v>
      </c>
      <c r="D228" t="inlineStr">
        <is>
          <t>JÄMTLANDS LÄN</t>
        </is>
      </c>
      <c r="E228" t="inlineStr">
        <is>
          <t>KROKOM</t>
        </is>
      </c>
      <c r="G228" t="n">
        <v>20</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804-2022 artfynd.xlsx", "A 804-2022")</f>
        <v/>
      </c>
      <c r="T228">
        <f>HYPERLINK("https://klasma.github.io/Logging_2309/kartor/A 804-2022 karta.png", "A 804-2022")</f>
        <v/>
      </c>
      <c r="V228">
        <f>HYPERLINK("https://klasma.github.io/Logging_2309/klagomål/A 804-2022 FSC-klagomål.docx", "A 804-2022")</f>
        <v/>
      </c>
      <c r="W228">
        <f>HYPERLINK("https://klasma.github.io/Logging_2309/klagomålsmail/A 804-2022 FSC-klagomål mail.docx", "A 804-2022")</f>
        <v/>
      </c>
      <c r="X228">
        <f>HYPERLINK("https://klasma.github.io/Logging_2309/tillsyn/A 804-2022 tillsynsbegäran.docx", "A 804-2022")</f>
        <v/>
      </c>
      <c r="Y228">
        <f>HYPERLINK("https://klasma.github.io/Logging_2309/tillsynsmail/A 804-2022 tillsynsbegäran mail.docx", "A 804-2022")</f>
        <v/>
      </c>
      <c r="Z228">
        <f>HYPERLINK("https://klasma.github.io/Logging_2309/fåglar/A 804-2022 prioriterade fågelarter.docx", "A 804-2022")</f>
        <v/>
      </c>
    </row>
    <row r="229" ht="15" customHeight="1">
      <c r="A229" t="inlineStr">
        <is>
          <t>A 49385-2024</t>
        </is>
      </c>
      <c r="B229" s="1" t="n">
        <v>45595</v>
      </c>
      <c r="C229" s="1" t="n">
        <v>45913</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52473-2024</t>
        </is>
      </c>
      <c r="B230" s="1" t="n">
        <v>45609</v>
      </c>
      <c r="C230" s="1" t="n">
        <v>45913</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13485-2025</t>
        </is>
      </c>
      <c r="B231" s="1" t="n">
        <v>45736.42743055556</v>
      </c>
      <c r="C231" s="1" t="n">
        <v>45913</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16426-2024</t>
        </is>
      </c>
      <c r="B232" s="1" t="n">
        <v>45407</v>
      </c>
      <c r="C232" s="1" t="n">
        <v>45913</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58805-2024</t>
        </is>
      </c>
      <c r="B233" s="1" t="n">
        <v>45635</v>
      </c>
      <c r="C233" s="1" t="n">
        <v>45913</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56628-2023</t>
        </is>
      </c>
      <c r="B234" s="1" t="n">
        <v>45243</v>
      </c>
      <c r="C234" s="1" t="n">
        <v>45913</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19282-2021</t>
        </is>
      </c>
      <c r="B235" s="1" t="n">
        <v>44308</v>
      </c>
      <c r="C235" s="1" t="n">
        <v>45913</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19984-2021</t>
        </is>
      </c>
      <c r="B236" s="1" t="n">
        <v>44313</v>
      </c>
      <c r="C236" s="1" t="n">
        <v>45913</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45913</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45913</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45913</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45913</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45913</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45913</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45913</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45913</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45913</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45913</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45913</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45913</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45913</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45913</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45913</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45913</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45913</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45913</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45913</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45913</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45913</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48440-2021</t>
        </is>
      </c>
      <c r="B258" s="1" t="n">
        <v>44449</v>
      </c>
      <c r="C258" s="1" t="n">
        <v>45913</v>
      </c>
      <c r="D258" t="inlineStr">
        <is>
          <t>JÄMTLANDS LÄN</t>
        </is>
      </c>
      <c r="E258" t="inlineStr">
        <is>
          <t>KROKOM</t>
        </is>
      </c>
      <c r="G258" t="n">
        <v>8.6</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45913</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45913</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45913</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45913</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45913</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45913</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45913</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45913</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45913</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45913</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45913</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45602-2020</t>
        </is>
      </c>
      <c r="B270" s="1" t="n">
        <v>44090</v>
      </c>
      <c r="C270" s="1" t="n">
        <v>45913</v>
      </c>
      <c r="D270" t="inlineStr">
        <is>
          <t>JÄMTLANDS LÄN</t>
        </is>
      </c>
      <c r="E270" t="inlineStr">
        <is>
          <t>KROKOM</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58378-2020</t>
        </is>
      </c>
      <c r="B271" s="1" t="n">
        <v>44141</v>
      </c>
      <c r="C271" s="1" t="n">
        <v>45913</v>
      </c>
      <c r="D271" t="inlineStr">
        <is>
          <t>JÄMTLANDS LÄN</t>
        </is>
      </c>
      <c r="E271" t="inlineStr">
        <is>
          <t>KROKOM</t>
        </is>
      </c>
      <c r="G271" t="n">
        <v>14.4</v>
      </c>
      <c r="H271" t="n">
        <v>0</v>
      </c>
      <c r="I271" t="n">
        <v>0</v>
      </c>
      <c r="J271" t="n">
        <v>0</v>
      </c>
      <c r="K271" t="n">
        <v>0</v>
      </c>
      <c r="L271" t="n">
        <v>0</v>
      </c>
      <c r="M271" t="n">
        <v>0</v>
      </c>
      <c r="N271" t="n">
        <v>0</v>
      </c>
      <c r="O271" t="n">
        <v>0</v>
      </c>
      <c r="P271" t="n">
        <v>0</v>
      </c>
      <c r="Q271" t="n">
        <v>0</v>
      </c>
      <c r="R271" s="2" t="inlineStr"/>
    </row>
    <row r="272" ht="15" customHeight="1">
      <c r="A272" t="inlineStr">
        <is>
          <t>A 10008-2021</t>
        </is>
      </c>
      <c r="B272" s="1" t="n">
        <v>44255</v>
      </c>
      <c r="C272" s="1" t="n">
        <v>45913</v>
      </c>
      <c r="D272" t="inlineStr">
        <is>
          <t>JÄMTLANDS LÄN</t>
        </is>
      </c>
      <c r="E272" t="inlineStr">
        <is>
          <t>KROKOM</t>
        </is>
      </c>
      <c r="G272" t="n">
        <v>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45913</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45913</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69949-2021</t>
        </is>
      </c>
      <c r="B275" s="1" t="n">
        <v>44533</v>
      </c>
      <c r="C275" s="1" t="n">
        <v>45913</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28804-2022</t>
        </is>
      </c>
      <c r="B276" s="1" t="n">
        <v>44749</v>
      </c>
      <c r="C276" s="1" t="n">
        <v>45913</v>
      </c>
      <c r="D276" t="inlineStr">
        <is>
          <t>JÄMTLANDS LÄN</t>
        </is>
      </c>
      <c r="E276" t="inlineStr">
        <is>
          <t>KROKOM</t>
        </is>
      </c>
      <c r="G276" t="n">
        <v>0.8</v>
      </c>
      <c r="H276" t="n">
        <v>0</v>
      </c>
      <c r="I276" t="n">
        <v>0</v>
      </c>
      <c r="J276" t="n">
        <v>0</v>
      </c>
      <c r="K276" t="n">
        <v>0</v>
      </c>
      <c r="L276" t="n">
        <v>0</v>
      </c>
      <c r="M276" t="n">
        <v>0</v>
      </c>
      <c r="N276" t="n">
        <v>0</v>
      </c>
      <c r="O276" t="n">
        <v>0</v>
      </c>
      <c r="P276" t="n">
        <v>0</v>
      </c>
      <c r="Q276" t="n">
        <v>0</v>
      </c>
      <c r="R276" s="2" t="inlineStr"/>
    </row>
    <row r="277" ht="15" customHeight="1">
      <c r="A277" t="inlineStr">
        <is>
          <t>A 54582-2020</t>
        </is>
      </c>
      <c r="B277" s="1" t="n">
        <v>44126.94510416667</v>
      </c>
      <c r="C277" s="1" t="n">
        <v>45913</v>
      </c>
      <c r="D277" t="inlineStr">
        <is>
          <t>JÄMTLANDS LÄN</t>
        </is>
      </c>
      <c r="E277" t="inlineStr">
        <is>
          <t>KROKOM</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42360-2022</t>
        </is>
      </c>
      <c r="B278" s="1" t="n">
        <v>44831.37650462963</v>
      </c>
      <c r="C278" s="1" t="n">
        <v>45913</v>
      </c>
      <c r="D278" t="inlineStr">
        <is>
          <t>JÄMTLANDS LÄN</t>
        </is>
      </c>
      <c r="E278" t="inlineStr">
        <is>
          <t>KROKOM</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327-2021</t>
        </is>
      </c>
      <c r="B279" s="1" t="n">
        <v>44200</v>
      </c>
      <c r="C279" s="1" t="n">
        <v>45913</v>
      </c>
      <c r="D279" t="inlineStr">
        <is>
          <t>JÄMTLANDS LÄN</t>
        </is>
      </c>
      <c r="E279" t="inlineStr">
        <is>
          <t>KROKOM</t>
        </is>
      </c>
      <c r="G279" t="n">
        <v>0.2</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45913</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64953-2021</t>
        </is>
      </c>
      <c r="B281" s="1" t="n">
        <v>44512.94539351852</v>
      </c>
      <c r="C281" s="1" t="n">
        <v>45913</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31467-2021</t>
        </is>
      </c>
      <c r="B282" s="1" t="n">
        <v>44369.41452546296</v>
      </c>
      <c r="C282" s="1" t="n">
        <v>45913</v>
      </c>
      <c r="D282" t="inlineStr">
        <is>
          <t>JÄMTLANDS LÄN</t>
        </is>
      </c>
      <c r="E282" t="inlineStr">
        <is>
          <t>KROKOM</t>
        </is>
      </c>
      <c r="G282" t="n">
        <v>24.7</v>
      </c>
      <c r="H282" t="n">
        <v>0</v>
      </c>
      <c r="I282" t="n">
        <v>0</v>
      </c>
      <c r="J282" t="n">
        <v>0</v>
      </c>
      <c r="K282" t="n">
        <v>0</v>
      </c>
      <c r="L282" t="n">
        <v>0</v>
      </c>
      <c r="M282" t="n">
        <v>0</v>
      </c>
      <c r="N282" t="n">
        <v>0</v>
      </c>
      <c r="O282" t="n">
        <v>0</v>
      </c>
      <c r="P282" t="n">
        <v>0</v>
      </c>
      <c r="Q282" t="n">
        <v>0</v>
      </c>
      <c r="R282" s="2" t="inlineStr"/>
    </row>
    <row r="283" ht="15" customHeight="1">
      <c r="A283" t="inlineStr">
        <is>
          <t>A 12884-2021</t>
        </is>
      </c>
      <c r="B283" s="1" t="n">
        <v>44271.43831018519</v>
      </c>
      <c r="C283" s="1" t="n">
        <v>45913</v>
      </c>
      <c r="D283" t="inlineStr">
        <is>
          <t>JÄMTLANDS LÄN</t>
        </is>
      </c>
      <c r="E283" t="inlineStr">
        <is>
          <t>KROKOM</t>
        </is>
      </c>
      <c r="G283" t="n">
        <v>5.5</v>
      </c>
      <c r="H283" t="n">
        <v>0</v>
      </c>
      <c r="I283" t="n">
        <v>0</v>
      </c>
      <c r="J283" t="n">
        <v>0</v>
      </c>
      <c r="K283" t="n">
        <v>0</v>
      </c>
      <c r="L283" t="n">
        <v>0</v>
      </c>
      <c r="M283" t="n">
        <v>0</v>
      </c>
      <c r="N283" t="n">
        <v>0</v>
      </c>
      <c r="O283" t="n">
        <v>0</v>
      </c>
      <c r="P283" t="n">
        <v>0</v>
      </c>
      <c r="Q283" t="n">
        <v>0</v>
      </c>
      <c r="R283" s="2" t="inlineStr"/>
    </row>
    <row r="284" ht="15" customHeight="1">
      <c r="A284" t="inlineStr">
        <is>
          <t>A 20405-2021</t>
        </is>
      </c>
      <c r="B284" s="1" t="n">
        <v>44312</v>
      </c>
      <c r="C284" s="1" t="n">
        <v>45913</v>
      </c>
      <c r="D284" t="inlineStr">
        <is>
          <t>JÄMTLANDS LÄN</t>
        </is>
      </c>
      <c r="E284" t="inlineStr">
        <is>
          <t>KROKOM</t>
        </is>
      </c>
      <c r="G284" t="n">
        <v>7.1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45913</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18544-2021</t>
        </is>
      </c>
      <c r="B286" s="1" t="n">
        <v>44306</v>
      </c>
      <c r="C286" s="1" t="n">
        <v>45913</v>
      </c>
      <c r="D286" t="inlineStr">
        <is>
          <t>JÄMTLANDS LÄN</t>
        </is>
      </c>
      <c r="E286" t="inlineStr">
        <is>
          <t>KROKOM</t>
        </is>
      </c>
      <c r="G286" t="n">
        <v>4.1</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45913</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33395-2022</t>
        </is>
      </c>
      <c r="B288" s="1" t="n">
        <v>44788</v>
      </c>
      <c r="C288" s="1" t="n">
        <v>45913</v>
      </c>
      <c r="D288" t="inlineStr">
        <is>
          <t>JÄMTLANDS LÄN</t>
        </is>
      </c>
      <c r="E288" t="inlineStr">
        <is>
          <t>KROKOM</t>
        </is>
      </c>
      <c r="F288" t="inlineStr">
        <is>
          <t>Övriga Aktiebolag</t>
        </is>
      </c>
      <c r="G288" t="n">
        <v>6.2</v>
      </c>
      <c r="H288" t="n">
        <v>0</v>
      </c>
      <c r="I288" t="n">
        <v>0</v>
      </c>
      <c r="J288" t="n">
        <v>0</v>
      </c>
      <c r="K288" t="n">
        <v>0</v>
      </c>
      <c r="L288" t="n">
        <v>0</v>
      </c>
      <c r="M288" t="n">
        <v>0</v>
      </c>
      <c r="N288" t="n">
        <v>0</v>
      </c>
      <c r="O288" t="n">
        <v>0</v>
      </c>
      <c r="P288" t="n">
        <v>0</v>
      </c>
      <c r="Q288" t="n">
        <v>0</v>
      </c>
      <c r="R288" s="2" t="inlineStr"/>
    </row>
    <row r="289" ht="15" customHeight="1">
      <c r="A289" t="inlineStr">
        <is>
          <t>A 915-2021</t>
        </is>
      </c>
      <c r="B289" s="1" t="n">
        <v>44207</v>
      </c>
      <c r="C289" s="1" t="n">
        <v>45913</v>
      </c>
      <c r="D289" t="inlineStr">
        <is>
          <t>JÄMTLANDS LÄN</t>
        </is>
      </c>
      <c r="E289" t="inlineStr">
        <is>
          <t>KROKOM</t>
        </is>
      </c>
      <c r="F289" t="inlineStr">
        <is>
          <t>Övriga Aktiebolag</t>
        </is>
      </c>
      <c r="G289" t="n">
        <v>107.9</v>
      </c>
      <c r="H289" t="n">
        <v>0</v>
      </c>
      <c r="I289" t="n">
        <v>0</v>
      </c>
      <c r="J289" t="n">
        <v>0</v>
      </c>
      <c r="K289" t="n">
        <v>0</v>
      </c>
      <c r="L289" t="n">
        <v>0</v>
      </c>
      <c r="M289" t="n">
        <v>0</v>
      </c>
      <c r="N289" t="n">
        <v>0</v>
      </c>
      <c r="O289" t="n">
        <v>0</v>
      </c>
      <c r="P289" t="n">
        <v>0</v>
      </c>
      <c r="Q289" t="n">
        <v>0</v>
      </c>
      <c r="R289" s="2" t="inlineStr"/>
    </row>
    <row r="290" ht="15" customHeight="1">
      <c r="A290" t="inlineStr">
        <is>
          <t>A 46825-2022</t>
        </is>
      </c>
      <c r="B290" s="1" t="n">
        <v>44851.57131944445</v>
      </c>
      <c r="C290" s="1" t="n">
        <v>45913</v>
      </c>
      <c r="D290" t="inlineStr">
        <is>
          <t>JÄMTLANDS LÄN</t>
        </is>
      </c>
      <c r="E290" t="inlineStr">
        <is>
          <t>KROKOM</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1718-2021</t>
        </is>
      </c>
      <c r="B291" s="1" t="n">
        <v>44209</v>
      </c>
      <c r="C291" s="1" t="n">
        <v>45913</v>
      </c>
      <c r="D291" t="inlineStr">
        <is>
          <t>JÄMTLANDS LÄN</t>
        </is>
      </c>
      <c r="E291" t="inlineStr">
        <is>
          <t>KROKOM</t>
        </is>
      </c>
      <c r="G291" t="n">
        <v>8</v>
      </c>
      <c r="H291" t="n">
        <v>0</v>
      </c>
      <c r="I291" t="n">
        <v>0</v>
      </c>
      <c r="J291" t="n">
        <v>0</v>
      </c>
      <c r="K291" t="n">
        <v>0</v>
      </c>
      <c r="L291" t="n">
        <v>0</v>
      </c>
      <c r="M291" t="n">
        <v>0</v>
      </c>
      <c r="N291" t="n">
        <v>0</v>
      </c>
      <c r="O291" t="n">
        <v>0</v>
      </c>
      <c r="P291" t="n">
        <v>0</v>
      </c>
      <c r="Q291" t="n">
        <v>0</v>
      </c>
      <c r="R291" s="2" t="inlineStr"/>
    </row>
    <row r="292" ht="15" customHeight="1">
      <c r="A292" t="inlineStr">
        <is>
          <t>A 1753-2021</t>
        </is>
      </c>
      <c r="B292" s="1" t="n">
        <v>44209</v>
      </c>
      <c r="C292" s="1" t="n">
        <v>45913</v>
      </c>
      <c r="D292" t="inlineStr">
        <is>
          <t>JÄMTLANDS LÄN</t>
        </is>
      </c>
      <c r="E292" t="inlineStr">
        <is>
          <t>KROKOM</t>
        </is>
      </c>
      <c r="G292" t="n">
        <v>17.2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45913</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45913</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54497-2021</t>
        </is>
      </c>
      <c r="B295" s="1" t="n">
        <v>44473</v>
      </c>
      <c r="C295" s="1" t="n">
        <v>45913</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52557-2021</t>
        </is>
      </c>
      <c r="B296" s="1" t="n">
        <v>44466.53040509259</v>
      </c>
      <c r="C296" s="1" t="n">
        <v>45913</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45913</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71246-2021</t>
        </is>
      </c>
      <c r="B298" s="1" t="n">
        <v>44539</v>
      </c>
      <c r="C298" s="1" t="n">
        <v>45913</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60348-2021</t>
        </is>
      </c>
      <c r="B299" s="1" t="n">
        <v>44495</v>
      </c>
      <c r="C299" s="1" t="n">
        <v>45913</v>
      </c>
      <c r="D299" t="inlineStr">
        <is>
          <t>JÄMTLANDS LÄN</t>
        </is>
      </c>
      <c r="E299" t="inlineStr">
        <is>
          <t>KROKOM</t>
        </is>
      </c>
      <c r="G299" t="n">
        <v>11.2</v>
      </c>
      <c r="H299" t="n">
        <v>0</v>
      </c>
      <c r="I299" t="n">
        <v>0</v>
      </c>
      <c r="J299" t="n">
        <v>0</v>
      </c>
      <c r="K299" t="n">
        <v>0</v>
      </c>
      <c r="L299" t="n">
        <v>0</v>
      </c>
      <c r="M299" t="n">
        <v>0</v>
      </c>
      <c r="N299" t="n">
        <v>0</v>
      </c>
      <c r="O299" t="n">
        <v>0</v>
      </c>
      <c r="P299" t="n">
        <v>0</v>
      </c>
      <c r="Q299" t="n">
        <v>0</v>
      </c>
      <c r="R299" s="2" t="inlineStr"/>
    </row>
    <row r="300" ht="15" customHeight="1">
      <c r="A300" t="inlineStr">
        <is>
          <t>A 60351-2021</t>
        </is>
      </c>
      <c r="B300" s="1" t="n">
        <v>44495</v>
      </c>
      <c r="C300" s="1" t="n">
        <v>45913</v>
      </c>
      <c r="D300" t="inlineStr">
        <is>
          <t>JÄMTLANDS LÄN</t>
        </is>
      </c>
      <c r="E300" t="inlineStr">
        <is>
          <t>KROKOM</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13989-2021</t>
        </is>
      </c>
      <c r="B301" s="1" t="n">
        <v>44277.59521990741</v>
      </c>
      <c r="C301" s="1" t="n">
        <v>45913</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64966-2021</t>
        </is>
      </c>
      <c r="B302" s="1" t="n">
        <v>44512</v>
      </c>
      <c r="C302" s="1" t="n">
        <v>45913</v>
      </c>
      <c r="D302" t="inlineStr">
        <is>
          <t>JÄMTLANDS LÄN</t>
        </is>
      </c>
      <c r="E302" t="inlineStr">
        <is>
          <t>KROKOM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65783-2020</t>
        </is>
      </c>
      <c r="B303" s="1" t="n">
        <v>44172</v>
      </c>
      <c r="C303" s="1" t="n">
        <v>45913</v>
      </c>
      <c r="D303" t="inlineStr">
        <is>
          <t>JÄMTLANDS LÄN</t>
        </is>
      </c>
      <c r="E303" t="inlineStr">
        <is>
          <t>KROKOM</t>
        </is>
      </c>
      <c r="G303" t="n">
        <v>3.8</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45913</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2451-2021</t>
        </is>
      </c>
      <c r="B305" s="1" t="n">
        <v>44214</v>
      </c>
      <c r="C305" s="1" t="n">
        <v>45913</v>
      </c>
      <c r="D305" t="inlineStr">
        <is>
          <t>JÄMTLANDS LÄN</t>
        </is>
      </c>
      <c r="E305" t="inlineStr">
        <is>
          <t>KROKOM</t>
        </is>
      </c>
      <c r="G305" t="n">
        <v>29.5</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45913</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45913</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45913</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45913</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45913</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45913</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59718-2020</t>
        </is>
      </c>
      <c r="B312" s="1" t="n">
        <v>44151</v>
      </c>
      <c r="C312" s="1" t="n">
        <v>45913</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57375-2020</t>
        </is>
      </c>
      <c r="B313" s="1" t="n">
        <v>44139</v>
      </c>
      <c r="C313" s="1" t="n">
        <v>45913</v>
      </c>
      <c r="D313" t="inlineStr">
        <is>
          <t>JÄMTLANDS LÄN</t>
        </is>
      </c>
      <c r="E313" t="inlineStr">
        <is>
          <t>KROKOM</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45913</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46597-2020</t>
        </is>
      </c>
      <c r="B315" s="1" t="n">
        <v>44095</v>
      </c>
      <c r="C315" s="1" t="n">
        <v>45913</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45913</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45913</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68686-2021</t>
        </is>
      </c>
      <c r="B318" s="1" t="n">
        <v>44526</v>
      </c>
      <c r="C318" s="1" t="n">
        <v>45913</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2427-2021</t>
        </is>
      </c>
      <c r="B319" s="1" t="n">
        <v>44214</v>
      </c>
      <c r="C319" s="1" t="n">
        <v>45913</v>
      </c>
      <c r="D319" t="inlineStr">
        <is>
          <t>JÄMTLANDS LÄN</t>
        </is>
      </c>
      <c r="E319" t="inlineStr">
        <is>
          <t>KROKOM</t>
        </is>
      </c>
      <c r="G319" t="n">
        <v>20.5</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45913</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45913</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45913</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44728.94420138889</v>
      </c>
      <c r="C323" s="1" t="n">
        <v>45913</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45913</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45913</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51717-2020</t>
        </is>
      </c>
      <c r="B326" s="1" t="n">
        <v>44113</v>
      </c>
      <c r="C326" s="1" t="n">
        <v>45913</v>
      </c>
      <c r="D326" t="inlineStr">
        <is>
          <t>JÄMTLANDS LÄN</t>
        </is>
      </c>
      <c r="E326" t="inlineStr">
        <is>
          <t>KROKOM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53500-2020</t>
        </is>
      </c>
      <c r="B327" s="1" t="n">
        <v>44123</v>
      </c>
      <c r="C327" s="1" t="n">
        <v>45913</v>
      </c>
      <c r="D327" t="inlineStr">
        <is>
          <t>JÄMTLANDS LÄN</t>
        </is>
      </c>
      <c r="E327" t="inlineStr">
        <is>
          <t>KROKOM</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44697.94231481481</v>
      </c>
      <c r="C328" s="1" t="n">
        <v>45913</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45913</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45913</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46507-2022</t>
        </is>
      </c>
      <c r="B331" s="1" t="n">
        <v>44848</v>
      </c>
      <c r="C331" s="1" t="n">
        <v>45913</v>
      </c>
      <c r="D331" t="inlineStr">
        <is>
          <t>JÄMTLANDS LÄN</t>
        </is>
      </c>
      <c r="E331" t="inlineStr">
        <is>
          <t>KROKOM</t>
        </is>
      </c>
      <c r="G331" t="n">
        <v>0.4</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45913</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24612-2022</t>
        </is>
      </c>
      <c r="B333" s="1" t="n">
        <v>44727</v>
      </c>
      <c r="C333" s="1" t="n">
        <v>45913</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65433-2020</t>
        </is>
      </c>
      <c r="B334" s="1" t="n">
        <v>44169</v>
      </c>
      <c r="C334" s="1" t="n">
        <v>45913</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54037-2021</t>
        </is>
      </c>
      <c r="B335" s="1" t="n">
        <v>44470</v>
      </c>
      <c r="C335" s="1" t="n">
        <v>45913</v>
      </c>
      <c r="D335" t="inlineStr">
        <is>
          <t>JÄMTLANDS LÄN</t>
        </is>
      </c>
      <c r="E335" t="inlineStr">
        <is>
          <t>KROKOM</t>
        </is>
      </c>
      <c r="G335" t="n">
        <v>6.3</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45913</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18731-2021</t>
        </is>
      </c>
      <c r="B337" s="1" t="n">
        <v>44307.42378472222</v>
      </c>
      <c r="C337" s="1" t="n">
        <v>45913</v>
      </c>
      <c r="D337" t="inlineStr">
        <is>
          <t>JÄMTLANDS LÄN</t>
        </is>
      </c>
      <c r="E337" t="inlineStr">
        <is>
          <t>KROKOM</t>
        </is>
      </c>
      <c r="G337" t="n">
        <v>2.7</v>
      </c>
      <c r="H337" t="n">
        <v>0</v>
      </c>
      <c r="I337" t="n">
        <v>0</v>
      </c>
      <c r="J337" t="n">
        <v>0</v>
      </c>
      <c r="K337" t="n">
        <v>0</v>
      </c>
      <c r="L337" t="n">
        <v>0</v>
      </c>
      <c r="M337" t="n">
        <v>0</v>
      </c>
      <c r="N337" t="n">
        <v>0</v>
      </c>
      <c r="O337" t="n">
        <v>0</v>
      </c>
      <c r="P337" t="n">
        <v>0</v>
      </c>
      <c r="Q337" t="n">
        <v>0</v>
      </c>
      <c r="R337" s="2" t="inlineStr"/>
    </row>
    <row r="338" ht="15" customHeight="1">
      <c r="A338" t="inlineStr">
        <is>
          <t>A 40866-2022</t>
        </is>
      </c>
      <c r="B338" s="1" t="n">
        <v>44820</v>
      </c>
      <c r="C338" s="1" t="n">
        <v>45913</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1756-2021</t>
        </is>
      </c>
      <c r="B339" s="1" t="n">
        <v>44209</v>
      </c>
      <c r="C339" s="1" t="n">
        <v>45913</v>
      </c>
      <c r="D339" t="inlineStr">
        <is>
          <t>JÄMTLANDS LÄN</t>
        </is>
      </c>
      <c r="E339" t="inlineStr">
        <is>
          <t>KROKOM</t>
        </is>
      </c>
      <c r="G339" t="n">
        <v>7.4</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45913</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52626-2020</t>
        </is>
      </c>
      <c r="B341" s="1" t="n">
        <v>44118.98730324074</v>
      </c>
      <c r="C341" s="1" t="n">
        <v>45913</v>
      </c>
      <c r="D341" t="inlineStr">
        <is>
          <t>JÄMTLANDS LÄN</t>
        </is>
      </c>
      <c r="E341" t="inlineStr">
        <is>
          <t>KROKOM</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9750-2024</t>
        </is>
      </c>
      <c r="B342" s="1" t="n">
        <v>45362</v>
      </c>
      <c r="C342" s="1" t="n">
        <v>45913</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41197-2022</t>
        </is>
      </c>
      <c r="B343" s="1" t="n">
        <v>44825</v>
      </c>
      <c r="C343" s="1" t="n">
        <v>45913</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11059-2024</t>
        </is>
      </c>
      <c r="B344" s="1" t="n">
        <v>45370</v>
      </c>
      <c r="C344" s="1" t="n">
        <v>45913</v>
      </c>
      <c r="D344" t="inlineStr">
        <is>
          <t>JÄMTLANDS LÄN</t>
        </is>
      </c>
      <c r="E344" t="inlineStr">
        <is>
          <t>KROKOM</t>
        </is>
      </c>
      <c r="G344" t="n">
        <v>1.5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45913</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45913</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45913</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45913</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36122-2022</t>
        </is>
      </c>
      <c r="B349" s="1" t="n">
        <v>44803</v>
      </c>
      <c r="C349" s="1" t="n">
        <v>45913</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10220-2025</t>
        </is>
      </c>
      <c r="B350" s="1" t="n">
        <v>45720</v>
      </c>
      <c r="C350" s="1" t="n">
        <v>45913</v>
      </c>
      <c r="D350" t="inlineStr">
        <is>
          <t>JÄMTLANDS LÄN</t>
        </is>
      </c>
      <c r="E350" t="inlineStr">
        <is>
          <t>KROKOM</t>
        </is>
      </c>
      <c r="G350" t="n">
        <v>0.2</v>
      </c>
      <c r="H350" t="n">
        <v>0</v>
      </c>
      <c r="I350" t="n">
        <v>0</v>
      </c>
      <c r="J350" t="n">
        <v>0</v>
      </c>
      <c r="K350" t="n">
        <v>0</v>
      </c>
      <c r="L350" t="n">
        <v>0</v>
      </c>
      <c r="M350" t="n">
        <v>0</v>
      </c>
      <c r="N350" t="n">
        <v>0</v>
      </c>
      <c r="O350" t="n">
        <v>0</v>
      </c>
      <c r="P350" t="n">
        <v>0</v>
      </c>
      <c r="Q350" t="n">
        <v>0</v>
      </c>
      <c r="R350" s="2" t="inlineStr"/>
    </row>
    <row r="351" ht="15" customHeight="1">
      <c r="A351" t="inlineStr">
        <is>
          <t>A 17383-2023</t>
        </is>
      </c>
      <c r="B351" s="1" t="n">
        <v>45035</v>
      </c>
      <c r="C351" s="1" t="n">
        <v>45913</v>
      </c>
      <c r="D351" t="inlineStr">
        <is>
          <t>JÄMTLANDS LÄN</t>
        </is>
      </c>
      <c r="E351" t="inlineStr">
        <is>
          <t>KROKOM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9027-2025</t>
        </is>
      </c>
      <c r="B352" s="1" t="n">
        <v>45713.60719907407</v>
      </c>
      <c r="C352" s="1" t="n">
        <v>45913</v>
      </c>
      <c r="D352" t="inlineStr">
        <is>
          <t>JÄMTLANDS LÄN</t>
        </is>
      </c>
      <c r="E352" t="inlineStr">
        <is>
          <t>KROKOM</t>
        </is>
      </c>
      <c r="F352" t="inlineStr">
        <is>
          <t>Övriga Aktiebolag</t>
        </is>
      </c>
      <c r="G352" t="n">
        <v>5.4</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45913</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46506-2022</t>
        </is>
      </c>
      <c r="B354" s="1" t="n">
        <v>44848</v>
      </c>
      <c r="C354" s="1" t="n">
        <v>45913</v>
      </c>
      <c r="D354" t="inlineStr">
        <is>
          <t>JÄMTLANDS LÄN</t>
        </is>
      </c>
      <c r="E354" t="inlineStr">
        <is>
          <t>KROKOM</t>
        </is>
      </c>
      <c r="G354" t="n">
        <v>1.9</v>
      </c>
      <c r="H354" t="n">
        <v>0</v>
      </c>
      <c r="I354" t="n">
        <v>0</v>
      </c>
      <c r="J354" t="n">
        <v>0</v>
      </c>
      <c r="K354" t="n">
        <v>0</v>
      </c>
      <c r="L354" t="n">
        <v>0</v>
      </c>
      <c r="M354" t="n">
        <v>0</v>
      </c>
      <c r="N354" t="n">
        <v>0</v>
      </c>
      <c r="O354" t="n">
        <v>0</v>
      </c>
      <c r="P354" t="n">
        <v>0</v>
      </c>
      <c r="Q354" t="n">
        <v>0</v>
      </c>
      <c r="R354" s="2" t="inlineStr"/>
    </row>
    <row r="355" ht="15" customHeight="1">
      <c r="A355" t="inlineStr">
        <is>
          <t>A 6627-2025</t>
        </is>
      </c>
      <c r="B355" s="1" t="n">
        <v>45700.37127314815</v>
      </c>
      <c r="C355" s="1" t="n">
        <v>45913</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45913</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13249-2024</t>
        </is>
      </c>
      <c r="B357" s="1" t="n">
        <v>45386</v>
      </c>
      <c r="C357" s="1" t="n">
        <v>45913</v>
      </c>
      <c r="D357" t="inlineStr">
        <is>
          <t>JÄMTLANDS LÄN</t>
        </is>
      </c>
      <c r="E357" t="inlineStr">
        <is>
          <t>KROKOM</t>
        </is>
      </c>
      <c r="G357" t="n">
        <v>2.4</v>
      </c>
      <c r="H357" t="n">
        <v>0</v>
      </c>
      <c r="I357" t="n">
        <v>0</v>
      </c>
      <c r="J357" t="n">
        <v>0</v>
      </c>
      <c r="K357" t="n">
        <v>0</v>
      </c>
      <c r="L357" t="n">
        <v>0</v>
      </c>
      <c r="M357" t="n">
        <v>0</v>
      </c>
      <c r="N357" t="n">
        <v>0</v>
      </c>
      <c r="O357" t="n">
        <v>0</v>
      </c>
      <c r="P357" t="n">
        <v>0</v>
      </c>
      <c r="Q357" t="n">
        <v>0</v>
      </c>
      <c r="R357" s="2" t="inlineStr"/>
    </row>
    <row r="358" ht="15" customHeight="1">
      <c r="A358" t="inlineStr">
        <is>
          <t>A 9755-2024</t>
        </is>
      </c>
      <c r="B358" s="1" t="n">
        <v>45362</v>
      </c>
      <c r="C358" s="1" t="n">
        <v>45913</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17298-2024</t>
        </is>
      </c>
      <c r="B359" s="1" t="n">
        <v>45414.486875</v>
      </c>
      <c r="C359" s="1" t="n">
        <v>45913</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row>
    <row r="360" ht="15" customHeight="1">
      <c r="A360" t="inlineStr">
        <is>
          <t>A 37641-2021</t>
        </is>
      </c>
      <c r="B360" s="1" t="n">
        <v>44400.37204861111</v>
      </c>
      <c r="C360" s="1" t="n">
        <v>45913</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39696-2024</t>
        </is>
      </c>
      <c r="B361" s="1" t="n">
        <v>45552.57210648148</v>
      </c>
      <c r="C361" s="1" t="n">
        <v>45913</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45827-2023</t>
        </is>
      </c>
      <c r="B362" s="1" t="n">
        <v>45195</v>
      </c>
      <c r="C362" s="1" t="n">
        <v>45913</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17090-2024</t>
        </is>
      </c>
      <c r="B363" s="1" t="n">
        <v>45412.51260416667</v>
      </c>
      <c r="C363" s="1" t="n">
        <v>45913</v>
      </c>
      <c r="D363" t="inlineStr">
        <is>
          <t>JÄMTLANDS LÄN</t>
        </is>
      </c>
      <c r="E363" t="inlineStr">
        <is>
          <t>KROKOM</t>
        </is>
      </c>
      <c r="G363" t="n">
        <v>1.1</v>
      </c>
      <c r="H363" t="n">
        <v>0</v>
      </c>
      <c r="I363" t="n">
        <v>0</v>
      </c>
      <c r="J363" t="n">
        <v>0</v>
      </c>
      <c r="K363" t="n">
        <v>0</v>
      </c>
      <c r="L363" t="n">
        <v>0</v>
      </c>
      <c r="M363" t="n">
        <v>0</v>
      </c>
      <c r="N363" t="n">
        <v>0</v>
      </c>
      <c r="O363" t="n">
        <v>0</v>
      </c>
      <c r="P363" t="n">
        <v>0</v>
      </c>
      <c r="Q363" t="n">
        <v>0</v>
      </c>
      <c r="R363" s="2" t="inlineStr"/>
    </row>
    <row r="364" ht="15" customHeight="1">
      <c r="A364" t="inlineStr">
        <is>
          <t>A 9156-2025</t>
        </is>
      </c>
      <c r="B364" s="1" t="n">
        <v>45714.34859953704</v>
      </c>
      <c r="C364" s="1" t="n">
        <v>45913</v>
      </c>
      <c r="D364" t="inlineStr">
        <is>
          <t>JÄMTLANDS LÄN</t>
        </is>
      </c>
      <c r="E364" t="inlineStr">
        <is>
          <t>KROKOM</t>
        </is>
      </c>
      <c r="F364" t="inlineStr">
        <is>
          <t>Övriga Aktiebolag</t>
        </is>
      </c>
      <c r="G364" t="n">
        <v>26.7</v>
      </c>
      <c r="H364" t="n">
        <v>0</v>
      </c>
      <c r="I364" t="n">
        <v>0</v>
      </c>
      <c r="J364" t="n">
        <v>0</v>
      </c>
      <c r="K364" t="n">
        <v>0</v>
      </c>
      <c r="L364" t="n">
        <v>0</v>
      </c>
      <c r="M364" t="n">
        <v>0</v>
      </c>
      <c r="N364" t="n">
        <v>0</v>
      </c>
      <c r="O364" t="n">
        <v>0</v>
      </c>
      <c r="P364" t="n">
        <v>0</v>
      </c>
      <c r="Q364" t="n">
        <v>0</v>
      </c>
      <c r="R364" s="2" t="inlineStr"/>
      <c r="U364">
        <f>HYPERLINK("https://klasma.github.io/Logging_2309/knärot/A 9156-2025 karta knärot.png", "A 9156-2025")</f>
        <v/>
      </c>
      <c r="V364">
        <f>HYPERLINK("https://klasma.github.io/Logging_2309/klagomål/A 9156-2025 FSC-klagomål.docx", "A 9156-2025")</f>
        <v/>
      </c>
      <c r="W364">
        <f>HYPERLINK("https://klasma.github.io/Logging_2309/klagomålsmail/A 9156-2025 FSC-klagomål mail.docx", "A 9156-2025")</f>
        <v/>
      </c>
      <c r="X364">
        <f>HYPERLINK("https://klasma.github.io/Logging_2309/tillsyn/A 9156-2025 tillsynsbegäran.docx", "A 9156-2025")</f>
        <v/>
      </c>
      <c r="Y364">
        <f>HYPERLINK("https://klasma.github.io/Logging_2309/tillsynsmail/A 9156-2025 tillsynsbegäran mail.docx", "A 9156-2025")</f>
        <v/>
      </c>
    </row>
    <row r="365" ht="15" customHeight="1">
      <c r="A365" t="inlineStr">
        <is>
          <t>A 9948-2025</t>
        </is>
      </c>
      <c r="B365" s="1" t="n">
        <v>45719.32584490741</v>
      </c>
      <c r="C365" s="1" t="n">
        <v>45913</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11092-2024</t>
        </is>
      </c>
      <c r="B366" s="1" t="n">
        <v>45370.94969907407</v>
      </c>
      <c r="C366" s="1" t="n">
        <v>45913</v>
      </c>
      <c r="D366" t="inlineStr">
        <is>
          <t>JÄMTLANDS LÄN</t>
        </is>
      </c>
      <c r="E366" t="inlineStr">
        <is>
          <t>KROKOM</t>
        </is>
      </c>
      <c r="F366" t="inlineStr">
        <is>
          <t>SCA</t>
        </is>
      </c>
      <c r="G366" t="n">
        <v>27.2</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45913</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45913</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45913</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45913</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45913</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47606-2023</t>
        </is>
      </c>
      <c r="B372" s="1" t="n">
        <v>45203.46523148148</v>
      </c>
      <c r="C372" s="1" t="n">
        <v>45913</v>
      </c>
      <c r="D372" t="inlineStr">
        <is>
          <t>JÄMTLANDS LÄN</t>
        </is>
      </c>
      <c r="E372" t="inlineStr">
        <is>
          <t>KROKOM</t>
        </is>
      </c>
      <c r="G372" t="n">
        <v>5.5</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45913</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24436-2021</t>
        </is>
      </c>
      <c r="B374" s="1" t="n">
        <v>44337</v>
      </c>
      <c r="C374" s="1" t="n">
        <v>45913</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6145-2025</t>
        </is>
      </c>
      <c r="B375" s="1" t="n">
        <v>45698.39486111111</v>
      </c>
      <c r="C375" s="1" t="n">
        <v>45913</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53765-2022</t>
        </is>
      </c>
      <c r="B376" s="1" t="n">
        <v>44875</v>
      </c>
      <c r="C376" s="1" t="n">
        <v>45913</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45913</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59668-2023</t>
        </is>
      </c>
      <c r="B378" s="1" t="n">
        <v>45254</v>
      </c>
      <c r="C378" s="1" t="n">
        <v>45913</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45913</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30771-2023</t>
        </is>
      </c>
      <c r="B380" s="1" t="n">
        <v>45112</v>
      </c>
      <c r="C380" s="1" t="n">
        <v>45913</v>
      </c>
      <c r="D380" t="inlineStr">
        <is>
          <t>JÄMTLANDS LÄN</t>
        </is>
      </c>
      <c r="E380" t="inlineStr">
        <is>
          <t>KROKOM</t>
        </is>
      </c>
      <c r="G380" t="n">
        <v>10.6</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45913</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34502-2023</t>
        </is>
      </c>
      <c r="B382" s="1" t="n">
        <v>45133</v>
      </c>
      <c r="C382" s="1" t="n">
        <v>45913</v>
      </c>
      <c r="D382" t="inlineStr">
        <is>
          <t>JÄMTLANDS LÄN</t>
        </is>
      </c>
      <c r="E382" t="inlineStr">
        <is>
          <t>KROKOM</t>
        </is>
      </c>
      <c r="G382" t="n">
        <v>6.9</v>
      </c>
      <c r="H382" t="n">
        <v>0</v>
      </c>
      <c r="I382" t="n">
        <v>0</v>
      </c>
      <c r="J382" t="n">
        <v>0</v>
      </c>
      <c r="K382" t="n">
        <v>0</v>
      </c>
      <c r="L382" t="n">
        <v>0</v>
      </c>
      <c r="M382" t="n">
        <v>0</v>
      </c>
      <c r="N382" t="n">
        <v>0</v>
      </c>
      <c r="O382" t="n">
        <v>0</v>
      </c>
      <c r="P382" t="n">
        <v>0</v>
      </c>
      <c r="Q382" t="n">
        <v>0</v>
      </c>
      <c r="R382" s="2" t="inlineStr"/>
    </row>
    <row r="383" ht="15" customHeight="1">
      <c r="A383" t="inlineStr">
        <is>
          <t>A 71307-2021</t>
        </is>
      </c>
      <c r="B383" s="1" t="n">
        <v>44539</v>
      </c>
      <c r="C383" s="1" t="n">
        <v>45913</v>
      </c>
      <c r="D383" t="inlineStr">
        <is>
          <t>JÄMTLANDS LÄN</t>
        </is>
      </c>
      <c r="E383" t="inlineStr">
        <is>
          <t>KROKOM</t>
        </is>
      </c>
      <c r="G383" t="n">
        <v>21.5</v>
      </c>
      <c r="H383" t="n">
        <v>0</v>
      </c>
      <c r="I383" t="n">
        <v>0</v>
      </c>
      <c r="J383" t="n">
        <v>0</v>
      </c>
      <c r="K383" t="n">
        <v>0</v>
      </c>
      <c r="L383" t="n">
        <v>0</v>
      </c>
      <c r="M383" t="n">
        <v>0</v>
      </c>
      <c r="N383" t="n">
        <v>0</v>
      </c>
      <c r="O383" t="n">
        <v>0</v>
      </c>
      <c r="P383" t="n">
        <v>0</v>
      </c>
      <c r="Q383" t="n">
        <v>0</v>
      </c>
      <c r="R383" s="2" t="inlineStr"/>
    </row>
    <row r="384" ht="15" customHeight="1">
      <c r="A384" t="inlineStr">
        <is>
          <t>A 41628-2024</t>
        </is>
      </c>
      <c r="B384" s="1" t="n">
        <v>45560</v>
      </c>
      <c r="C384" s="1" t="n">
        <v>45913</v>
      </c>
      <c r="D384" t="inlineStr">
        <is>
          <t>JÄMTLANDS LÄN</t>
        </is>
      </c>
      <c r="E384" t="inlineStr">
        <is>
          <t>KROKOM</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53402-2022</t>
        </is>
      </c>
      <c r="B385" s="1" t="n">
        <v>44874</v>
      </c>
      <c r="C385" s="1" t="n">
        <v>45913</v>
      </c>
      <c r="D385" t="inlineStr">
        <is>
          <t>JÄMTLANDS LÄN</t>
        </is>
      </c>
      <c r="E385" t="inlineStr">
        <is>
          <t>KROKOM</t>
        </is>
      </c>
      <c r="G385" t="n">
        <v>36.7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45913</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17469-2024</t>
        </is>
      </c>
      <c r="B387" s="1" t="n">
        <v>45415.45006944444</v>
      </c>
      <c r="C387" s="1" t="n">
        <v>45913</v>
      </c>
      <c r="D387" t="inlineStr">
        <is>
          <t>JÄMTLANDS LÄN</t>
        </is>
      </c>
      <c r="E387" t="inlineStr">
        <is>
          <t>KROKOM</t>
        </is>
      </c>
      <c r="G387" t="n">
        <v>4.6</v>
      </c>
      <c r="H387" t="n">
        <v>0</v>
      </c>
      <c r="I387" t="n">
        <v>0</v>
      </c>
      <c r="J387" t="n">
        <v>0</v>
      </c>
      <c r="K387" t="n">
        <v>0</v>
      </c>
      <c r="L387" t="n">
        <v>0</v>
      </c>
      <c r="M387" t="n">
        <v>0</v>
      </c>
      <c r="N387" t="n">
        <v>0</v>
      </c>
      <c r="O387" t="n">
        <v>0</v>
      </c>
      <c r="P387" t="n">
        <v>0</v>
      </c>
      <c r="Q387" t="n">
        <v>0</v>
      </c>
      <c r="R387" s="2" t="inlineStr"/>
    </row>
    <row r="388" ht="15" customHeight="1">
      <c r="A388" t="inlineStr">
        <is>
          <t>A 53241-2020</t>
        </is>
      </c>
      <c r="B388" s="1" t="n">
        <v>44123</v>
      </c>
      <c r="C388" s="1" t="n">
        <v>45913</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17950-2025</t>
        </is>
      </c>
      <c r="B389" s="1" t="n">
        <v>45760.81083333334</v>
      </c>
      <c r="C389" s="1" t="n">
        <v>45913</v>
      </c>
      <c r="D389" t="inlineStr">
        <is>
          <t>JÄMTLANDS LÄN</t>
        </is>
      </c>
      <c r="E389" t="inlineStr">
        <is>
          <t>KROKOM</t>
        </is>
      </c>
      <c r="G389" t="n">
        <v>0.5</v>
      </c>
      <c r="H389" t="n">
        <v>0</v>
      </c>
      <c r="I389" t="n">
        <v>0</v>
      </c>
      <c r="J389" t="n">
        <v>0</v>
      </c>
      <c r="K389" t="n">
        <v>0</v>
      </c>
      <c r="L389" t="n">
        <v>0</v>
      </c>
      <c r="M389" t="n">
        <v>0</v>
      </c>
      <c r="N389" t="n">
        <v>0</v>
      </c>
      <c r="O389" t="n">
        <v>0</v>
      </c>
      <c r="P389" t="n">
        <v>0</v>
      </c>
      <c r="Q389" t="n">
        <v>0</v>
      </c>
      <c r="R389" s="2" t="inlineStr"/>
    </row>
    <row r="390" ht="15" customHeight="1">
      <c r="A390" t="inlineStr">
        <is>
          <t>A 11639-2024</t>
        </is>
      </c>
      <c r="B390" s="1" t="n">
        <v>45373</v>
      </c>
      <c r="C390" s="1" t="n">
        <v>45913</v>
      </c>
      <c r="D390" t="inlineStr">
        <is>
          <t>JÄMTLANDS LÄN</t>
        </is>
      </c>
      <c r="E390" t="inlineStr">
        <is>
          <t>KROKOM</t>
        </is>
      </c>
      <c r="G390" t="n">
        <v>22.2</v>
      </c>
      <c r="H390" t="n">
        <v>0</v>
      </c>
      <c r="I390" t="n">
        <v>0</v>
      </c>
      <c r="J390" t="n">
        <v>0</v>
      </c>
      <c r="K390" t="n">
        <v>0</v>
      </c>
      <c r="L390" t="n">
        <v>0</v>
      </c>
      <c r="M390" t="n">
        <v>0</v>
      </c>
      <c r="N390" t="n">
        <v>0</v>
      </c>
      <c r="O390" t="n">
        <v>0</v>
      </c>
      <c r="P390" t="n">
        <v>0</v>
      </c>
      <c r="Q390" t="n">
        <v>0</v>
      </c>
      <c r="R390" s="2" t="inlineStr"/>
    </row>
    <row r="391" ht="15" customHeight="1">
      <c r="A391" t="inlineStr">
        <is>
          <t>A 50391-2024</t>
        </is>
      </c>
      <c r="B391" s="1" t="n">
        <v>45601.33743055556</v>
      </c>
      <c r="C391" s="1" t="n">
        <v>45913</v>
      </c>
      <c r="D391" t="inlineStr">
        <is>
          <t>JÄMTLANDS LÄN</t>
        </is>
      </c>
      <c r="E391" t="inlineStr">
        <is>
          <t>KROKOM</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56927-2023</t>
        </is>
      </c>
      <c r="B392" s="1" t="n">
        <v>45244</v>
      </c>
      <c r="C392" s="1" t="n">
        <v>45913</v>
      </c>
      <c r="D392" t="inlineStr">
        <is>
          <t>JÄMTLANDS LÄN</t>
        </is>
      </c>
      <c r="E392" t="inlineStr">
        <is>
          <t>KROKOM</t>
        </is>
      </c>
      <c r="G392" t="n">
        <v>14.1</v>
      </c>
      <c r="H392" t="n">
        <v>0</v>
      </c>
      <c r="I392" t="n">
        <v>0</v>
      </c>
      <c r="J392" t="n">
        <v>0</v>
      </c>
      <c r="K392" t="n">
        <v>0</v>
      </c>
      <c r="L392" t="n">
        <v>0</v>
      </c>
      <c r="M392" t="n">
        <v>0</v>
      </c>
      <c r="N392" t="n">
        <v>0</v>
      </c>
      <c r="O392" t="n">
        <v>0</v>
      </c>
      <c r="P392" t="n">
        <v>0</v>
      </c>
      <c r="Q392" t="n">
        <v>0</v>
      </c>
      <c r="R392" s="2" t="inlineStr"/>
    </row>
    <row r="393" ht="15" customHeight="1">
      <c r="A393" t="inlineStr">
        <is>
          <t>A 4355-2024</t>
        </is>
      </c>
      <c r="B393" s="1" t="n">
        <v>45324</v>
      </c>
      <c r="C393" s="1" t="n">
        <v>45913</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18980-2025</t>
        </is>
      </c>
      <c r="B394" s="1" t="n">
        <v>45764.55260416667</v>
      </c>
      <c r="C394" s="1" t="n">
        <v>45913</v>
      </c>
      <c r="D394" t="inlineStr">
        <is>
          <t>JÄMTLANDS LÄN</t>
        </is>
      </c>
      <c r="E394" t="inlineStr">
        <is>
          <t>KROKOM</t>
        </is>
      </c>
      <c r="G394" t="n">
        <v>3.2</v>
      </c>
      <c r="H394" t="n">
        <v>0</v>
      </c>
      <c r="I394" t="n">
        <v>0</v>
      </c>
      <c r="J394" t="n">
        <v>0</v>
      </c>
      <c r="K394" t="n">
        <v>0</v>
      </c>
      <c r="L394" t="n">
        <v>0</v>
      </c>
      <c r="M394" t="n">
        <v>0</v>
      </c>
      <c r="N394" t="n">
        <v>0</v>
      </c>
      <c r="O394" t="n">
        <v>0</v>
      </c>
      <c r="P394" t="n">
        <v>0</v>
      </c>
      <c r="Q394" t="n">
        <v>0</v>
      </c>
      <c r="R394" s="2" t="inlineStr"/>
    </row>
    <row r="395" ht="15" customHeight="1">
      <c r="A395" t="inlineStr">
        <is>
          <t>A 42828-2023</t>
        </is>
      </c>
      <c r="B395" s="1" t="n">
        <v>45182</v>
      </c>
      <c r="C395" s="1" t="n">
        <v>45913</v>
      </c>
      <c r="D395" t="inlineStr">
        <is>
          <t>JÄMTLANDS LÄN</t>
        </is>
      </c>
      <c r="E395" t="inlineStr">
        <is>
          <t>KROKOM</t>
        </is>
      </c>
      <c r="G395" t="n">
        <v>0.2</v>
      </c>
      <c r="H395" t="n">
        <v>0</v>
      </c>
      <c r="I395" t="n">
        <v>0</v>
      </c>
      <c r="J395" t="n">
        <v>0</v>
      </c>
      <c r="K395" t="n">
        <v>0</v>
      </c>
      <c r="L395" t="n">
        <v>0</v>
      </c>
      <c r="M395" t="n">
        <v>0</v>
      </c>
      <c r="N395" t="n">
        <v>0</v>
      </c>
      <c r="O395" t="n">
        <v>0</v>
      </c>
      <c r="P395" t="n">
        <v>0</v>
      </c>
      <c r="Q395" t="n">
        <v>0</v>
      </c>
      <c r="R395" s="2" t="inlineStr"/>
    </row>
    <row r="396" ht="15" customHeight="1">
      <c r="A396" t="inlineStr">
        <is>
          <t>A 50782-2023</t>
        </is>
      </c>
      <c r="B396" s="1" t="n">
        <v>45217</v>
      </c>
      <c r="C396" s="1" t="n">
        <v>45913</v>
      </c>
      <c r="D396" t="inlineStr">
        <is>
          <t>JÄMTLANDS LÄN</t>
        </is>
      </c>
      <c r="E396" t="inlineStr">
        <is>
          <t>KROKOM</t>
        </is>
      </c>
      <c r="G396" t="n">
        <v>3.5</v>
      </c>
      <c r="H396" t="n">
        <v>0</v>
      </c>
      <c r="I396" t="n">
        <v>0</v>
      </c>
      <c r="J396" t="n">
        <v>0</v>
      </c>
      <c r="K396" t="n">
        <v>0</v>
      </c>
      <c r="L396" t="n">
        <v>0</v>
      </c>
      <c r="M396" t="n">
        <v>0</v>
      </c>
      <c r="N396" t="n">
        <v>0</v>
      </c>
      <c r="O396" t="n">
        <v>0</v>
      </c>
      <c r="P396" t="n">
        <v>0</v>
      </c>
      <c r="Q396" t="n">
        <v>0</v>
      </c>
      <c r="R396" s="2" t="inlineStr"/>
    </row>
    <row r="397" ht="15" customHeight="1">
      <c r="A397" t="inlineStr">
        <is>
          <t>A 39126-2023</t>
        </is>
      </c>
      <c r="B397" s="1" t="n">
        <v>45165.69965277778</v>
      </c>
      <c r="C397" s="1" t="n">
        <v>45913</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47635-2023</t>
        </is>
      </c>
      <c r="B398" s="1" t="n">
        <v>45203</v>
      </c>
      <c r="C398" s="1" t="n">
        <v>45913</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785-2024</t>
        </is>
      </c>
      <c r="B399" s="1" t="n">
        <v>45300</v>
      </c>
      <c r="C399" s="1" t="n">
        <v>45913</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14184-2024</t>
        </is>
      </c>
      <c r="B400" s="1" t="n">
        <v>45393</v>
      </c>
      <c r="C400" s="1" t="n">
        <v>45913</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4354-2025</t>
        </is>
      </c>
      <c r="B401" s="1" t="n">
        <v>45686.32671296296</v>
      </c>
      <c r="C401" s="1" t="n">
        <v>45913</v>
      </c>
      <c r="D401" t="inlineStr">
        <is>
          <t>JÄMTLANDS LÄN</t>
        </is>
      </c>
      <c r="E401" t="inlineStr">
        <is>
          <t>KROKOM</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45913</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45913</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7072-2025</t>
        </is>
      </c>
      <c r="B404" s="1" t="n">
        <v>45701</v>
      </c>
      <c r="C404" s="1" t="n">
        <v>45913</v>
      </c>
      <c r="D404" t="inlineStr">
        <is>
          <t>JÄMTLANDS LÄN</t>
        </is>
      </c>
      <c r="E404" t="inlineStr">
        <is>
          <t>KROKOM</t>
        </is>
      </c>
      <c r="G404" t="n">
        <v>7.2</v>
      </c>
      <c r="H404" t="n">
        <v>0</v>
      </c>
      <c r="I404" t="n">
        <v>0</v>
      </c>
      <c r="J404" t="n">
        <v>0</v>
      </c>
      <c r="K404" t="n">
        <v>0</v>
      </c>
      <c r="L404" t="n">
        <v>0</v>
      </c>
      <c r="M404" t="n">
        <v>0</v>
      </c>
      <c r="N404" t="n">
        <v>0</v>
      </c>
      <c r="O404" t="n">
        <v>0</v>
      </c>
      <c r="P404" t="n">
        <v>0</v>
      </c>
      <c r="Q404" t="n">
        <v>0</v>
      </c>
      <c r="R404" s="2" t="inlineStr"/>
    </row>
    <row r="405" ht="15" customHeight="1">
      <c r="A405" t="inlineStr">
        <is>
          <t>A 27224-2024</t>
        </is>
      </c>
      <c r="B405" s="1" t="n">
        <v>45471.63390046296</v>
      </c>
      <c r="C405" s="1" t="n">
        <v>45913</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55914-2023</t>
        </is>
      </c>
      <c r="B406" s="1" t="n">
        <v>45239.9681712963</v>
      </c>
      <c r="C406" s="1" t="n">
        <v>45913</v>
      </c>
      <c r="D406" t="inlineStr">
        <is>
          <t>JÄMTLANDS LÄN</t>
        </is>
      </c>
      <c r="E406" t="inlineStr">
        <is>
          <t>KROKOM</t>
        </is>
      </c>
      <c r="G406" t="n">
        <v>0.6</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45913</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45913</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73174-2021</t>
        </is>
      </c>
      <c r="B409" s="1" t="n">
        <v>44550</v>
      </c>
      <c r="C409" s="1" t="n">
        <v>45913</v>
      </c>
      <c r="D409" t="inlineStr">
        <is>
          <t>JÄMTLANDS LÄN</t>
        </is>
      </c>
      <c r="E409" t="inlineStr">
        <is>
          <t>KROKOM</t>
        </is>
      </c>
      <c r="G409" t="n">
        <v>152.9</v>
      </c>
      <c r="H409" t="n">
        <v>0</v>
      </c>
      <c r="I409" t="n">
        <v>0</v>
      </c>
      <c r="J409" t="n">
        <v>0</v>
      </c>
      <c r="K409" t="n">
        <v>0</v>
      </c>
      <c r="L409" t="n">
        <v>0</v>
      </c>
      <c r="M409" t="n">
        <v>0</v>
      </c>
      <c r="N409" t="n">
        <v>0</v>
      </c>
      <c r="O409" t="n">
        <v>0</v>
      </c>
      <c r="P409" t="n">
        <v>0</v>
      </c>
      <c r="Q409" t="n">
        <v>0</v>
      </c>
      <c r="R409" s="2" t="inlineStr"/>
    </row>
    <row r="410" ht="15" customHeight="1">
      <c r="A410" t="inlineStr">
        <is>
          <t>A 9132-2023</t>
        </is>
      </c>
      <c r="B410" s="1" t="n">
        <v>44974</v>
      </c>
      <c r="C410" s="1" t="n">
        <v>45913</v>
      </c>
      <c r="D410" t="inlineStr">
        <is>
          <t>JÄMTLANDS LÄN</t>
        </is>
      </c>
      <c r="E410" t="inlineStr">
        <is>
          <t>KROKOM</t>
        </is>
      </c>
      <c r="F410" t="inlineStr">
        <is>
          <t>SCA</t>
        </is>
      </c>
      <c r="G410" t="n">
        <v>22.7</v>
      </c>
      <c r="H410" t="n">
        <v>0</v>
      </c>
      <c r="I410" t="n">
        <v>0</v>
      </c>
      <c r="J410" t="n">
        <v>0</v>
      </c>
      <c r="K410" t="n">
        <v>0</v>
      </c>
      <c r="L410" t="n">
        <v>0</v>
      </c>
      <c r="M410" t="n">
        <v>0</v>
      </c>
      <c r="N410" t="n">
        <v>0</v>
      </c>
      <c r="O410" t="n">
        <v>0</v>
      </c>
      <c r="P410" t="n">
        <v>0</v>
      </c>
      <c r="Q410" t="n">
        <v>0</v>
      </c>
      <c r="R410" s="2" t="inlineStr"/>
    </row>
    <row r="411" ht="15" customHeight="1">
      <c r="A411" t="inlineStr">
        <is>
          <t>A 56361-2023</t>
        </is>
      </c>
      <c r="B411" s="1" t="n">
        <v>45243.37567129629</v>
      </c>
      <c r="C411" s="1" t="n">
        <v>45913</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9623-2025</t>
        </is>
      </c>
      <c r="B412" s="1" t="n">
        <v>45715</v>
      </c>
      <c r="C412" s="1" t="n">
        <v>45913</v>
      </c>
      <c r="D412" t="inlineStr">
        <is>
          <t>JÄMTLANDS LÄN</t>
        </is>
      </c>
      <c r="E412" t="inlineStr">
        <is>
          <t>KROKOM</t>
        </is>
      </c>
      <c r="F412" t="inlineStr">
        <is>
          <t>Kyrkan</t>
        </is>
      </c>
      <c r="G412" t="n">
        <v>2.8</v>
      </c>
      <c r="H412" t="n">
        <v>0</v>
      </c>
      <c r="I412" t="n">
        <v>0</v>
      </c>
      <c r="J412" t="n">
        <v>0</v>
      </c>
      <c r="K412" t="n">
        <v>0</v>
      </c>
      <c r="L412" t="n">
        <v>0</v>
      </c>
      <c r="M412" t="n">
        <v>0</v>
      </c>
      <c r="N412" t="n">
        <v>0</v>
      </c>
      <c r="O412" t="n">
        <v>0</v>
      </c>
      <c r="P412" t="n">
        <v>0</v>
      </c>
      <c r="Q412" t="n">
        <v>0</v>
      </c>
      <c r="R412" s="2" t="inlineStr"/>
    </row>
    <row r="413" ht="15" customHeight="1">
      <c r="A413" t="inlineStr">
        <is>
          <t>A 20798-2025</t>
        </is>
      </c>
      <c r="B413" s="1" t="n">
        <v>45776</v>
      </c>
      <c r="C413" s="1" t="n">
        <v>45913</v>
      </c>
      <c r="D413" t="inlineStr">
        <is>
          <t>JÄMTLANDS LÄN</t>
        </is>
      </c>
      <c r="E413" t="inlineStr">
        <is>
          <t>KROKOM</t>
        </is>
      </c>
      <c r="G413" t="n">
        <v>2.2</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45913</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5498-2025</t>
        </is>
      </c>
      <c r="B415" s="1" t="n">
        <v>45693</v>
      </c>
      <c r="C415" s="1" t="n">
        <v>45913</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21153-2025</t>
        </is>
      </c>
      <c r="B416" s="1" t="n">
        <v>45777</v>
      </c>
      <c r="C416" s="1" t="n">
        <v>45913</v>
      </c>
      <c r="D416" t="inlineStr">
        <is>
          <t>JÄMTLANDS LÄN</t>
        </is>
      </c>
      <c r="E416" t="inlineStr">
        <is>
          <t>KROKOM</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24333-2024</t>
        </is>
      </c>
      <c r="B417" s="1" t="n">
        <v>45457.55922453704</v>
      </c>
      <c r="C417" s="1" t="n">
        <v>45913</v>
      </c>
      <c r="D417" t="inlineStr">
        <is>
          <t>JÄMTLANDS LÄN</t>
        </is>
      </c>
      <c r="E417" t="inlineStr">
        <is>
          <t>KROKOM</t>
        </is>
      </c>
      <c r="F417" t="inlineStr">
        <is>
          <t>Övriga Aktiebolag</t>
        </is>
      </c>
      <c r="G417" t="n">
        <v>1.8</v>
      </c>
      <c r="H417" t="n">
        <v>0</v>
      </c>
      <c r="I417" t="n">
        <v>0</v>
      </c>
      <c r="J417" t="n">
        <v>0</v>
      </c>
      <c r="K417" t="n">
        <v>0</v>
      </c>
      <c r="L417" t="n">
        <v>0</v>
      </c>
      <c r="M417" t="n">
        <v>0</v>
      </c>
      <c r="N417" t="n">
        <v>0</v>
      </c>
      <c r="O417" t="n">
        <v>0</v>
      </c>
      <c r="P417" t="n">
        <v>0</v>
      </c>
      <c r="Q417" t="n">
        <v>0</v>
      </c>
      <c r="R417" s="2" t="inlineStr"/>
    </row>
    <row r="418" ht="15" customHeight="1">
      <c r="A418" t="inlineStr">
        <is>
          <t>A 57304-2021</t>
        </is>
      </c>
      <c r="B418" s="1" t="n">
        <v>44483.42253472222</v>
      </c>
      <c r="C418" s="1" t="n">
        <v>45913</v>
      </c>
      <c r="D418" t="inlineStr">
        <is>
          <t>JÄMTLANDS LÄN</t>
        </is>
      </c>
      <c r="E418" t="inlineStr">
        <is>
          <t>KROKOM</t>
        </is>
      </c>
      <c r="G418" t="n">
        <v>2.9</v>
      </c>
      <c r="H418" t="n">
        <v>0</v>
      </c>
      <c r="I418" t="n">
        <v>0</v>
      </c>
      <c r="J418" t="n">
        <v>0</v>
      </c>
      <c r="K418" t="n">
        <v>0</v>
      </c>
      <c r="L418" t="n">
        <v>0</v>
      </c>
      <c r="M418" t="n">
        <v>0</v>
      </c>
      <c r="N418" t="n">
        <v>0</v>
      </c>
      <c r="O418" t="n">
        <v>0</v>
      </c>
      <c r="P418" t="n">
        <v>0</v>
      </c>
      <c r="Q418" t="n">
        <v>0</v>
      </c>
      <c r="R418" s="2" t="inlineStr"/>
    </row>
    <row r="419" ht="15" customHeight="1">
      <c r="A419" t="inlineStr">
        <is>
          <t>A 8784-2025</t>
        </is>
      </c>
      <c r="B419" s="1" t="n">
        <v>45712</v>
      </c>
      <c r="C419" s="1" t="n">
        <v>45913</v>
      </c>
      <c r="D419" t="inlineStr">
        <is>
          <t>JÄMTLANDS LÄN</t>
        </is>
      </c>
      <c r="E419" t="inlineStr">
        <is>
          <t>KROKOM</t>
        </is>
      </c>
      <c r="G419" t="n">
        <v>10.1</v>
      </c>
      <c r="H419" t="n">
        <v>0</v>
      </c>
      <c r="I419" t="n">
        <v>0</v>
      </c>
      <c r="J419" t="n">
        <v>0</v>
      </c>
      <c r="K419" t="n">
        <v>0</v>
      </c>
      <c r="L419" t="n">
        <v>0</v>
      </c>
      <c r="M419" t="n">
        <v>0</v>
      </c>
      <c r="N419" t="n">
        <v>0</v>
      </c>
      <c r="O419" t="n">
        <v>0</v>
      </c>
      <c r="P419" t="n">
        <v>0</v>
      </c>
      <c r="Q419" t="n">
        <v>0</v>
      </c>
      <c r="R419" s="2" t="inlineStr"/>
    </row>
    <row r="420" ht="15" customHeight="1">
      <c r="A420" t="inlineStr">
        <is>
          <t>A 66683-2021</t>
        </is>
      </c>
      <c r="B420" s="1" t="n">
        <v>44519.63436342592</v>
      </c>
      <c r="C420" s="1" t="n">
        <v>45913</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61615-2023</t>
        </is>
      </c>
      <c r="B421" s="1" t="n">
        <v>45265.52887731481</v>
      </c>
      <c r="C421" s="1" t="n">
        <v>45913</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21027-2025</t>
        </is>
      </c>
      <c r="B422" s="1" t="n">
        <v>45777</v>
      </c>
      <c r="C422" s="1" t="n">
        <v>45913</v>
      </c>
      <c r="D422" t="inlineStr">
        <is>
          <t>JÄMTLANDS LÄN</t>
        </is>
      </c>
      <c r="E422" t="inlineStr">
        <is>
          <t>KROKOM</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21029-2025</t>
        </is>
      </c>
      <c r="B423" s="1" t="n">
        <v>45777</v>
      </c>
      <c r="C423" s="1" t="n">
        <v>45913</v>
      </c>
      <c r="D423" t="inlineStr">
        <is>
          <t>JÄMTLANDS LÄN</t>
        </is>
      </c>
      <c r="E423" t="inlineStr">
        <is>
          <t>KROKOM</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15638-2025</t>
        </is>
      </c>
      <c r="B424" s="1" t="n">
        <v>45748.3822337963</v>
      </c>
      <c r="C424" s="1" t="n">
        <v>45913</v>
      </c>
      <c r="D424" t="inlineStr">
        <is>
          <t>JÄMTLANDS LÄN</t>
        </is>
      </c>
      <c r="E424" t="inlineStr">
        <is>
          <t>KROKOM</t>
        </is>
      </c>
      <c r="F424" t="inlineStr">
        <is>
          <t>Kyrkan</t>
        </is>
      </c>
      <c r="G424" t="n">
        <v>5.9</v>
      </c>
      <c r="H424" t="n">
        <v>0</v>
      </c>
      <c r="I424" t="n">
        <v>0</v>
      </c>
      <c r="J424" t="n">
        <v>0</v>
      </c>
      <c r="K424" t="n">
        <v>0</v>
      </c>
      <c r="L424" t="n">
        <v>0</v>
      </c>
      <c r="M424" t="n">
        <v>0</v>
      </c>
      <c r="N424" t="n">
        <v>0</v>
      </c>
      <c r="O424" t="n">
        <v>0</v>
      </c>
      <c r="P424" t="n">
        <v>0</v>
      </c>
      <c r="Q424" t="n">
        <v>0</v>
      </c>
      <c r="R424" s="2" t="inlineStr"/>
    </row>
    <row r="425" ht="15" customHeight="1">
      <c r="A425" t="inlineStr">
        <is>
          <t>A 27440-2024</t>
        </is>
      </c>
      <c r="B425" s="1" t="n">
        <v>45474</v>
      </c>
      <c r="C425" s="1" t="n">
        <v>45913</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64764-2023</t>
        </is>
      </c>
      <c r="B426" s="1" t="n">
        <v>45282</v>
      </c>
      <c r="C426" s="1" t="n">
        <v>45913</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23665-2024</t>
        </is>
      </c>
      <c r="B427" s="1" t="n">
        <v>45454.57899305555</v>
      </c>
      <c r="C427" s="1" t="n">
        <v>45913</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45913</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45913</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45913</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65508-2021</t>
        </is>
      </c>
      <c r="B431" s="1" t="n">
        <v>44516</v>
      </c>
      <c r="C431" s="1" t="n">
        <v>45913</v>
      </c>
      <c r="D431" t="inlineStr">
        <is>
          <t>JÄMTLANDS LÄN</t>
        </is>
      </c>
      <c r="E431" t="inlineStr">
        <is>
          <t>KROKOM</t>
        </is>
      </c>
      <c r="G431" t="n">
        <v>0.3</v>
      </c>
      <c r="H431" t="n">
        <v>0</v>
      </c>
      <c r="I431" t="n">
        <v>0</v>
      </c>
      <c r="J431" t="n">
        <v>0</v>
      </c>
      <c r="K431" t="n">
        <v>0</v>
      </c>
      <c r="L431" t="n">
        <v>0</v>
      </c>
      <c r="M431" t="n">
        <v>0</v>
      </c>
      <c r="N431" t="n">
        <v>0</v>
      </c>
      <c r="O431" t="n">
        <v>0</v>
      </c>
      <c r="P431" t="n">
        <v>0</v>
      </c>
      <c r="Q431" t="n">
        <v>0</v>
      </c>
      <c r="R431" s="2" t="inlineStr"/>
    </row>
    <row r="432" ht="15" customHeight="1">
      <c r="A432" t="inlineStr">
        <is>
          <t>A 21276-2025</t>
        </is>
      </c>
      <c r="B432" s="1" t="n">
        <v>45779.63834490741</v>
      </c>
      <c r="C432" s="1" t="n">
        <v>45913</v>
      </c>
      <c r="D432" t="inlineStr">
        <is>
          <t>JÄMTLANDS LÄN</t>
        </is>
      </c>
      <c r="E432" t="inlineStr">
        <is>
          <t>KROKOM</t>
        </is>
      </c>
      <c r="G432" t="n">
        <v>4.3</v>
      </c>
      <c r="H432" t="n">
        <v>0</v>
      </c>
      <c r="I432" t="n">
        <v>0</v>
      </c>
      <c r="J432" t="n">
        <v>0</v>
      </c>
      <c r="K432" t="n">
        <v>0</v>
      </c>
      <c r="L432" t="n">
        <v>0</v>
      </c>
      <c r="M432" t="n">
        <v>0</v>
      </c>
      <c r="N432" t="n">
        <v>0</v>
      </c>
      <c r="O432" t="n">
        <v>0</v>
      </c>
      <c r="P432" t="n">
        <v>0</v>
      </c>
      <c r="Q432" t="n">
        <v>0</v>
      </c>
      <c r="R432" s="2" t="inlineStr"/>
    </row>
    <row r="433" ht="15" customHeight="1">
      <c r="A433" t="inlineStr">
        <is>
          <t>A 24234-2024</t>
        </is>
      </c>
      <c r="B433" s="1" t="n">
        <v>45457.35388888889</v>
      </c>
      <c r="C433" s="1" t="n">
        <v>45913</v>
      </c>
      <c r="D433" t="inlineStr">
        <is>
          <t>JÄMTLANDS LÄN</t>
        </is>
      </c>
      <c r="E433" t="inlineStr">
        <is>
          <t>KROKOM</t>
        </is>
      </c>
      <c r="G433" t="n">
        <v>2.6</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45913</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36439-2023</t>
        </is>
      </c>
      <c r="B435" s="1" t="n">
        <v>45152</v>
      </c>
      <c r="C435" s="1" t="n">
        <v>45913</v>
      </c>
      <c r="D435" t="inlineStr">
        <is>
          <t>JÄMTLANDS LÄN</t>
        </is>
      </c>
      <c r="E435" t="inlineStr">
        <is>
          <t>KROKOM</t>
        </is>
      </c>
      <c r="F435" t="inlineStr">
        <is>
          <t>Övriga Aktiebolag</t>
        </is>
      </c>
      <c r="G435" t="n">
        <v>7.4</v>
      </c>
      <c r="H435" t="n">
        <v>0</v>
      </c>
      <c r="I435" t="n">
        <v>0</v>
      </c>
      <c r="J435" t="n">
        <v>0</v>
      </c>
      <c r="K435" t="n">
        <v>0</v>
      </c>
      <c r="L435" t="n">
        <v>0</v>
      </c>
      <c r="M435" t="n">
        <v>0</v>
      </c>
      <c r="N435" t="n">
        <v>0</v>
      </c>
      <c r="O435" t="n">
        <v>0</v>
      </c>
      <c r="P435" t="n">
        <v>0</v>
      </c>
      <c r="Q435" t="n">
        <v>0</v>
      </c>
      <c r="R435" s="2" t="inlineStr"/>
    </row>
    <row r="436" ht="15" customHeight="1">
      <c r="A436" t="inlineStr">
        <is>
          <t>A 21254-2025</t>
        </is>
      </c>
      <c r="B436" s="1" t="n">
        <v>45779.57626157408</v>
      </c>
      <c r="C436" s="1" t="n">
        <v>45913</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21280-2025</t>
        </is>
      </c>
      <c r="B437" s="1" t="n">
        <v>45779.65980324074</v>
      </c>
      <c r="C437" s="1" t="n">
        <v>45913</v>
      </c>
      <c r="D437" t="inlineStr">
        <is>
          <t>JÄMTLANDS LÄN</t>
        </is>
      </c>
      <c r="E437" t="inlineStr">
        <is>
          <t>KROKOM</t>
        </is>
      </c>
      <c r="G437" t="n">
        <v>30.9</v>
      </c>
      <c r="H437" t="n">
        <v>0</v>
      </c>
      <c r="I437" t="n">
        <v>0</v>
      </c>
      <c r="J437" t="n">
        <v>0</v>
      </c>
      <c r="K437" t="n">
        <v>0</v>
      </c>
      <c r="L437" t="n">
        <v>0</v>
      </c>
      <c r="M437" t="n">
        <v>0</v>
      </c>
      <c r="N437" t="n">
        <v>0</v>
      </c>
      <c r="O437" t="n">
        <v>0</v>
      </c>
      <c r="P437" t="n">
        <v>0</v>
      </c>
      <c r="Q437" t="n">
        <v>0</v>
      </c>
      <c r="R437" s="2" t="inlineStr"/>
    </row>
    <row r="438" ht="15" customHeight="1">
      <c r="A438" t="inlineStr">
        <is>
          <t>A 21172-2025</t>
        </is>
      </c>
      <c r="B438" s="1" t="n">
        <v>45779.42630787037</v>
      </c>
      <c r="C438" s="1" t="n">
        <v>45913</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16817-2024</t>
        </is>
      </c>
      <c r="B439" s="1" t="n">
        <v>45411.4666087963</v>
      </c>
      <c r="C439" s="1" t="n">
        <v>45913</v>
      </c>
      <c r="D439" t="inlineStr">
        <is>
          <t>JÄMTLANDS LÄN</t>
        </is>
      </c>
      <c r="E439" t="inlineStr">
        <is>
          <t>KROKOM</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21240-2025</t>
        </is>
      </c>
      <c r="B440" s="1" t="n">
        <v>45779.5674074074</v>
      </c>
      <c r="C440" s="1" t="n">
        <v>45913</v>
      </c>
      <c r="D440" t="inlineStr">
        <is>
          <t>JÄMTLANDS LÄN</t>
        </is>
      </c>
      <c r="E440" t="inlineStr">
        <is>
          <t>KROKOM</t>
        </is>
      </c>
      <c r="G440" t="n">
        <v>3.3</v>
      </c>
      <c r="H440" t="n">
        <v>0</v>
      </c>
      <c r="I440" t="n">
        <v>0</v>
      </c>
      <c r="J440" t="n">
        <v>0</v>
      </c>
      <c r="K440" t="n">
        <v>0</v>
      </c>
      <c r="L440" t="n">
        <v>0</v>
      </c>
      <c r="M440" t="n">
        <v>0</v>
      </c>
      <c r="N440" t="n">
        <v>0</v>
      </c>
      <c r="O440" t="n">
        <v>0</v>
      </c>
      <c r="P440" t="n">
        <v>0</v>
      </c>
      <c r="Q440" t="n">
        <v>0</v>
      </c>
      <c r="R440" s="2" t="inlineStr"/>
    </row>
    <row r="441" ht="15" customHeight="1">
      <c r="A441" t="inlineStr">
        <is>
          <t>A 6068-2025</t>
        </is>
      </c>
      <c r="B441" s="1" t="n">
        <v>45696</v>
      </c>
      <c r="C441" s="1" t="n">
        <v>45913</v>
      </c>
      <c r="D441" t="inlineStr">
        <is>
          <t>JÄMTLANDS LÄN</t>
        </is>
      </c>
      <c r="E441" t="inlineStr">
        <is>
          <t>KROKOM</t>
        </is>
      </c>
      <c r="F441" t="inlineStr">
        <is>
          <t>Övriga Aktiebolag</t>
        </is>
      </c>
      <c r="G441" t="n">
        <v>17.2</v>
      </c>
      <c r="H441" t="n">
        <v>0</v>
      </c>
      <c r="I441" t="n">
        <v>0</v>
      </c>
      <c r="J441" t="n">
        <v>0</v>
      </c>
      <c r="K441" t="n">
        <v>0</v>
      </c>
      <c r="L441" t="n">
        <v>0</v>
      </c>
      <c r="M441" t="n">
        <v>0</v>
      </c>
      <c r="N441" t="n">
        <v>0</v>
      </c>
      <c r="O441" t="n">
        <v>0</v>
      </c>
      <c r="P441" t="n">
        <v>0</v>
      </c>
      <c r="Q441" t="n">
        <v>0</v>
      </c>
      <c r="R441" s="2" t="inlineStr"/>
    </row>
    <row r="442" ht="15" customHeight="1">
      <c r="A442" t="inlineStr">
        <is>
          <t>A 62739-2021</t>
        </is>
      </c>
      <c r="B442" s="1" t="n">
        <v>44504</v>
      </c>
      <c r="C442" s="1" t="n">
        <v>45913</v>
      </c>
      <c r="D442" t="inlineStr">
        <is>
          <t>JÄMTLANDS LÄN</t>
        </is>
      </c>
      <c r="E442" t="inlineStr">
        <is>
          <t>KROKOM</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14032-2024</t>
        </is>
      </c>
      <c r="B443" s="1" t="n">
        <v>45392</v>
      </c>
      <c r="C443" s="1" t="n">
        <v>45913</v>
      </c>
      <c r="D443" t="inlineStr">
        <is>
          <t>JÄMTLANDS LÄN</t>
        </is>
      </c>
      <c r="E443" t="inlineStr">
        <is>
          <t>KROKOM</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45913</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2609-2023</t>
        </is>
      </c>
      <c r="B445" s="1" t="n">
        <v>44939</v>
      </c>
      <c r="C445" s="1" t="n">
        <v>45913</v>
      </c>
      <c r="D445" t="inlineStr">
        <is>
          <t>JÄMTLANDS LÄN</t>
        </is>
      </c>
      <c r="E445" t="inlineStr">
        <is>
          <t>KROKOM</t>
        </is>
      </c>
      <c r="G445" t="n">
        <v>16.9</v>
      </c>
      <c r="H445" t="n">
        <v>0</v>
      </c>
      <c r="I445" t="n">
        <v>0</v>
      </c>
      <c r="J445" t="n">
        <v>0</v>
      </c>
      <c r="K445" t="n">
        <v>0</v>
      </c>
      <c r="L445" t="n">
        <v>0</v>
      </c>
      <c r="M445" t="n">
        <v>0</v>
      </c>
      <c r="N445" t="n">
        <v>0</v>
      </c>
      <c r="O445" t="n">
        <v>0</v>
      </c>
      <c r="P445" t="n">
        <v>0</v>
      </c>
      <c r="Q445" t="n">
        <v>0</v>
      </c>
      <c r="R445" s="2" t="inlineStr"/>
    </row>
    <row r="446" ht="15" customHeight="1">
      <c r="A446" t="inlineStr">
        <is>
          <t>A 39263-2024</t>
        </is>
      </c>
      <c r="B446" s="1" t="n">
        <v>45551.34414351852</v>
      </c>
      <c r="C446" s="1" t="n">
        <v>45913</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21654-2025</t>
        </is>
      </c>
      <c r="B447" s="1" t="n">
        <v>45783.45121527778</v>
      </c>
      <c r="C447" s="1" t="n">
        <v>45913</v>
      </c>
      <c r="D447" t="inlineStr">
        <is>
          <t>JÄMTLANDS LÄN</t>
        </is>
      </c>
      <c r="E447" t="inlineStr">
        <is>
          <t>KROKOM</t>
        </is>
      </c>
      <c r="G447" t="n">
        <v>7.4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45913</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45913</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45913</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28137-2023</t>
        </is>
      </c>
      <c r="B451" s="1" t="n">
        <v>45096</v>
      </c>
      <c r="C451" s="1" t="n">
        <v>45913</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45869-2024</t>
        </is>
      </c>
      <c r="B452" s="1" t="n">
        <v>45580.36991898148</v>
      </c>
      <c r="C452" s="1" t="n">
        <v>45913</v>
      </c>
      <c r="D452" t="inlineStr">
        <is>
          <t>JÄMTLANDS LÄN</t>
        </is>
      </c>
      <c r="E452" t="inlineStr">
        <is>
          <t>KROKOM</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27596-2024</t>
        </is>
      </c>
      <c r="B453" s="1" t="n">
        <v>45474.69074074074</v>
      </c>
      <c r="C453" s="1" t="n">
        <v>45913</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14240-2025</t>
        </is>
      </c>
      <c r="B454" s="1" t="n">
        <v>45740</v>
      </c>
      <c r="C454" s="1" t="n">
        <v>45913</v>
      </c>
      <c r="D454" t="inlineStr">
        <is>
          <t>JÄMTLANDS LÄN</t>
        </is>
      </c>
      <c r="E454" t="inlineStr">
        <is>
          <t>KROKOM</t>
        </is>
      </c>
      <c r="G454" t="n">
        <v>30.3</v>
      </c>
      <c r="H454" t="n">
        <v>0</v>
      </c>
      <c r="I454" t="n">
        <v>0</v>
      </c>
      <c r="J454" t="n">
        <v>0</v>
      </c>
      <c r="K454" t="n">
        <v>0</v>
      </c>
      <c r="L454" t="n">
        <v>0</v>
      </c>
      <c r="M454" t="n">
        <v>0</v>
      </c>
      <c r="N454" t="n">
        <v>0</v>
      </c>
      <c r="O454" t="n">
        <v>0</v>
      </c>
      <c r="P454" t="n">
        <v>0</v>
      </c>
      <c r="Q454" t="n">
        <v>0</v>
      </c>
      <c r="R454" s="2" t="inlineStr"/>
    </row>
    <row r="455" ht="15" customHeight="1">
      <c r="A455" t="inlineStr">
        <is>
          <t>A 52313-2024</t>
        </is>
      </c>
      <c r="B455" s="1" t="n">
        <v>45608.86341435185</v>
      </c>
      <c r="C455" s="1" t="n">
        <v>45913</v>
      </c>
      <c r="D455" t="inlineStr">
        <is>
          <t>JÄMTLANDS LÄN</t>
        </is>
      </c>
      <c r="E455" t="inlineStr">
        <is>
          <t>KROKOM</t>
        </is>
      </c>
      <c r="G455" t="n">
        <v>6.4</v>
      </c>
      <c r="H455" t="n">
        <v>0</v>
      </c>
      <c r="I455" t="n">
        <v>0</v>
      </c>
      <c r="J455" t="n">
        <v>0</v>
      </c>
      <c r="K455" t="n">
        <v>0</v>
      </c>
      <c r="L455" t="n">
        <v>0</v>
      </c>
      <c r="M455" t="n">
        <v>0</v>
      </c>
      <c r="N455" t="n">
        <v>0</v>
      </c>
      <c r="O455" t="n">
        <v>0</v>
      </c>
      <c r="P455" t="n">
        <v>0</v>
      </c>
      <c r="Q455" t="n">
        <v>0</v>
      </c>
      <c r="R455" s="2" t="inlineStr"/>
    </row>
    <row r="456" ht="15" customHeight="1">
      <c r="A456" t="inlineStr">
        <is>
          <t>A 32692-2023</t>
        </is>
      </c>
      <c r="B456" s="1" t="n">
        <v>45112</v>
      </c>
      <c r="C456" s="1" t="n">
        <v>45913</v>
      </c>
      <c r="D456" t="inlineStr">
        <is>
          <t>JÄMTLANDS LÄN</t>
        </is>
      </c>
      <c r="E456" t="inlineStr">
        <is>
          <t>KROKOM</t>
        </is>
      </c>
      <c r="G456" t="n">
        <v>6.6</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45913</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17820-2024</t>
        </is>
      </c>
      <c r="B458" s="1" t="n">
        <v>45418.94616898148</v>
      </c>
      <c r="C458" s="1" t="n">
        <v>45913</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22681-2025</t>
        </is>
      </c>
      <c r="B459" s="1" t="n">
        <v>45786</v>
      </c>
      <c r="C459" s="1" t="n">
        <v>45913</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22122-2025</t>
        </is>
      </c>
      <c r="B460" s="1" t="n">
        <v>45785.52112268518</v>
      </c>
      <c r="C460" s="1" t="n">
        <v>45913</v>
      </c>
      <c r="D460" t="inlineStr">
        <is>
          <t>JÄMTLANDS LÄN</t>
        </is>
      </c>
      <c r="E460" t="inlineStr">
        <is>
          <t>KROKOM</t>
        </is>
      </c>
      <c r="G460" t="n">
        <v>9.6</v>
      </c>
      <c r="H460" t="n">
        <v>0</v>
      </c>
      <c r="I460" t="n">
        <v>0</v>
      </c>
      <c r="J460" t="n">
        <v>0</v>
      </c>
      <c r="K460" t="n">
        <v>0</v>
      </c>
      <c r="L460" t="n">
        <v>0</v>
      </c>
      <c r="M460" t="n">
        <v>0</v>
      </c>
      <c r="N460" t="n">
        <v>0</v>
      </c>
      <c r="O460" t="n">
        <v>0</v>
      </c>
      <c r="P460" t="n">
        <v>0</v>
      </c>
      <c r="Q460" t="n">
        <v>0</v>
      </c>
      <c r="R460" s="2" t="inlineStr"/>
    </row>
    <row r="461" ht="15" customHeight="1">
      <c r="A461" t="inlineStr">
        <is>
          <t>A 22132-2025</t>
        </is>
      </c>
      <c r="B461" s="1" t="n">
        <v>45785.5403125</v>
      </c>
      <c r="C461" s="1" t="n">
        <v>45913</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31601-2023</t>
        </is>
      </c>
      <c r="B462" s="1" t="n">
        <v>45117</v>
      </c>
      <c r="C462" s="1" t="n">
        <v>45913</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45777-2024</t>
        </is>
      </c>
      <c r="B463" s="1" t="n">
        <v>45579.66459490741</v>
      </c>
      <c r="C463" s="1" t="n">
        <v>45913</v>
      </c>
      <c r="D463" t="inlineStr">
        <is>
          <t>JÄMTLANDS LÄN</t>
        </is>
      </c>
      <c r="E463" t="inlineStr">
        <is>
          <t>KROKOM</t>
        </is>
      </c>
      <c r="G463" t="n">
        <v>5.3</v>
      </c>
      <c r="H463" t="n">
        <v>0</v>
      </c>
      <c r="I463" t="n">
        <v>0</v>
      </c>
      <c r="J463" t="n">
        <v>0</v>
      </c>
      <c r="K463" t="n">
        <v>0</v>
      </c>
      <c r="L463" t="n">
        <v>0</v>
      </c>
      <c r="M463" t="n">
        <v>0</v>
      </c>
      <c r="N463" t="n">
        <v>0</v>
      </c>
      <c r="O463" t="n">
        <v>0</v>
      </c>
      <c r="P463" t="n">
        <v>0</v>
      </c>
      <c r="Q463" t="n">
        <v>0</v>
      </c>
      <c r="R463" s="2" t="inlineStr"/>
    </row>
    <row r="464" ht="15" customHeight="1">
      <c r="A464" t="inlineStr">
        <is>
          <t>A 14029-2024</t>
        </is>
      </c>
      <c r="B464" s="1" t="n">
        <v>45392</v>
      </c>
      <c r="C464" s="1" t="n">
        <v>45913</v>
      </c>
      <c r="D464" t="inlineStr">
        <is>
          <t>JÄMTLANDS LÄN</t>
        </is>
      </c>
      <c r="E464" t="inlineStr">
        <is>
          <t>KROKOM</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56557-2021</t>
        </is>
      </c>
      <c r="B465" s="1" t="n">
        <v>44480</v>
      </c>
      <c r="C465" s="1" t="n">
        <v>45913</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63960-2023</t>
        </is>
      </c>
      <c r="B466" s="1" t="n">
        <v>45278.65582175926</v>
      </c>
      <c r="C466" s="1" t="n">
        <v>45913</v>
      </c>
      <c r="D466" t="inlineStr">
        <is>
          <t>JÄMTLANDS LÄN</t>
        </is>
      </c>
      <c r="E466" t="inlineStr">
        <is>
          <t>KROKOM</t>
        </is>
      </c>
      <c r="G466" t="n">
        <v>0.7</v>
      </c>
      <c r="H466" t="n">
        <v>0</v>
      </c>
      <c r="I466" t="n">
        <v>0</v>
      </c>
      <c r="J466" t="n">
        <v>0</v>
      </c>
      <c r="K466" t="n">
        <v>0</v>
      </c>
      <c r="L466" t="n">
        <v>0</v>
      </c>
      <c r="M466" t="n">
        <v>0</v>
      </c>
      <c r="N466" t="n">
        <v>0</v>
      </c>
      <c r="O466" t="n">
        <v>0</v>
      </c>
      <c r="P466" t="n">
        <v>0</v>
      </c>
      <c r="Q466" t="n">
        <v>0</v>
      </c>
      <c r="R466" s="2" t="inlineStr"/>
    </row>
    <row r="467" ht="15" customHeight="1">
      <c r="A467" t="inlineStr">
        <is>
          <t>A 26228-2024</t>
        </is>
      </c>
      <c r="B467" s="1" t="n">
        <v>45467</v>
      </c>
      <c r="C467" s="1" t="n">
        <v>45913</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22136-2025</t>
        </is>
      </c>
      <c r="B468" s="1" t="n">
        <v>45785.54635416667</v>
      </c>
      <c r="C468" s="1" t="n">
        <v>45913</v>
      </c>
      <c r="D468" t="inlineStr">
        <is>
          <t>JÄMTLANDS LÄN</t>
        </is>
      </c>
      <c r="E468" t="inlineStr">
        <is>
          <t>KROKOM</t>
        </is>
      </c>
      <c r="G468" t="n">
        <v>2.1</v>
      </c>
      <c r="H468" t="n">
        <v>0</v>
      </c>
      <c r="I468" t="n">
        <v>0</v>
      </c>
      <c r="J468" t="n">
        <v>0</v>
      </c>
      <c r="K468" t="n">
        <v>0</v>
      </c>
      <c r="L468" t="n">
        <v>0</v>
      </c>
      <c r="M468" t="n">
        <v>0</v>
      </c>
      <c r="N468" t="n">
        <v>0</v>
      </c>
      <c r="O468" t="n">
        <v>0</v>
      </c>
      <c r="P468" t="n">
        <v>0</v>
      </c>
      <c r="Q468" t="n">
        <v>0</v>
      </c>
      <c r="R468" s="2" t="inlineStr"/>
    </row>
    <row r="469" ht="15" customHeight="1">
      <c r="A469" t="inlineStr">
        <is>
          <t>A 22304-2025</t>
        </is>
      </c>
      <c r="B469" s="1" t="n">
        <v>45786</v>
      </c>
      <c r="C469" s="1" t="n">
        <v>45913</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48971-2024</t>
        </is>
      </c>
      <c r="B470" s="1" t="n">
        <v>45594.463125</v>
      </c>
      <c r="C470" s="1" t="n">
        <v>45913</v>
      </c>
      <c r="D470" t="inlineStr">
        <is>
          <t>JÄMTLANDS LÄN</t>
        </is>
      </c>
      <c r="E470" t="inlineStr">
        <is>
          <t>KROKOM</t>
        </is>
      </c>
      <c r="G470" t="n">
        <v>11.8</v>
      </c>
      <c r="H470" t="n">
        <v>0</v>
      </c>
      <c r="I470" t="n">
        <v>0</v>
      </c>
      <c r="J470" t="n">
        <v>0</v>
      </c>
      <c r="K470" t="n">
        <v>0</v>
      </c>
      <c r="L470" t="n">
        <v>0</v>
      </c>
      <c r="M470" t="n">
        <v>0</v>
      </c>
      <c r="N470" t="n">
        <v>0</v>
      </c>
      <c r="O470" t="n">
        <v>0</v>
      </c>
      <c r="P470" t="n">
        <v>0</v>
      </c>
      <c r="Q470" t="n">
        <v>0</v>
      </c>
      <c r="R470" s="2" t="inlineStr"/>
    </row>
    <row r="471" ht="15" customHeight="1">
      <c r="A471" t="inlineStr">
        <is>
          <t>A 33653-2023</t>
        </is>
      </c>
      <c r="B471" s="1" t="n">
        <v>45119</v>
      </c>
      <c r="C471" s="1" t="n">
        <v>45913</v>
      </c>
      <c r="D471" t="inlineStr">
        <is>
          <t>JÄMTLANDS LÄN</t>
        </is>
      </c>
      <c r="E471" t="inlineStr">
        <is>
          <t>KROKOM</t>
        </is>
      </c>
      <c r="G471" t="n">
        <v>0.4</v>
      </c>
      <c r="H471" t="n">
        <v>0</v>
      </c>
      <c r="I471" t="n">
        <v>0</v>
      </c>
      <c r="J471" t="n">
        <v>0</v>
      </c>
      <c r="K471" t="n">
        <v>0</v>
      </c>
      <c r="L471" t="n">
        <v>0</v>
      </c>
      <c r="M471" t="n">
        <v>0</v>
      </c>
      <c r="N471" t="n">
        <v>0</v>
      </c>
      <c r="O471" t="n">
        <v>0</v>
      </c>
      <c r="P471" t="n">
        <v>0</v>
      </c>
      <c r="Q471" t="n">
        <v>0</v>
      </c>
      <c r="R471" s="2" t="inlineStr"/>
    </row>
    <row r="472" ht="15" customHeight="1">
      <c r="A472" t="inlineStr">
        <is>
          <t>A 31550-2023</t>
        </is>
      </c>
      <c r="B472" s="1" t="n">
        <v>45117</v>
      </c>
      <c r="C472" s="1" t="n">
        <v>45913</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22490-2025</t>
        </is>
      </c>
      <c r="B473" s="1" t="n">
        <v>45786.64972222222</v>
      </c>
      <c r="C473" s="1" t="n">
        <v>45913</v>
      </c>
      <c r="D473" t="inlineStr">
        <is>
          <t>JÄMTLANDS LÄN</t>
        </is>
      </c>
      <c r="E473" t="inlineStr">
        <is>
          <t>KROKOM</t>
        </is>
      </c>
      <c r="G473" t="n">
        <v>6.4</v>
      </c>
      <c r="H473" t="n">
        <v>0</v>
      </c>
      <c r="I473" t="n">
        <v>0</v>
      </c>
      <c r="J473" t="n">
        <v>0</v>
      </c>
      <c r="K473" t="n">
        <v>0</v>
      </c>
      <c r="L473" t="n">
        <v>0</v>
      </c>
      <c r="M473" t="n">
        <v>0</v>
      </c>
      <c r="N473" t="n">
        <v>0</v>
      </c>
      <c r="O473" t="n">
        <v>0</v>
      </c>
      <c r="P473" t="n">
        <v>0</v>
      </c>
      <c r="Q473" t="n">
        <v>0</v>
      </c>
      <c r="R473" s="2" t="inlineStr"/>
    </row>
    <row r="474" ht="15" customHeight="1">
      <c r="A474" t="inlineStr">
        <is>
          <t>A 22499-2025</t>
        </is>
      </c>
      <c r="B474" s="1" t="n">
        <v>45786.65702546296</v>
      </c>
      <c r="C474" s="1" t="n">
        <v>45913</v>
      </c>
      <c r="D474" t="inlineStr">
        <is>
          <t>JÄMTLANDS LÄN</t>
        </is>
      </c>
      <c r="E474" t="inlineStr">
        <is>
          <t>KROKOM</t>
        </is>
      </c>
      <c r="G474" t="n">
        <v>6.6</v>
      </c>
      <c r="H474" t="n">
        <v>0</v>
      </c>
      <c r="I474" t="n">
        <v>0</v>
      </c>
      <c r="J474" t="n">
        <v>0</v>
      </c>
      <c r="K474" t="n">
        <v>0</v>
      </c>
      <c r="L474" t="n">
        <v>0</v>
      </c>
      <c r="M474" t="n">
        <v>0</v>
      </c>
      <c r="N474" t="n">
        <v>0</v>
      </c>
      <c r="O474" t="n">
        <v>0</v>
      </c>
      <c r="P474" t="n">
        <v>0</v>
      </c>
      <c r="Q474" t="n">
        <v>0</v>
      </c>
      <c r="R474" s="2" t="inlineStr"/>
    </row>
    <row r="475" ht="15" customHeight="1">
      <c r="A475" t="inlineStr">
        <is>
          <t>A 22254-2025</t>
        </is>
      </c>
      <c r="B475" s="1" t="n">
        <v>45785</v>
      </c>
      <c r="C475" s="1" t="n">
        <v>45913</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19635-2024</t>
        </is>
      </c>
      <c r="B476" s="1" t="n">
        <v>45432.36971064815</v>
      </c>
      <c r="C476" s="1" t="n">
        <v>45913</v>
      </c>
      <c r="D476" t="inlineStr">
        <is>
          <t>JÄMTLANDS LÄN</t>
        </is>
      </c>
      <c r="E476" t="inlineStr">
        <is>
          <t>KROKOM</t>
        </is>
      </c>
      <c r="G476" t="n">
        <v>14.5</v>
      </c>
      <c r="H476" t="n">
        <v>0</v>
      </c>
      <c r="I476" t="n">
        <v>0</v>
      </c>
      <c r="J476" t="n">
        <v>0</v>
      </c>
      <c r="K476" t="n">
        <v>0</v>
      </c>
      <c r="L476" t="n">
        <v>0</v>
      </c>
      <c r="M476" t="n">
        <v>0</v>
      </c>
      <c r="N476" t="n">
        <v>0</v>
      </c>
      <c r="O476" t="n">
        <v>0</v>
      </c>
      <c r="P476" t="n">
        <v>0</v>
      </c>
      <c r="Q476" t="n">
        <v>0</v>
      </c>
      <c r="R476" s="2" t="inlineStr"/>
    </row>
    <row r="477" ht="15" customHeight="1">
      <c r="A477" t="inlineStr">
        <is>
          <t>A 22411-2024</t>
        </is>
      </c>
      <c r="B477" s="1" t="n">
        <v>45446.68733796296</v>
      </c>
      <c r="C477" s="1" t="n">
        <v>45913</v>
      </c>
      <c r="D477" t="inlineStr">
        <is>
          <t>JÄMTLANDS LÄN</t>
        </is>
      </c>
      <c r="E477" t="inlineStr">
        <is>
          <t>KROKOM</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45913</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45913</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2356-2021</t>
        </is>
      </c>
      <c r="B480" s="1" t="n">
        <v>44214</v>
      </c>
      <c r="C480" s="1" t="n">
        <v>45913</v>
      </c>
      <c r="D480" t="inlineStr">
        <is>
          <t>JÄMTLANDS LÄN</t>
        </is>
      </c>
      <c r="E480" t="inlineStr">
        <is>
          <t>KROKOM</t>
        </is>
      </c>
      <c r="G480" t="n">
        <v>22.6</v>
      </c>
      <c r="H480" t="n">
        <v>0</v>
      </c>
      <c r="I480" t="n">
        <v>0</v>
      </c>
      <c r="J480" t="n">
        <v>0</v>
      </c>
      <c r="K480" t="n">
        <v>0</v>
      </c>
      <c r="L480" t="n">
        <v>0</v>
      </c>
      <c r="M480" t="n">
        <v>0</v>
      </c>
      <c r="N480" t="n">
        <v>0</v>
      </c>
      <c r="O480" t="n">
        <v>0</v>
      </c>
      <c r="P480" t="n">
        <v>0</v>
      </c>
      <c r="Q480" t="n">
        <v>0</v>
      </c>
      <c r="R480" s="2" t="inlineStr"/>
    </row>
    <row r="481" ht="15" customHeight="1">
      <c r="A481" t="inlineStr">
        <is>
          <t>A 42372-2023</t>
        </is>
      </c>
      <c r="B481" s="1" t="n">
        <v>45180</v>
      </c>
      <c r="C481" s="1" t="n">
        <v>45913</v>
      </c>
      <c r="D481" t="inlineStr">
        <is>
          <t>JÄMTLANDS LÄN</t>
        </is>
      </c>
      <c r="E481" t="inlineStr">
        <is>
          <t>KROKOM</t>
        </is>
      </c>
      <c r="F481" t="inlineStr">
        <is>
          <t>Övriga Aktiebolag</t>
        </is>
      </c>
      <c r="G481" t="n">
        <v>0.2</v>
      </c>
      <c r="H481" t="n">
        <v>0</v>
      </c>
      <c r="I481" t="n">
        <v>0</v>
      </c>
      <c r="J481" t="n">
        <v>0</v>
      </c>
      <c r="K481" t="n">
        <v>0</v>
      </c>
      <c r="L481" t="n">
        <v>0</v>
      </c>
      <c r="M481" t="n">
        <v>0</v>
      </c>
      <c r="N481" t="n">
        <v>0</v>
      </c>
      <c r="O481" t="n">
        <v>0</v>
      </c>
      <c r="P481" t="n">
        <v>0</v>
      </c>
      <c r="Q481" t="n">
        <v>0</v>
      </c>
      <c r="R481" s="2" t="inlineStr"/>
    </row>
    <row r="482" ht="15" customHeight="1">
      <c r="A482" t="inlineStr">
        <is>
          <t>A 7724-2025</t>
        </is>
      </c>
      <c r="B482" s="1" t="n">
        <v>45706</v>
      </c>
      <c r="C482" s="1" t="n">
        <v>45913</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45913</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1119-2025</t>
        </is>
      </c>
      <c r="B484" s="1" t="n">
        <v>45666.65987268519</v>
      </c>
      <c r="C484" s="1" t="n">
        <v>45913</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26207-2024</t>
        </is>
      </c>
      <c r="B485" s="1" t="n">
        <v>45467</v>
      </c>
      <c r="C485" s="1" t="n">
        <v>45913</v>
      </c>
      <c r="D485" t="inlineStr">
        <is>
          <t>JÄMTLANDS LÄN</t>
        </is>
      </c>
      <c r="E485" t="inlineStr">
        <is>
          <t>KROKOM</t>
        </is>
      </c>
      <c r="G485" t="n">
        <v>14.4</v>
      </c>
      <c r="H485" t="n">
        <v>0</v>
      </c>
      <c r="I485" t="n">
        <v>0</v>
      </c>
      <c r="J485" t="n">
        <v>0</v>
      </c>
      <c r="K485" t="n">
        <v>0</v>
      </c>
      <c r="L485" t="n">
        <v>0</v>
      </c>
      <c r="M485" t="n">
        <v>0</v>
      </c>
      <c r="N485" t="n">
        <v>0</v>
      </c>
      <c r="O485" t="n">
        <v>0</v>
      </c>
      <c r="P485" t="n">
        <v>0</v>
      </c>
      <c r="Q485" t="n">
        <v>0</v>
      </c>
      <c r="R485" s="2" t="inlineStr"/>
    </row>
    <row r="486" ht="15" customHeight="1">
      <c r="A486" t="inlineStr">
        <is>
          <t>A 61675-2022</t>
        </is>
      </c>
      <c r="B486" s="1" t="n">
        <v>44911</v>
      </c>
      <c r="C486" s="1" t="n">
        <v>45913</v>
      </c>
      <c r="D486" t="inlineStr">
        <is>
          <t>JÄMTLANDS LÄN</t>
        </is>
      </c>
      <c r="E486" t="inlineStr">
        <is>
          <t>KROKOM</t>
        </is>
      </c>
      <c r="G486" t="n">
        <v>2.6</v>
      </c>
      <c r="H486" t="n">
        <v>0</v>
      </c>
      <c r="I486" t="n">
        <v>0</v>
      </c>
      <c r="J486" t="n">
        <v>0</v>
      </c>
      <c r="K486" t="n">
        <v>0</v>
      </c>
      <c r="L486" t="n">
        <v>0</v>
      </c>
      <c r="M486" t="n">
        <v>0</v>
      </c>
      <c r="N486" t="n">
        <v>0</v>
      </c>
      <c r="O486" t="n">
        <v>0</v>
      </c>
      <c r="P486" t="n">
        <v>0</v>
      </c>
      <c r="Q486" t="n">
        <v>0</v>
      </c>
      <c r="R486" s="2" t="inlineStr"/>
    </row>
    <row r="487" ht="15" customHeight="1">
      <c r="A487" t="inlineStr">
        <is>
          <t>A 28067-2023</t>
        </is>
      </c>
      <c r="B487" s="1" t="n">
        <v>45099.37211805556</v>
      </c>
      <c r="C487" s="1" t="n">
        <v>45913</v>
      </c>
      <c r="D487" t="inlineStr">
        <is>
          <t>JÄMTLANDS LÄN</t>
        </is>
      </c>
      <c r="E487" t="inlineStr">
        <is>
          <t>KROKOM</t>
        </is>
      </c>
      <c r="G487" t="n">
        <v>2.8</v>
      </c>
      <c r="H487" t="n">
        <v>0</v>
      </c>
      <c r="I487" t="n">
        <v>0</v>
      </c>
      <c r="J487" t="n">
        <v>0</v>
      </c>
      <c r="K487" t="n">
        <v>0</v>
      </c>
      <c r="L487" t="n">
        <v>0</v>
      </c>
      <c r="M487" t="n">
        <v>0</v>
      </c>
      <c r="N487" t="n">
        <v>0</v>
      </c>
      <c r="O487" t="n">
        <v>0</v>
      </c>
      <c r="P487" t="n">
        <v>0</v>
      </c>
      <c r="Q487" t="n">
        <v>0</v>
      </c>
      <c r="R487" s="2" t="inlineStr"/>
    </row>
    <row r="488" ht="15" customHeight="1">
      <c r="A488" t="inlineStr">
        <is>
          <t>A 22731-2025</t>
        </is>
      </c>
      <c r="B488" s="1" t="n">
        <v>45789.58238425926</v>
      </c>
      <c r="C488" s="1" t="n">
        <v>45913</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22751-2025</t>
        </is>
      </c>
      <c r="B489" s="1" t="n">
        <v>45789.61349537037</v>
      </c>
      <c r="C489" s="1" t="n">
        <v>45913</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14598-2021</t>
        </is>
      </c>
      <c r="B490" s="1" t="n">
        <v>44279</v>
      </c>
      <c r="C490" s="1" t="n">
        <v>45913</v>
      </c>
      <c r="D490" t="inlineStr">
        <is>
          <t>JÄMTLANDS LÄN</t>
        </is>
      </c>
      <c r="E490" t="inlineStr">
        <is>
          <t>KROKOM</t>
        </is>
      </c>
      <c r="G490" t="n">
        <v>25.4</v>
      </c>
      <c r="H490" t="n">
        <v>0</v>
      </c>
      <c r="I490" t="n">
        <v>0</v>
      </c>
      <c r="J490" t="n">
        <v>0</v>
      </c>
      <c r="K490" t="n">
        <v>0</v>
      </c>
      <c r="L490" t="n">
        <v>0</v>
      </c>
      <c r="M490" t="n">
        <v>0</v>
      </c>
      <c r="N490" t="n">
        <v>0</v>
      </c>
      <c r="O490" t="n">
        <v>0</v>
      </c>
      <c r="P490" t="n">
        <v>0</v>
      </c>
      <c r="Q490" t="n">
        <v>0</v>
      </c>
      <c r="R490" s="2" t="inlineStr"/>
    </row>
    <row r="491" ht="15" customHeight="1">
      <c r="A491" t="inlineStr">
        <is>
          <t>A 29986-2023</t>
        </is>
      </c>
      <c r="B491" s="1" t="n">
        <v>45109.44534722222</v>
      </c>
      <c r="C491" s="1" t="n">
        <v>45913</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50719-2024</t>
        </is>
      </c>
      <c r="B492" s="1" t="n">
        <v>45602.38614583333</v>
      </c>
      <c r="C492" s="1" t="n">
        <v>45913</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50738-2024</t>
        </is>
      </c>
      <c r="B493" s="1" t="n">
        <v>45602.39862268518</v>
      </c>
      <c r="C493" s="1" t="n">
        <v>45913</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50755-2024</t>
        </is>
      </c>
      <c r="B494" s="1" t="n">
        <v>45602.42878472222</v>
      </c>
      <c r="C494" s="1" t="n">
        <v>45913</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8369-2023</t>
        </is>
      </c>
      <c r="B495" s="1" t="n">
        <v>44971</v>
      </c>
      <c r="C495" s="1" t="n">
        <v>45913</v>
      </c>
      <c r="D495" t="inlineStr">
        <is>
          <t>JÄMTLANDS LÄN</t>
        </is>
      </c>
      <c r="E495" t="inlineStr">
        <is>
          <t>KROKOM</t>
        </is>
      </c>
      <c r="G495" t="n">
        <v>47.2</v>
      </c>
      <c r="H495" t="n">
        <v>0</v>
      </c>
      <c r="I495" t="n">
        <v>0</v>
      </c>
      <c r="J495" t="n">
        <v>0</v>
      </c>
      <c r="K495" t="n">
        <v>0</v>
      </c>
      <c r="L495" t="n">
        <v>0</v>
      </c>
      <c r="M495" t="n">
        <v>0</v>
      </c>
      <c r="N495" t="n">
        <v>0</v>
      </c>
      <c r="O495" t="n">
        <v>0</v>
      </c>
      <c r="P495" t="n">
        <v>0</v>
      </c>
      <c r="Q495" t="n">
        <v>0</v>
      </c>
      <c r="R495" s="2" t="inlineStr"/>
    </row>
    <row r="496" ht="15" customHeight="1">
      <c r="A496" t="inlineStr">
        <is>
          <t>A 58136-2024</t>
        </is>
      </c>
      <c r="B496" s="1" t="n">
        <v>45632</v>
      </c>
      <c r="C496" s="1" t="n">
        <v>45913</v>
      </c>
      <c r="D496" t="inlineStr">
        <is>
          <t>JÄMTLANDS LÄN</t>
        </is>
      </c>
      <c r="E496" t="inlineStr">
        <is>
          <t>KROKOM</t>
        </is>
      </c>
      <c r="G496" t="n">
        <v>3.3</v>
      </c>
      <c r="H496" t="n">
        <v>0</v>
      </c>
      <c r="I496" t="n">
        <v>0</v>
      </c>
      <c r="J496" t="n">
        <v>0</v>
      </c>
      <c r="K496" t="n">
        <v>0</v>
      </c>
      <c r="L496" t="n">
        <v>0</v>
      </c>
      <c r="M496" t="n">
        <v>0</v>
      </c>
      <c r="N496" t="n">
        <v>0</v>
      </c>
      <c r="O496" t="n">
        <v>0</v>
      </c>
      <c r="P496" t="n">
        <v>0</v>
      </c>
      <c r="Q496" t="n">
        <v>0</v>
      </c>
      <c r="R496" s="2" t="inlineStr"/>
    </row>
    <row r="497" ht="15" customHeight="1">
      <c r="A497" t="inlineStr">
        <is>
          <t>A 15425-2021</t>
        </is>
      </c>
      <c r="B497" s="1" t="n">
        <v>44284</v>
      </c>
      <c r="C497" s="1" t="n">
        <v>45913</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56328-2023</t>
        </is>
      </c>
      <c r="B498" s="1" t="n">
        <v>45243.33297453704</v>
      </c>
      <c r="C498" s="1" t="n">
        <v>45913</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35257-2023</t>
        </is>
      </c>
      <c r="B499" s="1" t="n">
        <v>45145.95255787037</v>
      </c>
      <c r="C499" s="1" t="n">
        <v>45913</v>
      </c>
      <c r="D499" t="inlineStr">
        <is>
          <t>JÄMTLANDS LÄN</t>
        </is>
      </c>
      <c r="E499" t="inlineStr">
        <is>
          <t>KROKOM</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45913</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46785-2024</t>
        </is>
      </c>
      <c r="B501" s="1" t="n">
        <v>45583.52885416667</v>
      </c>
      <c r="C501" s="1" t="n">
        <v>45913</v>
      </c>
      <c r="D501" t="inlineStr">
        <is>
          <t>JÄMTLANDS LÄN</t>
        </is>
      </c>
      <c r="E501" t="inlineStr">
        <is>
          <t>KROKOM</t>
        </is>
      </c>
      <c r="G501" t="n">
        <v>3.4</v>
      </c>
      <c r="H501" t="n">
        <v>0</v>
      </c>
      <c r="I501" t="n">
        <v>0</v>
      </c>
      <c r="J501" t="n">
        <v>0</v>
      </c>
      <c r="K501" t="n">
        <v>0</v>
      </c>
      <c r="L501" t="n">
        <v>0</v>
      </c>
      <c r="M501" t="n">
        <v>0</v>
      </c>
      <c r="N501" t="n">
        <v>0</v>
      </c>
      <c r="O501" t="n">
        <v>0</v>
      </c>
      <c r="P501" t="n">
        <v>0</v>
      </c>
      <c r="Q501" t="n">
        <v>0</v>
      </c>
      <c r="R501" s="2" t="inlineStr"/>
    </row>
    <row r="502" ht="15" customHeight="1">
      <c r="A502" t="inlineStr">
        <is>
          <t>A 64299-2021</t>
        </is>
      </c>
      <c r="B502" s="1" t="n">
        <v>44510.9491087963</v>
      </c>
      <c r="C502" s="1" t="n">
        <v>45913</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31655-2025</t>
        </is>
      </c>
      <c r="B503" s="1" t="n">
        <v>45834.34737268519</v>
      </c>
      <c r="C503" s="1" t="n">
        <v>45913</v>
      </c>
      <c r="D503" t="inlineStr">
        <is>
          <t>JÄMTLANDS LÄN</t>
        </is>
      </c>
      <c r="E503" t="inlineStr">
        <is>
          <t>KROKOM</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31543-2025</t>
        </is>
      </c>
      <c r="B504" s="1" t="n">
        <v>45833.63579861111</v>
      </c>
      <c r="C504" s="1" t="n">
        <v>45913</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44374-2021</t>
        </is>
      </c>
      <c r="B505" s="1" t="n">
        <v>44447</v>
      </c>
      <c r="C505" s="1" t="n">
        <v>45913</v>
      </c>
      <c r="D505" t="inlineStr">
        <is>
          <t>JÄMTLANDS LÄN</t>
        </is>
      </c>
      <c r="E505" t="inlineStr">
        <is>
          <t>KROKOM</t>
        </is>
      </c>
      <c r="G505" t="n">
        <v>7.8</v>
      </c>
      <c r="H505" t="n">
        <v>0</v>
      </c>
      <c r="I505" t="n">
        <v>0</v>
      </c>
      <c r="J505" t="n">
        <v>0</v>
      </c>
      <c r="K505" t="n">
        <v>0</v>
      </c>
      <c r="L505" t="n">
        <v>0</v>
      </c>
      <c r="M505" t="n">
        <v>0</v>
      </c>
      <c r="N505" t="n">
        <v>0</v>
      </c>
      <c r="O505" t="n">
        <v>0</v>
      </c>
      <c r="P505" t="n">
        <v>0</v>
      </c>
      <c r="Q505" t="n">
        <v>0</v>
      </c>
      <c r="R505" s="2" t="inlineStr"/>
    </row>
    <row r="506" ht="15" customHeight="1">
      <c r="A506" t="inlineStr">
        <is>
          <t>A 31426-2025</t>
        </is>
      </c>
      <c r="B506" s="1" t="n">
        <v>45833.49052083334</v>
      </c>
      <c r="C506" s="1" t="n">
        <v>45913</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31427-2025</t>
        </is>
      </c>
      <c r="B507" s="1" t="n">
        <v>45833.49057870371</v>
      </c>
      <c r="C507" s="1" t="n">
        <v>45913</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7787-2025</t>
        </is>
      </c>
      <c r="B508" s="1" t="n">
        <v>45706.59251157408</v>
      </c>
      <c r="C508" s="1" t="n">
        <v>45913</v>
      </c>
      <c r="D508" t="inlineStr">
        <is>
          <t>JÄMTLANDS LÄN</t>
        </is>
      </c>
      <c r="E508" t="inlineStr">
        <is>
          <t>KROKOM</t>
        </is>
      </c>
      <c r="F508" t="inlineStr">
        <is>
          <t>Övriga Aktiebolag</t>
        </is>
      </c>
      <c r="G508" t="n">
        <v>16.8</v>
      </c>
      <c r="H508" t="n">
        <v>0</v>
      </c>
      <c r="I508" t="n">
        <v>0</v>
      </c>
      <c r="J508" t="n">
        <v>0</v>
      </c>
      <c r="K508" t="n">
        <v>0</v>
      </c>
      <c r="L508" t="n">
        <v>0</v>
      </c>
      <c r="M508" t="n">
        <v>0</v>
      </c>
      <c r="N508" t="n">
        <v>0</v>
      </c>
      <c r="O508" t="n">
        <v>0</v>
      </c>
      <c r="P508" t="n">
        <v>0</v>
      </c>
      <c r="Q508" t="n">
        <v>0</v>
      </c>
      <c r="R508" s="2" t="inlineStr"/>
    </row>
    <row r="509" ht="15" customHeight="1">
      <c r="A509" t="inlineStr">
        <is>
          <t>A 2236-2024</t>
        </is>
      </c>
      <c r="B509" s="1" t="n">
        <v>45309.94650462963</v>
      </c>
      <c r="C509" s="1" t="n">
        <v>45913</v>
      </c>
      <c r="D509" t="inlineStr">
        <is>
          <t>JÄMTLANDS LÄN</t>
        </is>
      </c>
      <c r="E509" t="inlineStr">
        <is>
          <t>KROKOM</t>
        </is>
      </c>
      <c r="G509" t="n">
        <v>2.6</v>
      </c>
      <c r="H509" t="n">
        <v>0</v>
      </c>
      <c r="I509" t="n">
        <v>0</v>
      </c>
      <c r="J509" t="n">
        <v>0</v>
      </c>
      <c r="K509" t="n">
        <v>0</v>
      </c>
      <c r="L509" t="n">
        <v>0</v>
      </c>
      <c r="M509" t="n">
        <v>0</v>
      </c>
      <c r="N509" t="n">
        <v>0</v>
      </c>
      <c r="O509" t="n">
        <v>0</v>
      </c>
      <c r="P509" t="n">
        <v>0</v>
      </c>
      <c r="Q509" t="n">
        <v>0</v>
      </c>
      <c r="R509" s="2" t="inlineStr"/>
    </row>
    <row r="510" ht="15" customHeight="1">
      <c r="A510" t="inlineStr">
        <is>
          <t>A 45822-2023</t>
        </is>
      </c>
      <c r="B510" s="1" t="n">
        <v>45195</v>
      </c>
      <c r="C510" s="1" t="n">
        <v>45913</v>
      </c>
      <c r="D510" t="inlineStr">
        <is>
          <t>JÄMTLANDS LÄN</t>
        </is>
      </c>
      <c r="E510" t="inlineStr">
        <is>
          <t>KROKOM</t>
        </is>
      </c>
      <c r="F510" t="inlineStr">
        <is>
          <t>Övriga Aktiebolag</t>
        </is>
      </c>
      <c r="G510" t="n">
        <v>2.8</v>
      </c>
      <c r="H510" t="n">
        <v>0</v>
      </c>
      <c r="I510" t="n">
        <v>0</v>
      </c>
      <c r="J510" t="n">
        <v>0</v>
      </c>
      <c r="K510" t="n">
        <v>0</v>
      </c>
      <c r="L510" t="n">
        <v>0</v>
      </c>
      <c r="M510" t="n">
        <v>0</v>
      </c>
      <c r="N510" t="n">
        <v>0</v>
      </c>
      <c r="O510" t="n">
        <v>0</v>
      </c>
      <c r="P510" t="n">
        <v>0</v>
      </c>
      <c r="Q510" t="n">
        <v>0</v>
      </c>
      <c r="R510" s="2" t="inlineStr"/>
    </row>
    <row r="511" ht="15" customHeight="1">
      <c r="A511" t="inlineStr">
        <is>
          <t>A 57985-2024</t>
        </is>
      </c>
      <c r="B511" s="1" t="n">
        <v>45631.61869212963</v>
      </c>
      <c r="C511" s="1" t="n">
        <v>45913</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58487-2024</t>
        </is>
      </c>
      <c r="B512" s="1" t="n">
        <v>45635.39820601852</v>
      </c>
      <c r="C512" s="1" t="n">
        <v>45913</v>
      </c>
      <c r="D512" t="inlineStr">
        <is>
          <t>JÄMTLANDS LÄN</t>
        </is>
      </c>
      <c r="E512" t="inlineStr">
        <is>
          <t>KROKOM</t>
        </is>
      </c>
      <c r="G512" t="n">
        <v>0.4</v>
      </c>
      <c r="H512" t="n">
        <v>0</v>
      </c>
      <c r="I512" t="n">
        <v>0</v>
      </c>
      <c r="J512" t="n">
        <v>0</v>
      </c>
      <c r="K512" t="n">
        <v>0</v>
      </c>
      <c r="L512" t="n">
        <v>0</v>
      </c>
      <c r="M512" t="n">
        <v>0</v>
      </c>
      <c r="N512" t="n">
        <v>0</v>
      </c>
      <c r="O512" t="n">
        <v>0</v>
      </c>
      <c r="P512" t="n">
        <v>0</v>
      </c>
      <c r="Q512" t="n">
        <v>0</v>
      </c>
      <c r="R512" s="2" t="inlineStr"/>
    </row>
    <row r="513" ht="15" customHeight="1">
      <c r="A513" t="inlineStr">
        <is>
          <t>A 6015-2025</t>
        </is>
      </c>
      <c r="B513" s="1" t="n">
        <v>45695.60015046296</v>
      </c>
      <c r="C513" s="1" t="n">
        <v>45913</v>
      </c>
      <c r="D513" t="inlineStr">
        <is>
          <t>JÄMTLANDS LÄN</t>
        </is>
      </c>
      <c r="E513" t="inlineStr">
        <is>
          <t>KROKOM</t>
        </is>
      </c>
      <c r="F513" t="inlineStr">
        <is>
          <t>Övriga Aktiebolag</t>
        </is>
      </c>
      <c r="G513" t="n">
        <v>15.5</v>
      </c>
      <c r="H513" t="n">
        <v>0</v>
      </c>
      <c r="I513" t="n">
        <v>0</v>
      </c>
      <c r="J513" t="n">
        <v>0</v>
      </c>
      <c r="K513" t="n">
        <v>0</v>
      </c>
      <c r="L513" t="n">
        <v>0</v>
      </c>
      <c r="M513" t="n">
        <v>0</v>
      </c>
      <c r="N513" t="n">
        <v>0</v>
      </c>
      <c r="O513" t="n">
        <v>0</v>
      </c>
      <c r="P513" t="n">
        <v>0</v>
      </c>
      <c r="Q513" t="n">
        <v>0</v>
      </c>
      <c r="R513" s="2" t="inlineStr"/>
    </row>
    <row r="514" ht="15" customHeight="1">
      <c r="A514" t="inlineStr">
        <is>
          <t>A 54039-2021</t>
        </is>
      </c>
      <c r="B514" s="1" t="n">
        <v>44470.39989583333</v>
      </c>
      <c r="C514" s="1" t="n">
        <v>45913</v>
      </c>
      <c r="D514" t="inlineStr">
        <is>
          <t>JÄMTLANDS LÄN</t>
        </is>
      </c>
      <c r="E514" t="inlineStr">
        <is>
          <t>KROKOM</t>
        </is>
      </c>
      <c r="G514" t="n">
        <v>9.9</v>
      </c>
      <c r="H514" t="n">
        <v>0</v>
      </c>
      <c r="I514" t="n">
        <v>0</v>
      </c>
      <c r="J514" t="n">
        <v>0</v>
      </c>
      <c r="K514" t="n">
        <v>0</v>
      </c>
      <c r="L514" t="n">
        <v>0</v>
      </c>
      <c r="M514" t="n">
        <v>0</v>
      </c>
      <c r="N514" t="n">
        <v>0</v>
      </c>
      <c r="O514" t="n">
        <v>0</v>
      </c>
      <c r="P514" t="n">
        <v>0</v>
      </c>
      <c r="Q514" t="n">
        <v>0</v>
      </c>
      <c r="R514" s="2" t="inlineStr"/>
    </row>
    <row r="515" ht="15" customHeight="1">
      <c r="A515" t="inlineStr">
        <is>
          <t>A 3231-2022</t>
        </is>
      </c>
      <c r="B515" s="1" t="n">
        <v>44582</v>
      </c>
      <c r="C515" s="1" t="n">
        <v>45913</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10646-2025</t>
        </is>
      </c>
      <c r="B516" s="1" t="n">
        <v>45721.66456018519</v>
      </c>
      <c r="C516" s="1" t="n">
        <v>45913</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29477-2024</t>
        </is>
      </c>
      <c r="B517" s="1" t="n">
        <v>45484</v>
      </c>
      <c r="C517" s="1" t="n">
        <v>45913</v>
      </c>
      <c r="D517" t="inlineStr">
        <is>
          <t>JÄMTLANDS LÄN</t>
        </is>
      </c>
      <c r="E517" t="inlineStr">
        <is>
          <t>KROKOM</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39169-2023</t>
        </is>
      </c>
      <c r="B518" s="1" t="n">
        <v>45166</v>
      </c>
      <c r="C518" s="1" t="n">
        <v>45913</v>
      </c>
      <c r="D518" t="inlineStr">
        <is>
          <t>JÄMTLANDS LÄN</t>
        </is>
      </c>
      <c r="E518" t="inlineStr">
        <is>
          <t>KROKOM</t>
        </is>
      </c>
      <c r="G518" t="n">
        <v>0.7</v>
      </c>
      <c r="H518" t="n">
        <v>0</v>
      </c>
      <c r="I518" t="n">
        <v>0</v>
      </c>
      <c r="J518" t="n">
        <v>0</v>
      </c>
      <c r="K518" t="n">
        <v>0</v>
      </c>
      <c r="L518" t="n">
        <v>0</v>
      </c>
      <c r="M518" t="n">
        <v>0</v>
      </c>
      <c r="N518" t="n">
        <v>0</v>
      </c>
      <c r="O518" t="n">
        <v>0</v>
      </c>
      <c r="P518" t="n">
        <v>0</v>
      </c>
      <c r="Q518" t="n">
        <v>0</v>
      </c>
      <c r="R518" s="2" t="inlineStr"/>
    </row>
    <row r="519" ht="15" customHeight="1">
      <c r="A519" t="inlineStr">
        <is>
          <t>A 36577-2021</t>
        </is>
      </c>
      <c r="B519" s="1" t="n">
        <v>44391</v>
      </c>
      <c r="C519" s="1" t="n">
        <v>45913</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row>
    <row r="520" ht="15" customHeight="1">
      <c r="A520" t="inlineStr">
        <is>
          <t>A 23288-2025</t>
        </is>
      </c>
      <c r="B520" s="1" t="n">
        <v>45791</v>
      </c>
      <c r="C520" s="1" t="n">
        <v>45913</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52258-2022</t>
        </is>
      </c>
      <c r="B521" s="1" t="n">
        <v>44873</v>
      </c>
      <c r="C521" s="1" t="n">
        <v>45913</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23080-2025</t>
        </is>
      </c>
      <c r="B522" s="1" t="n">
        <v>45791.3162037037</v>
      </c>
      <c r="C522" s="1" t="n">
        <v>45913</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53540-2024</t>
        </is>
      </c>
      <c r="B523" s="1" t="n">
        <v>45614.63575231482</v>
      </c>
      <c r="C523" s="1" t="n">
        <v>45913</v>
      </c>
      <c r="D523" t="inlineStr">
        <is>
          <t>JÄMTLANDS LÄN</t>
        </is>
      </c>
      <c r="E523" t="inlineStr">
        <is>
          <t>KROKOM</t>
        </is>
      </c>
      <c r="G523" t="n">
        <v>4.7</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45913</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280-2025</t>
        </is>
      </c>
      <c r="B525" s="1" t="n">
        <v>45660.49618055556</v>
      </c>
      <c r="C525" s="1" t="n">
        <v>45913</v>
      </c>
      <c r="D525" t="inlineStr">
        <is>
          <t>JÄMTLANDS LÄN</t>
        </is>
      </c>
      <c r="E525" t="inlineStr">
        <is>
          <t>KROKOM</t>
        </is>
      </c>
      <c r="G525" t="n">
        <v>2.1</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45913</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28210-2024</t>
        </is>
      </c>
      <c r="B527" s="1" t="n">
        <v>45477.35225694445</v>
      </c>
      <c r="C527" s="1" t="n">
        <v>45913</v>
      </c>
      <c r="D527" t="inlineStr">
        <is>
          <t>JÄMTLANDS LÄN</t>
        </is>
      </c>
      <c r="E527" t="inlineStr">
        <is>
          <t>KROKOM</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24062-2025</t>
        </is>
      </c>
      <c r="B528" s="1" t="n">
        <v>45796.52836805556</v>
      </c>
      <c r="C528" s="1" t="n">
        <v>45913</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12412-2024</t>
        </is>
      </c>
      <c r="B529" s="1" t="n">
        <v>45378</v>
      </c>
      <c r="C529" s="1" t="n">
        <v>45913</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39490-2022</t>
        </is>
      </c>
      <c r="B530" s="1" t="n">
        <v>44818</v>
      </c>
      <c r="C530" s="1" t="n">
        <v>45913</v>
      </c>
      <c r="D530" t="inlineStr">
        <is>
          <t>JÄMTLANDS LÄN</t>
        </is>
      </c>
      <c r="E530" t="inlineStr">
        <is>
          <t>KROKOM</t>
        </is>
      </c>
      <c r="G530" t="n">
        <v>11.9</v>
      </c>
      <c r="H530" t="n">
        <v>0</v>
      </c>
      <c r="I530" t="n">
        <v>0</v>
      </c>
      <c r="J530" t="n">
        <v>0</v>
      </c>
      <c r="K530" t="n">
        <v>0</v>
      </c>
      <c r="L530" t="n">
        <v>0</v>
      </c>
      <c r="M530" t="n">
        <v>0</v>
      </c>
      <c r="N530" t="n">
        <v>0</v>
      </c>
      <c r="O530" t="n">
        <v>0</v>
      </c>
      <c r="P530" t="n">
        <v>0</v>
      </c>
      <c r="Q530" t="n">
        <v>0</v>
      </c>
      <c r="R530" s="2" t="inlineStr"/>
    </row>
    <row r="531" ht="15" customHeight="1">
      <c r="A531" t="inlineStr">
        <is>
          <t>A 35720-2024</t>
        </is>
      </c>
      <c r="B531" s="1" t="n">
        <v>45532.48732638889</v>
      </c>
      <c r="C531" s="1" t="n">
        <v>45913</v>
      </c>
      <c r="D531" t="inlineStr">
        <is>
          <t>JÄMTLANDS LÄN</t>
        </is>
      </c>
      <c r="E531" t="inlineStr">
        <is>
          <t>KROKOM</t>
        </is>
      </c>
      <c r="G531" t="n">
        <v>3.2</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45913</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66880-2021</t>
        </is>
      </c>
      <c r="B533" s="1" t="n">
        <v>44522.46662037037</v>
      </c>
      <c r="C533" s="1" t="n">
        <v>45913</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45913</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9043-2025</t>
        </is>
      </c>
      <c r="B535" s="1" t="n">
        <v>45713</v>
      </c>
      <c r="C535" s="1" t="n">
        <v>45913</v>
      </c>
      <c r="D535" t="inlineStr">
        <is>
          <t>JÄMTLANDS LÄN</t>
        </is>
      </c>
      <c r="E535" t="inlineStr">
        <is>
          <t>KROKOM</t>
        </is>
      </c>
      <c r="F535" t="inlineStr">
        <is>
          <t>Övriga Aktiebolag</t>
        </is>
      </c>
      <c r="G535" t="n">
        <v>43.6</v>
      </c>
      <c r="H535" t="n">
        <v>0</v>
      </c>
      <c r="I535" t="n">
        <v>0</v>
      </c>
      <c r="J535" t="n">
        <v>0</v>
      </c>
      <c r="K535" t="n">
        <v>0</v>
      </c>
      <c r="L535" t="n">
        <v>0</v>
      </c>
      <c r="M535" t="n">
        <v>0</v>
      </c>
      <c r="N535" t="n">
        <v>0</v>
      </c>
      <c r="O535" t="n">
        <v>0</v>
      </c>
      <c r="P535" t="n">
        <v>0</v>
      </c>
      <c r="Q535" t="n">
        <v>0</v>
      </c>
      <c r="R535" s="2" t="inlineStr"/>
    </row>
    <row r="536" ht="15" customHeight="1">
      <c r="A536" t="inlineStr">
        <is>
          <t>A 27954-2024</t>
        </is>
      </c>
      <c r="B536" s="1" t="n">
        <v>45476</v>
      </c>
      <c r="C536" s="1" t="n">
        <v>45913</v>
      </c>
      <c r="D536" t="inlineStr">
        <is>
          <t>JÄMTLANDS LÄN</t>
        </is>
      </c>
      <c r="E536" t="inlineStr">
        <is>
          <t>KROKOM</t>
        </is>
      </c>
      <c r="G536" t="n">
        <v>0.1</v>
      </c>
      <c r="H536" t="n">
        <v>0</v>
      </c>
      <c r="I536" t="n">
        <v>0</v>
      </c>
      <c r="J536" t="n">
        <v>0</v>
      </c>
      <c r="K536" t="n">
        <v>0</v>
      </c>
      <c r="L536" t="n">
        <v>0</v>
      </c>
      <c r="M536" t="n">
        <v>0</v>
      </c>
      <c r="N536" t="n">
        <v>0</v>
      </c>
      <c r="O536" t="n">
        <v>0</v>
      </c>
      <c r="P536" t="n">
        <v>0</v>
      </c>
      <c r="Q536" t="n">
        <v>0</v>
      </c>
      <c r="R536" s="2" t="inlineStr"/>
    </row>
    <row r="537" ht="15" customHeight="1">
      <c r="A537" t="inlineStr">
        <is>
          <t>A 51060-2024</t>
        </is>
      </c>
      <c r="B537" s="1" t="n">
        <v>45603.44815972223</v>
      </c>
      <c r="C537" s="1" t="n">
        <v>45913</v>
      </c>
      <c r="D537" t="inlineStr">
        <is>
          <t>JÄMTLANDS LÄN</t>
        </is>
      </c>
      <c r="E537" t="inlineStr">
        <is>
          <t>KROKOM</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60487-2024</t>
        </is>
      </c>
      <c r="B538" s="1" t="n">
        <v>45643.64706018518</v>
      </c>
      <c r="C538" s="1" t="n">
        <v>45913</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233-2023</t>
        </is>
      </c>
      <c r="B539" s="1" t="n">
        <v>44922</v>
      </c>
      <c r="C539" s="1" t="n">
        <v>45913</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6148-2025</t>
        </is>
      </c>
      <c r="B540" s="1" t="n">
        <v>45698.40146990741</v>
      </c>
      <c r="C540" s="1" t="n">
        <v>45913</v>
      </c>
      <c r="D540" t="inlineStr">
        <is>
          <t>JÄMTLANDS LÄN</t>
        </is>
      </c>
      <c r="E540" t="inlineStr">
        <is>
          <t>KROKOM</t>
        </is>
      </c>
      <c r="G540" t="n">
        <v>43.6</v>
      </c>
      <c r="H540" t="n">
        <v>0</v>
      </c>
      <c r="I540" t="n">
        <v>0</v>
      </c>
      <c r="J540" t="n">
        <v>0</v>
      </c>
      <c r="K540" t="n">
        <v>0</v>
      </c>
      <c r="L540" t="n">
        <v>0</v>
      </c>
      <c r="M540" t="n">
        <v>0</v>
      </c>
      <c r="N540" t="n">
        <v>0</v>
      </c>
      <c r="O540" t="n">
        <v>0</v>
      </c>
      <c r="P540" t="n">
        <v>0</v>
      </c>
      <c r="Q540" t="n">
        <v>0</v>
      </c>
      <c r="R540" s="2" t="inlineStr"/>
    </row>
    <row r="541" ht="15" customHeight="1">
      <c r="A541" t="inlineStr">
        <is>
          <t>A 24103-2025</t>
        </is>
      </c>
      <c r="B541" s="1" t="n">
        <v>45796.59857638889</v>
      </c>
      <c r="C541" s="1" t="n">
        <v>45913</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7767-2025</t>
        </is>
      </c>
      <c r="B542" s="1" t="n">
        <v>45706.55993055556</v>
      </c>
      <c r="C542" s="1" t="n">
        <v>45913</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74011-2021</t>
        </is>
      </c>
      <c r="B543" s="1" t="n">
        <v>44557</v>
      </c>
      <c r="C543" s="1" t="n">
        <v>45913</v>
      </c>
      <c r="D543" t="inlineStr">
        <is>
          <t>JÄMTLANDS LÄN</t>
        </is>
      </c>
      <c r="E543" t="inlineStr">
        <is>
          <t>KROKOM</t>
        </is>
      </c>
      <c r="G543" t="n">
        <v>33.2</v>
      </c>
      <c r="H543" t="n">
        <v>0</v>
      </c>
      <c r="I543" t="n">
        <v>0</v>
      </c>
      <c r="J543" t="n">
        <v>0</v>
      </c>
      <c r="K543" t="n">
        <v>0</v>
      </c>
      <c r="L543" t="n">
        <v>0</v>
      </c>
      <c r="M543" t="n">
        <v>0</v>
      </c>
      <c r="N543" t="n">
        <v>0</v>
      </c>
      <c r="O543" t="n">
        <v>0</v>
      </c>
      <c r="P543" t="n">
        <v>0</v>
      </c>
      <c r="Q543" t="n">
        <v>0</v>
      </c>
      <c r="R543" s="2" t="inlineStr"/>
    </row>
    <row r="544" ht="15" customHeight="1">
      <c r="A544" t="inlineStr">
        <is>
          <t>A 52086-2024</t>
        </is>
      </c>
      <c r="B544" s="1" t="n">
        <v>45608</v>
      </c>
      <c r="C544" s="1" t="n">
        <v>45913</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5998-2025</t>
        </is>
      </c>
      <c r="B545" s="1" t="n">
        <v>45695.57171296296</v>
      </c>
      <c r="C545" s="1" t="n">
        <v>45913</v>
      </c>
      <c r="D545" t="inlineStr">
        <is>
          <t>JÄMTLANDS LÄN</t>
        </is>
      </c>
      <c r="E545" t="inlineStr">
        <is>
          <t>KROKOM</t>
        </is>
      </c>
      <c r="F545" t="inlineStr">
        <is>
          <t>Övriga Aktiebolag</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9313-2025</t>
        </is>
      </c>
      <c r="B546" s="1" t="n">
        <v>45714.69212962963</v>
      </c>
      <c r="C546" s="1" t="n">
        <v>45913</v>
      </c>
      <c r="D546" t="inlineStr">
        <is>
          <t>JÄMTLANDS LÄN</t>
        </is>
      </c>
      <c r="E546" t="inlineStr">
        <is>
          <t>KROKOM</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15231-2022</t>
        </is>
      </c>
      <c r="B547" s="1" t="n">
        <v>44658</v>
      </c>
      <c r="C547" s="1" t="n">
        <v>45913</v>
      </c>
      <c r="D547" t="inlineStr">
        <is>
          <t>JÄMTLANDS LÄN</t>
        </is>
      </c>
      <c r="E547" t="inlineStr">
        <is>
          <t>KROKOM</t>
        </is>
      </c>
      <c r="G547" t="n">
        <v>5.7</v>
      </c>
      <c r="H547" t="n">
        <v>0</v>
      </c>
      <c r="I547" t="n">
        <v>0</v>
      </c>
      <c r="J547" t="n">
        <v>0</v>
      </c>
      <c r="K547" t="n">
        <v>0</v>
      </c>
      <c r="L547" t="n">
        <v>0</v>
      </c>
      <c r="M547" t="n">
        <v>0</v>
      </c>
      <c r="N547" t="n">
        <v>0</v>
      </c>
      <c r="O547" t="n">
        <v>0</v>
      </c>
      <c r="P547" t="n">
        <v>0</v>
      </c>
      <c r="Q547" t="n">
        <v>0</v>
      </c>
      <c r="R547" s="2" t="inlineStr"/>
    </row>
    <row r="548" ht="15" customHeight="1">
      <c r="A548" t="inlineStr">
        <is>
          <t>A 47721-2024</t>
        </is>
      </c>
      <c r="B548" s="1" t="n">
        <v>45588</v>
      </c>
      <c r="C548" s="1" t="n">
        <v>45913</v>
      </c>
      <c r="D548" t="inlineStr">
        <is>
          <t>JÄMTLANDS LÄN</t>
        </is>
      </c>
      <c r="E548" t="inlineStr">
        <is>
          <t>KROKOM</t>
        </is>
      </c>
      <c r="G548" t="n">
        <v>19.2</v>
      </c>
      <c r="H548" t="n">
        <v>0</v>
      </c>
      <c r="I548" t="n">
        <v>0</v>
      </c>
      <c r="J548" t="n">
        <v>0</v>
      </c>
      <c r="K548" t="n">
        <v>0</v>
      </c>
      <c r="L548" t="n">
        <v>0</v>
      </c>
      <c r="M548" t="n">
        <v>0</v>
      </c>
      <c r="N548" t="n">
        <v>0</v>
      </c>
      <c r="O548" t="n">
        <v>0</v>
      </c>
      <c r="P548" t="n">
        <v>0</v>
      </c>
      <c r="Q548" t="n">
        <v>0</v>
      </c>
      <c r="R548" s="2" t="inlineStr"/>
    </row>
    <row r="549" ht="15" customHeight="1">
      <c r="A549" t="inlineStr">
        <is>
          <t>A 32244-2024</t>
        </is>
      </c>
      <c r="B549" s="1" t="n">
        <v>45511.95109953704</v>
      </c>
      <c r="C549" s="1" t="n">
        <v>45913</v>
      </c>
      <c r="D549" t="inlineStr">
        <is>
          <t>JÄMTLANDS LÄN</t>
        </is>
      </c>
      <c r="E549" t="inlineStr">
        <is>
          <t>KROKOM</t>
        </is>
      </c>
      <c r="G549" t="n">
        <v>3.1</v>
      </c>
      <c r="H549" t="n">
        <v>0</v>
      </c>
      <c r="I549" t="n">
        <v>0</v>
      </c>
      <c r="J549" t="n">
        <v>0</v>
      </c>
      <c r="K549" t="n">
        <v>0</v>
      </c>
      <c r="L549" t="n">
        <v>0</v>
      </c>
      <c r="M549" t="n">
        <v>0</v>
      </c>
      <c r="N549" t="n">
        <v>0</v>
      </c>
      <c r="O549" t="n">
        <v>0</v>
      </c>
      <c r="P549" t="n">
        <v>0</v>
      </c>
      <c r="Q549" t="n">
        <v>0</v>
      </c>
      <c r="R549" s="2" t="inlineStr"/>
    </row>
    <row r="550" ht="15" customHeight="1">
      <c r="A550" t="inlineStr">
        <is>
          <t>A 52578-2021</t>
        </is>
      </c>
      <c r="B550" s="1" t="n">
        <v>44466.56642361111</v>
      </c>
      <c r="C550" s="1" t="n">
        <v>45913</v>
      </c>
      <c r="D550" t="inlineStr">
        <is>
          <t>JÄMTLANDS LÄN</t>
        </is>
      </c>
      <c r="E550" t="inlineStr">
        <is>
          <t>KROKOM</t>
        </is>
      </c>
      <c r="G550" t="n">
        <v>17.1</v>
      </c>
      <c r="H550" t="n">
        <v>0</v>
      </c>
      <c r="I550" t="n">
        <v>0</v>
      </c>
      <c r="J550" t="n">
        <v>0</v>
      </c>
      <c r="K550" t="n">
        <v>0</v>
      </c>
      <c r="L550" t="n">
        <v>0</v>
      </c>
      <c r="M550" t="n">
        <v>0</v>
      </c>
      <c r="N550" t="n">
        <v>0</v>
      </c>
      <c r="O550" t="n">
        <v>0</v>
      </c>
      <c r="P550" t="n">
        <v>0</v>
      </c>
      <c r="Q550" t="n">
        <v>0</v>
      </c>
      <c r="R550" s="2" t="inlineStr"/>
    </row>
    <row r="551" ht="15" customHeight="1">
      <c r="A551" t="inlineStr">
        <is>
          <t>A 61230-2021</t>
        </is>
      </c>
      <c r="B551" s="1" t="n">
        <v>44498</v>
      </c>
      <c r="C551" s="1" t="n">
        <v>45913</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24649-2025</t>
        </is>
      </c>
      <c r="B552" s="1" t="n">
        <v>45798.63611111111</v>
      </c>
      <c r="C552" s="1" t="n">
        <v>45913</v>
      </c>
      <c r="D552" t="inlineStr">
        <is>
          <t>JÄMTLANDS LÄN</t>
        </is>
      </c>
      <c r="E552" t="inlineStr">
        <is>
          <t>KROKOM</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24648-2025</t>
        </is>
      </c>
      <c r="B553" s="1" t="n">
        <v>45798.63596064815</v>
      </c>
      <c r="C553" s="1" t="n">
        <v>45913</v>
      </c>
      <c r="D553" t="inlineStr">
        <is>
          <t>JÄMTLANDS LÄN</t>
        </is>
      </c>
      <c r="E553" t="inlineStr">
        <is>
          <t>KROKOM</t>
        </is>
      </c>
      <c r="F553" t="inlineStr">
        <is>
          <t>SCA</t>
        </is>
      </c>
      <c r="G553" t="n">
        <v>12.5</v>
      </c>
      <c r="H553" t="n">
        <v>0</v>
      </c>
      <c r="I553" t="n">
        <v>0</v>
      </c>
      <c r="J553" t="n">
        <v>0</v>
      </c>
      <c r="K553" t="n">
        <v>0</v>
      </c>
      <c r="L553" t="n">
        <v>0</v>
      </c>
      <c r="M553" t="n">
        <v>0</v>
      </c>
      <c r="N553" t="n">
        <v>0</v>
      </c>
      <c r="O553" t="n">
        <v>0</v>
      </c>
      <c r="P553" t="n">
        <v>0</v>
      </c>
      <c r="Q553" t="n">
        <v>0</v>
      </c>
      <c r="R553" s="2" t="inlineStr"/>
    </row>
    <row r="554" ht="15" customHeight="1">
      <c r="A554" t="inlineStr">
        <is>
          <t>A 41675-2024</t>
        </is>
      </c>
      <c r="B554" s="1" t="n">
        <v>45560.6599537037</v>
      </c>
      <c r="C554" s="1" t="n">
        <v>45913</v>
      </c>
      <c r="D554" t="inlineStr">
        <is>
          <t>JÄMTLANDS LÄN</t>
        </is>
      </c>
      <c r="E554" t="inlineStr">
        <is>
          <t>KROKOM</t>
        </is>
      </c>
      <c r="G554" t="n">
        <v>7</v>
      </c>
      <c r="H554" t="n">
        <v>0</v>
      </c>
      <c r="I554" t="n">
        <v>0</v>
      </c>
      <c r="J554" t="n">
        <v>0</v>
      </c>
      <c r="K554" t="n">
        <v>0</v>
      </c>
      <c r="L554" t="n">
        <v>0</v>
      </c>
      <c r="M554" t="n">
        <v>0</v>
      </c>
      <c r="N554" t="n">
        <v>0</v>
      </c>
      <c r="O554" t="n">
        <v>0</v>
      </c>
      <c r="P554" t="n">
        <v>0</v>
      </c>
      <c r="Q554" t="n">
        <v>0</v>
      </c>
      <c r="R554" s="2" t="inlineStr"/>
    </row>
    <row r="555" ht="15" customHeight="1">
      <c r="A555" t="inlineStr">
        <is>
          <t>A 58734-2024</t>
        </is>
      </c>
      <c r="B555" s="1" t="n">
        <v>45635.67949074074</v>
      </c>
      <c r="C555" s="1" t="n">
        <v>45913</v>
      </c>
      <c r="D555" t="inlineStr">
        <is>
          <t>JÄMTLANDS LÄN</t>
        </is>
      </c>
      <c r="E555" t="inlineStr">
        <is>
          <t>KROKOM</t>
        </is>
      </c>
      <c r="G555" t="n">
        <v>3.4</v>
      </c>
      <c r="H555" t="n">
        <v>0</v>
      </c>
      <c r="I555" t="n">
        <v>0</v>
      </c>
      <c r="J555" t="n">
        <v>0</v>
      </c>
      <c r="K555" t="n">
        <v>0</v>
      </c>
      <c r="L555" t="n">
        <v>0</v>
      </c>
      <c r="M555" t="n">
        <v>0</v>
      </c>
      <c r="N555" t="n">
        <v>0</v>
      </c>
      <c r="O555" t="n">
        <v>0</v>
      </c>
      <c r="P555" t="n">
        <v>0</v>
      </c>
      <c r="Q555" t="n">
        <v>0</v>
      </c>
      <c r="R555" s="2" t="inlineStr"/>
    </row>
    <row r="556" ht="15" customHeight="1">
      <c r="A556" t="inlineStr">
        <is>
          <t>A 52111-2024</t>
        </is>
      </c>
      <c r="B556" s="1" t="n">
        <v>45608.43930555556</v>
      </c>
      <c r="C556" s="1" t="n">
        <v>45913</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25302-2025</t>
        </is>
      </c>
      <c r="B557" s="1" t="n">
        <v>45800.57129629629</v>
      </c>
      <c r="C557" s="1" t="n">
        <v>45913</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25312-2025</t>
        </is>
      </c>
      <c r="B558" s="1" t="n">
        <v>45800.57461805556</v>
      </c>
      <c r="C558" s="1" t="n">
        <v>45913</v>
      </c>
      <c r="D558" t="inlineStr">
        <is>
          <t>JÄMTLANDS LÄN</t>
        </is>
      </c>
      <c r="E558" t="inlineStr">
        <is>
          <t>KROKOM</t>
        </is>
      </c>
      <c r="G558" t="n">
        <v>3.2</v>
      </c>
      <c r="H558" t="n">
        <v>0</v>
      </c>
      <c r="I558" t="n">
        <v>0</v>
      </c>
      <c r="J558" t="n">
        <v>0</v>
      </c>
      <c r="K558" t="n">
        <v>0</v>
      </c>
      <c r="L558" t="n">
        <v>0</v>
      </c>
      <c r="M558" t="n">
        <v>0</v>
      </c>
      <c r="N558" t="n">
        <v>0</v>
      </c>
      <c r="O558" t="n">
        <v>0</v>
      </c>
      <c r="P558" t="n">
        <v>0</v>
      </c>
      <c r="Q558" t="n">
        <v>0</v>
      </c>
      <c r="R558" s="2" t="inlineStr"/>
    </row>
    <row r="559" ht="15" customHeight="1">
      <c r="A559" t="inlineStr">
        <is>
          <t>A 25119-2025</t>
        </is>
      </c>
      <c r="B559" s="1" t="n">
        <v>45800.37061342593</v>
      </c>
      <c r="C559" s="1" t="n">
        <v>45913</v>
      </c>
      <c r="D559" t="inlineStr">
        <is>
          <t>JÄMTLANDS LÄN</t>
        </is>
      </c>
      <c r="E559" t="inlineStr">
        <is>
          <t>KROKOM</t>
        </is>
      </c>
      <c r="G559" t="n">
        <v>10.4</v>
      </c>
      <c r="H559" t="n">
        <v>0</v>
      </c>
      <c r="I559" t="n">
        <v>0</v>
      </c>
      <c r="J559" t="n">
        <v>0</v>
      </c>
      <c r="K559" t="n">
        <v>0</v>
      </c>
      <c r="L559" t="n">
        <v>0</v>
      </c>
      <c r="M559" t="n">
        <v>0</v>
      </c>
      <c r="N559" t="n">
        <v>0</v>
      </c>
      <c r="O559" t="n">
        <v>0</v>
      </c>
      <c r="P559" t="n">
        <v>0</v>
      </c>
      <c r="Q559" t="n">
        <v>0</v>
      </c>
      <c r="R559" s="2" t="inlineStr"/>
    </row>
    <row r="560" ht="15" customHeight="1">
      <c r="A560" t="inlineStr">
        <is>
          <t>A 6342-2025</t>
        </is>
      </c>
      <c r="B560" s="1" t="n">
        <v>45699</v>
      </c>
      <c r="C560" s="1" t="n">
        <v>45913</v>
      </c>
      <c r="D560" t="inlineStr">
        <is>
          <t>JÄMTLANDS LÄN</t>
        </is>
      </c>
      <c r="E560" t="inlineStr">
        <is>
          <t>KROKOM</t>
        </is>
      </c>
      <c r="F560" t="inlineStr">
        <is>
          <t>Övriga Aktiebolag</t>
        </is>
      </c>
      <c r="G560" t="n">
        <v>6.5</v>
      </c>
      <c r="H560" t="n">
        <v>0</v>
      </c>
      <c r="I560" t="n">
        <v>0</v>
      </c>
      <c r="J560" t="n">
        <v>0</v>
      </c>
      <c r="K560" t="n">
        <v>0</v>
      </c>
      <c r="L560" t="n">
        <v>0</v>
      </c>
      <c r="M560" t="n">
        <v>0</v>
      </c>
      <c r="N560" t="n">
        <v>0</v>
      </c>
      <c r="O560" t="n">
        <v>0</v>
      </c>
      <c r="P560" t="n">
        <v>0</v>
      </c>
      <c r="Q560" t="n">
        <v>0</v>
      </c>
      <c r="R560" s="2" t="inlineStr"/>
    </row>
    <row r="561" ht="15" customHeight="1">
      <c r="A561" t="inlineStr">
        <is>
          <t>A 10782-2023</t>
        </is>
      </c>
      <c r="B561" s="1" t="n">
        <v>44988.94056712963</v>
      </c>
      <c r="C561" s="1" t="n">
        <v>45913</v>
      </c>
      <c r="D561" t="inlineStr">
        <is>
          <t>JÄMTLANDS LÄN</t>
        </is>
      </c>
      <c r="E561" t="inlineStr">
        <is>
          <t>KROKOM</t>
        </is>
      </c>
      <c r="F561" t="inlineStr">
        <is>
          <t>SCA</t>
        </is>
      </c>
      <c r="G561" t="n">
        <v>68.8</v>
      </c>
      <c r="H561" t="n">
        <v>0</v>
      </c>
      <c r="I561" t="n">
        <v>0</v>
      </c>
      <c r="J561" t="n">
        <v>0</v>
      </c>
      <c r="K561" t="n">
        <v>0</v>
      </c>
      <c r="L561" t="n">
        <v>0</v>
      </c>
      <c r="M561" t="n">
        <v>0</v>
      </c>
      <c r="N561" t="n">
        <v>0</v>
      </c>
      <c r="O561" t="n">
        <v>0</v>
      </c>
      <c r="P561" t="n">
        <v>0</v>
      </c>
      <c r="Q561" t="n">
        <v>0</v>
      </c>
      <c r="R561" s="2" t="inlineStr"/>
    </row>
    <row r="562" ht="15" customHeight="1">
      <c r="A562" t="inlineStr">
        <is>
          <t>A 25295-2025</t>
        </is>
      </c>
      <c r="B562" s="1" t="n">
        <v>45800.56810185185</v>
      </c>
      <c r="C562" s="1" t="n">
        <v>45913</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58569-2020</t>
        </is>
      </c>
      <c r="B563" s="1" t="n">
        <v>44141</v>
      </c>
      <c r="C563" s="1" t="n">
        <v>45913</v>
      </c>
      <c r="D563" t="inlineStr">
        <is>
          <t>JÄMTLANDS LÄN</t>
        </is>
      </c>
      <c r="E563" t="inlineStr">
        <is>
          <t>KROKOM</t>
        </is>
      </c>
      <c r="G563" t="n">
        <v>52.8</v>
      </c>
      <c r="H563" t="n">
        <v>0</v>
      </c>
      <c r="I563" t="n">
        <v>0</v>
      </c>
      <c r="J563" t="n">
        <v>0</v>
      </c>
      <c r="K563" t="n">
        <v>0</v>
      </c>
      <c r="L563" t="n">
        <v>0</v>
      </c>
      <c r="M563" t="n">
        <v>0</v>
      </c>
      <c r="N563" t="n">
        <v>0</v>
      </c>
      <c r="O563" t="n">
        <v>0</v>
      </c>
      <c r="P563" t="n">
        <v>0</v>
      </c>
      <c r="Q563" t="n">
        <v>0</v>
      </c>
      <c r="R563" s="2" t="inlineStr"/>
    </row>
    <row r="564" ht="15" customHeight="1">
      <c r="A564" t="inlineStr">
        <is>
          <t>A 46632-2023</t>
        </is>
      </c>
      <c r="B564" s="1" t="n">
        <v>45198.42734953704</v>
      </c>
      <c r="C564" s="1" t="n">
        <v>45913</v>
      </c>
      <c r="D564" t="inlineStr">
        <is>
          <t>JÄMTLANDS LÄN</t>
        </is>
      </c>
      <c r="E564" t="inlineStr">
        <is>
          <t>KROKOM</t>
        </is>
      </c>
      <c r="F564" t="inlineStr">
        <is>
          <t>Övriga Aktiebolag</t>
        </is>
      </c>
      <c r="G564" t="n">
        <v>1.7</v>
      </c>
      <c r="H564" t="n">
        <v>0</v>
      </c>
      <c r="I564" t="n">
        <v>0</v>
      </c>
      <c r="J564" t="n">
        <v>0</v>
      </c>
      <c r="K564" t="n">
        <v>0</v>
      </c>
      <c r="L564" t="n">
        <v>0</v>
      </c>
      <c r="M564" t="n">
        <v>0</v>
      </c>
      <c r="N564" t="n">
        <v>0</v>
      </c>
      <c r="O564" t="n">
        <v>0</v>
      </c>
      <c r="P564" t="n">
        <v>0</v>
      </c>
      <c r="Q564" t="n">
        <v>0</v>
      </c>
      <c r="R564" s="2" t="inlineStr"/>
    </row>
    <row r="565" ht="15" customHeight="1">
      <c r="A565" t="inlineStr">
        <is>
          <t>A 23083-2025</t>
        </is>
      </c>
      <c r="B565" s="1" t="n">
        <v>45791</v>
      </c>
      <c r="C565" s="1" t="n">
        <v>45913</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18476-2022</t>
        </is>
      </c>
      <c r="B566" s="1" t="n">
        <v>44686</v>
      </c>
      <c r="C566" s="1" t="n">
        <v>45913</v>
      </c>
      <c r="D566" t="inlineStr">
        <is>
          <t>JÄMTLANDS LÄN</t>
        </is>
      </c>
      <c r="E566" t="inlineStr">
        <is>
          <t>KROKOM</t>
        </is>
      </c>
      <c r="G566" t="n">
        <v>11.7</v>
      </c>
      <c r="H566" t="n">
        <v>0</v>
      </c>
      <c r="I566" t="n">
        <v>0</v>
      </c>
      <c r="J566" t="n">
        <v>0</v>
      </c>
      <c r="K566" t="n">
        <v>0</v>
      </c>
      <c r="L566" t="n">
        <v>0</v>
      </c>
      <c r="M566" t="n">
        <v>0</v>
      </c>
      <c r="N566" t="n">
        <v>0</v>
      </c>
      <c r="O566" t="n">
        <v>0</v>
      </c>
      <c r="P566" t="n">
        <v>0</v>
      </c>
      <c r="Q566" t="n">
        <v>0</v>
      </c>
      <c r="R566" s="2" t="inlineStr"/>
    </row>
    <row r="567" ht="15" customHeight="1">
      <c r="A567" t="inlineStr">
        <is>
          <t>A 44296-2024</t>
        </is>
      </c>
      <c r="B567" s="1" t="n">
        <v>45573.54893518519</v>
      </c>
      <c r="C567" s="1" t="n">
        <v>45913</v>
      </c>
      <c r="D567" t="inlineStr">
        <is>
          <t>JÄMTLANDS LÄN</t>
        </is>
      </c>
      <c r="E567" t="inlineStr">
        <is>
          <t>KROKOM</t>
        </is>
      </c>
      <c r="G567" t="n">
        <v>6.1</v>
      </c>
      <c r="H567" t="n">
        <v>0</v>
      </c>
      <c r="I567" t="n">
        <v>0</v>
      </c>
      <c r="J567" t="n">
        <v>0</v>
      </c>
      <c r="K567" t="n">
        <v>0</v>
      </c>
      <c r="L567" t="n">
        <v>0</v>
      </c>
      <c r="M567" t="n">
        <v>0</v>
      </c>
      <c r="N567" t="n">
        <v>0</v>
      </c>
      <c r="O567" t="n">
        <v>0</v>
      </c>
      <c r="P567" t="n">
        <v>0</v>
      </c>
      <c r="Q567" t="n">
        <v>0</v>
      </c>
      <c r="R567" s="2" t="inlineStr"/>
    </row>
    <row r="568" ht="15" customHeight="1">
      <c r="A568" t="inlineStr">
        <is>
          <t>A 19698-2024</t>
        </is>
      </c>
      <c r="B568" s="1" t="n">
        <v>45432.54027777778</v>
      </c>
      <c r="C568" s="1" t="n">
        <v>45913</v>
      </c>
      <c r="D568" t="inlineStr">
        <is>
          <t>JÄMTLANDS LÄN</t>
        </is>
      </c>
      <c r="E568" t="inlineStr">
        <is>
          <t>KROKOM</t>
        </is>
      </c>
      <c r="G568" t="n">
        <v>15.9</v>
      </c>
      <c r="H568" t="n">
        <v>0</v>
      </c>
      <c r="I568" t="n">
        <v>0</v>
      </c>
      <c r="J568" t="n">
        <v>0</v>
      </c>
      <c r="K568" t="n">
        <v>0</v>
      </c>
      <c r="L568" t="n">
        <v>0</v>
      </c>
      <c r="M568" t="n">
        <v>0</v>
      </c>
      <c r="N568" t="n">
        <v>0</v>
      </c>
      <c r="O568" t="n">
        <v>0</v>
      </c>
      <c r="P568" t="n">
        <v>0</v>
      </c>
      <c r="Q568" t="n">
        <v>0</v>
      </c>
      <c r="R568" s="2" t="inlineStr"/>
    </row>
    <row r="569" ht="15" customHeight="1">
      <c r="A569" t="inlineStr">
        <is>
          <t>A 42825-2023</t>
        </is>
      </c>
      <c r="B569" s="1" t="n">
        <v>45182</v>
      </c>
      <c r="C569" s="1" t="n">
        <v>45913</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25398-2025</t>
        </is>
      </c>
      <c r="B570" s="1" t="n">
        <v>45800.65177083333</v>
      </c>
      <c r="C570" s="1" t="n">
        <v>45913</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25386-2025</t>
        </is>
      </c>
      <c r="B571" s="1" t="n">
        <v>45800.64319444444</v>
      </c>
      <c r="C571" s="1" t="n">
        <v>45913</v>
      </c>
      <c r="D571" t="inlineStr">
        <is>
          <t>JÄMTLANDS LÄN</t>
        </is>
      </c>
      <c r="E571" t="inlineStr">
        <is>
          <t>KROKOM</t>
        </is>
      </c>
      <c r="G571" t="n">
        <v>11.9</v>
      </c>
      <c r="H571" t="n">
        <v>0</v>
      </c>
      <c r="I571" t="n">
        <v>0</v>
      </c>
      <c r="J571" t="n">
        <v>0</v>
      </c>
      <c r="K571" t="n">
        <v>0</v>
      </c>
      <c r="L571" t="n">
        <v>0</v>
      </c>
      <c r="M571" t="n">
        <v>0</v>
      </c>
      <c r="N571" t="n">
        <v>0</v>
      </c>
      <c r="O571" t="n">
        <v>0</v>
      </c>
      <c r="P571" t="n">
        <v>0</v>
      </c>
      <c r="Q571" t="n">
        <v>0</v>
      </c>
      <c r="R571" s="2" t="inlineStr"/>
    </row>
    <row r="572" ht="15" customHeight="1">
      <c r="A572" t="inlineStr">
        <is>
          <t>A 4058-2025</t>
        </is>
      </c>
      <c r="B572" s="1" t="n">
        <v>45684.62510416667</v>
      </c>
      <c r="C572" s="1" t="n">
        <v>45913</v>
      </c>
      <c r="D572" t="inlineStr">
        <is>
          <t>JÄMTLANDS LÄN</t>
        </is>
      </c>
      <c r="E572" t="inlineStr">
        <is>
          <t>KROKOM</t>
        </is>
      </c>
      <c r="F572" t="inlineStr">
        <is>
          <t>Kyrkan</t>
        </is>
      </c>
      <c r="G572" t="n">
        <v>7.8</v>
      </c>
      <c r="H572" t="n">
        <v>0</v>
      </c>
      <c r="I572" t="n">
        <v>0</v>
      </c>
      <c r="J572" t="n">
        <v>0</v>
      </c>
      <c r="K572" t="n">
        <v>0</v>
      </c>
      <c r="L572" t="n">
        <v>0</v>
      </c>
      <c r="M572" t="n">
        <v>0</v>
      </c>
      <c r="N572" t="n">
        <v>0</v>
      </c>
      <c r="O572" t="n">
        <v>0</v>
      </c>
      <c r="P572" t="n">
        <v>0</v>
      </c>
      <c r="Q572" t="n">
        <v>0</v>
      </c>
      <c r="R572" s="2" t="inlineStr"/>
    </row>
    <row r="573" ht="15" customHeight="1">
      <c r="A573" t="inlineStr">
        <is>
          <t>A 15341-2025</t>
        </is>
      </c>
      <c r="B573" s="1" t="n">
        <v>45746</v>
      </c>
      <c r="C573" s="1" t="n">
        <v>45913</v>
      </c>
      <c r="D573" t="inlineStr">
        <is>
          <t>JÄMTLANDS LÄN</t>
        </is>
      </c>
      <c r="E573" t="inlineStr">
        <is>
          <t>KROKOM</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28191-2024</t>
        </is>
      </c>
      <c r="B574" s="1" t="n">
        <v>45477.32728009259</v>
      </c>
      <c r="C574" s="1" t="n">
        <v>45913</v>
      </c>
      <c r="D574" t="inlineStr">
        <is>
          <t>JÄMTLANDS LÄN</t>
        </is>
      </c>
      <c r="E574" t="inlineStr">
        <is>
          <t>KROKOM</t>
        </is>
      </c>
      <c r="F574" t="inlineStr">
        <is>
          <t>Övriga Aktiebolag</t>
        </is>
      </c>
      <c r="G574" t="n">
        <v>0.3</v>
      </c>
      <c r="H574" t="n">
        <v>0</v>
      </c>
      <c r="I574" t="n">
        <v>0</v>
      </c>
      <c r="J574" t="n">
        <v>0</v>
      </c>
      <c r="K574" t="n">
        <v>0</v>
      </c>
      <c r="L574" t="n">
        <v>0</v>
      </c>
      <c r="M574" t="n">
        <v>0</v>
      </c>
      <c r="N574" t="n">
        <v>0</v>
      </c>
      <c r="O574" t="n">
        <v>0</v>
      </c>
      <c r="P574" t="n">
        <v>0</v>
      </c>
      <c r="Q574" t="n">
        <v>0</v>
      </c>
      <c r="R574" s="2" t="inlineStr"/>
    </row>
    <row r="575" ht="15" customHeight="1">
      <c r="A575" t="inlineStr">
        <is>
          <t>A 25681-2025</t>
        </is>
      </c>
      <c r="B575" s="1" t="n">
        <v>45800</v>
      </c>
      <c r="C575" s="1" t="n">
        <v>45913</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52590-2023</t>
        </is>
      </c>
      <c r="B576" s="1" t="n">
        <v>45225.60212962963</v>
      </c>
      <c r="C576" s="1" t="n">
        <v>45913</v>
      </c>
      <c r="D576" t="inlineStr">
        <is>
          <t>JÄMTLANDS LÄN</t>
        </is>
      </c>
      <c r="E576" t="inlineStr">
        <is>
          <t>KROKOM</t>
        </is>
      </c>
      <c r="G576" t="n">
        <v>9</v>
      </c>
      <c r="H576" t="n">
        <v>0</v>
      </c>
      <c r="I576" t="n">
        <v>0</v>
      </c>
      <c r="J576" t="n">
        <v>0</v>
      </c>
      <c r="K576" t="n">
        <v>0</v>
      </c>
      <c r="L576" t="n">
        <v>0</v>
      </c>
      <c r="M576" t="n">
        <v>0</v>
      </c>
      <c r="N576" t="n">
        <v>0</v>
      </c>
      <c r="O576" t="n">
        <v>0</v>
      </c>
      <c r="P576" t="n">
        <v>0</v>
      </c>
      <c r="Q576" t="n">
        <v>0</v>
      </c>
      <c r="R576" s="2" t="inlineStr"/>
    </row>
    <row r="577" ht="15" customHeight="1">
      <c r="A577" t="inlineStr">
        <is>
          <t>A 10533-2025</t>
        </is>
      </c>
      <c r="B577" s="1" t="n">
        <v>45721.45563657407</v>
      </c>
      <c r="C577" s="1" t="n">
        <v>45913</v>
      </c>
      <c r="D577" t="inlineStr">
        <is>
          <t>JÄMTLANDS LÄN</t>
        </is>
      </c>
      <c r="E577" t="inlineStr">
        <is>
          <t>KROKOM</t>
        </is>
      </c>
      <c r="F577" t="inlineStr">
        <is>
          <t>SCA</t>
        </is>
      </c>
      <c r="G577" t="n">
        <v>64.90000000000001</v>
      </c>
      <c r="H577" t="n">
        <v>0</v>
      </c>
      <c r="I577" t="n">
        <v>0</v>
      </c>
      <c r="J577" t="n">
        <v>0</v>
      </c>
      <c r="K577" t="n">
        <v>0</v>
      </c>
      <c r="L577" t="n">
        <v>0</v>
      </c>
      <c r="M577" t="n">
        <v>0</v>
      </c>
      <c r="N577" t="n">
        <v>0</v>
      </c>
      <c r="O577" t="n">
        <v>0</v>
      </c>
      <c r="P577" t="n">
        <v>0</v>
      </c>
      <c r="Q577" t="n">
        <v>0</v>
      </c>
      <c r="R577" s="2" t="inlineStr"/>
    </row>
    <row r="578" ht="15" customHeight="1">
      <c r="A578" t="inlineStr">
        <is>
          <t>A 47838-2023</t>
        </is>
      </c>
      <c r="B578" s="1" t="n">
        <v>45204</v>
      </c>
      <c r="C578" s="1" t="n">
        <v>45913</v>
      </c>
      <c r="D578" t="inlineStr">
        <is>
          <t>JÄMTLANDS LÄN</t>
        </is>
      </c>
      <c r="E578" t="inlineStr">
        <is>
          <t>KROKOM</t>
        </is>
      </c>
      <c r="G578" t="n">
        <v>11.8</v>
      </c>
      <c r="H578" t="n">
        <v>0</v>
      </c>
      <c r="I578" t="n">
        <v>0</v>
      </c>
      <c r="J578" t="n">
        <v>0</v>
      </c>
      <c r="K578" t="n">
        <v>0</v>
      </c>
      <c r="L578" t="n">
        <v>0</v>
      </c>
      <c r="M578" t="n">
        <v>0</v>
      </c>
      <c r="N578" t="n">
        <v>0</v>
      </c>
      <c r="O578" t="n">
        <v>0</v>
      </c>
      <c r="P578" t="n">
        <v>0</v>
      </c>
      <c r="Q578" t="n">
        <v>0</v>
      </c>
      <c r="R578" s="2" t="inlineStr"/>
    </row>
    <row r="579" ht="15" customHeight="1">
      <c r="A579" t="inlineStr">
        <is>
          <t>A 25710-2025</t>
        </is>
      </c>
      <c r="B579" s="1" t="n">
        <v>45803.6837962963</v>
      </c>
      <c r="C579" s="1" t="n">
        <v>45913</v>
      </c>
      <c r="D579" t="inlineStr">
        <is>
          <t>JÄMTLANDS LÄN</t>
        </is>
      </c>
      <c r="E579" t="inlineStr">
        <is>
          <t>KROKOM</t>
        </is>
      </c>
      <c r="G579" t="n">
        <v>1</v>
      </c>
      <c r="H579" t="n">
        <v>0</v>
      </c>
      <c r="I579" t="n">
        <v>0</v>
      </c>
      <c r="J579" t="n">
        <v>0</v>
      </c>
      <c r="K579" t="n">
        <v>0</v>
      </c>
      <c r="L579" t="n">
        <v>0</v>
      </c>
      <c r="M579" t="n">
        <v>0</v>
      </c>
      <c r="N579" t="n">
        <v>0</v>
      </c>
      <c r="O579" t="n">
        <v>0</v>
      </c>
      <c r="P579" t="n">
        <v>0</v>
      </c>
      <c r="Q579" t="n">
        <v>0</v>
      </c>
      <c r="R579" s="2" t="inlineStr"/>
    </row>
    <row r="580" ht="15" customHeight="1">
      <c r="A580" t="inlineStr">
        <is>
          <t>A 30065-2024</t>
        </is>
      </c>
      <c r="B580" s="1" t="n">
        <v>45488.94857638889</v>
      </c>
      <c r="C580" s="1" t="n">
        <v>45913</v>
      </c>
      <c r="D580" t="inlineStr">
        <is>
          <t>JÄMTLANDS LÄN</t>
        </is>
      </c>
      <c r="E580" t="inlineStr">
        <is>
          <t>KROKOM</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27729-2024</t>
        </is>
      </c>
      <c r="B581" s="1" t="n">
        <v>45475</v>
      </c>
      <c r="C581" s="1" t="n">
        <v>45913</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25715-2025</t>
        </is>
      </c>
      <c r="B582" s="1" t="n">
        <v>45803.69828703703</v>
      </c>
      <c r="C582" s="1" t="n">
        <v>45913</v>
      </c>
      <c r="D582" t="inlineStr">
        <is>
          <t>JÄMTLANDS LÄN</t>
        </is>
      </c>
      <c r="E582" t="inlineStr">
        <is>
          <t>KROKOM</t>
        </is>
      </c>
      <c r="G582" t="n">
        <v>8.9</v>
      </c>
      <c r="H582" t="n">
        <v>0</v>
      </c>
      <c r="I582" t="n">
        <v>0</v>
      </c>
      <c r="J582" t="n">
        <v>0</v>
      </c>
      <c r="K582" t="n">
        <v>0</v>
      </c>
      <c r="L582" t="n">
        <v>0</v>
      </c>
      <c r="M582" t="n">
        <v>0</v>
      </c>
      <c r="N582" t="n">
        <v>0</v>
      </c>
      <c r="O582" t="n">
        <v>0</v>
      </c>
      <c r="P582" t="n">
        <v>0</v>
      </c>
      <c r="Q582" t="n">
        <v>0</v>
      </c>
      <c r="R582" s="2" t="inlineStr"/>
    </row>
    <row r="583" ht="15" customHeight="1">
      <c r="A583" t="inlineStr">
        <is>
          <t>A 5907-2025</t>
        </is>
      </c>
      <c r="B583" s="1" t="n">
        <v>45695.4046875</v>
      </c>
      <c r="C583" s="1" t="n">
        <v>45913</v>
      </c>
      <c r="D583" t="inlineStr">
        <is>
          <t>JÄMTLANDS LÄN</t>
        </is>
      </c>
      <c r="E583" t="inlineStr">
        <is>
          <t>KROKOM</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5920-2025</t>
        </is>
      </c>
      <c r="B584" s="1" t="n">
        <v>45695.42418981482</v>
      </c>
      <c r="C584" s="1" t="n">
        <v>45913</v>
      </c>
      <c r="D584" t="inlineStr">
        <is>
          <t>JÄMTLANDS LÄN</t>
        </is>
      </c>
      <c r="E584" t="inlineStr">
        <is>
          <t>KROKOM</t>
        </is>
      </c>
      <c r="F584" t="inlineStr">
        <is>
          <t>Övriga Aktiebolag</t>
        </is>
      </c>
      <c r="G584" t="n">
        <v>6.8</v>
      </c>
      <c r="H584" t="n">
        <v>0</v>
      </c>
      <c r="I584" t="n">
        <v>0</v>
      </c>
      <c r="J584" t="n">
        <v>0</v>
      </c>
      <c r="K584" t="n">
        <v>0</v>
      </c>
      <c r="L584" t="n">
        <v>0</v>
      </c>
      <c r="M584" t="n">
        <v>0</v>
      </c>
      <c r="N584" t="n">
        <v>0</v>
      </c>
      <c r="O584" t="n">
        <v>0</v>
      </c>
      <c r="P584" t="n">
        <v>0</v>
      </c>
      <c r="Q584" t="n">
        <v>0</v>
      </c>
      <c r="R584" s="2" t="inlineStr"/>
    </row>
    <row r="585" ht="15" customHeight="1">
      <c r="A585" t="inlineStr">
        <is>
          <t>A 42393-2024</t>
        </is>
      </c>
      <c r="B585" s="1" t="n">
        <v>45565.32449074074</v>
      </c>
      <c r="C585" s="1" t="n">
        <v>45913</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4608-2025</t>
        </is>
      </c>
      <c r="B586" s="1" t="n">
        <v>45687</v>
      </c>
      <c r="C586" s="1" t="n">
        <v>45913</v>
      </c>
      <c r="D586" t="inlineStr">
        <is>
          <t>JÄMTLANDS LÄN</t>
        </is>
      </c>
      <c r="E586" t="inlineStr">
        <is>
          <t>KROKOM</t>
        </is>
      </c>
      <c r="F586" t="inlineStr">
        <is>
          <t>SCA</t>
        </is>
      </c>
      <c r="G586" t="n">
        <v>16.6</v>
      </c>
      <c r="H586" t="n">
        <v>0</v>
      </c>
      <c r="I586" t="n">
        <v>0</v>
      </c>
      <c r="J586" t="n">
        <v>0</v>
      </c>
      <c r="K586" t="n">
        <v>0</v>
      </c>
      <c r="L586" t="n">
        <v>0</v>
      </c>
      <c r="M586" t="n">
        <v>0</v>
      </c>
      <c r="N586" t="n">
        <v>0</v>
      </c>
      <c r="O586" t="n">
        <v>0</v>
      </c>
      <c r="P586" t="n">
        <v>0</v>
      </c>
      <c r="Q586" t="n">
        <v>0</v>
      </c>
      <c r="R586" s="2" t="inlineStr"/>
    </row>
    <row r="587" ht="15" customHeight="1">
      <c r="A587" t="inlineStr">
        <is>
          <t>A 59706-2020</t>
        </is>
      </c>
      <c r="B587" s="1" t="n">
        <v>44151</v>
      </c>
      <c r="C587" s="1" t="n">
        <v>45913</v>
      </c>
      <c r="D587" t="inlineStr">
        <is>
          <t>JÄMTLANDS LÄN</t>
        </is>
      </c>
      <c r="E587" t="inlineStr">
        <is>
          <t>KROKOM</t>
        </is>
      </c>
      <c r="G587" t="n">
        <v>75</v>
      </c>
      <c r="H587" t="n">
        <v>0</v>
      </c>
      <c r="I587" t="n">
        <v>0</v>
      </c>
      <c r="J587" t="n">
        <v>0</v>
      </c>
      <c r="K587" t="n">
        <v>0</v>
      </c>
      <c r="L587" t="n">
        <v>0</v>
      </c>
      <c r="M587" t="n">
        <v>0</v>
      </c>
      <c r="N587" t="n">
        <v>0</v>
      </c>
      <c r="O587" t="n">
        <v>0</v>
      </c>
      <c r="P587" t="n">
        <v>0</v>
      </c>
      <c r="Q587" t="n">
        <v>0</v>
      </c>
      <c r="R587" s="2" t="inlineStr"/>
    </row>
    <row r="588" ht="15" customHeight="1">
      <c r="A588" t="inlineStr">
        <is>
          <t>A 61078-2023</t>
        </is>
      </c>
      <c r="B588" s="1" t="n">
        <v>45261</v>
      </c>
      <c r="C588" s="1" t="n">
        <v>45913</v>
      </c>
      <c r="D588" t="inlineStr">
        <is>
          <t>JÄMTLANDS LÄN</t>
        </is>
      </c>
      <c r="E588" t="inlineStr">
        <is>
          <t>KROKOM</t>
        </is>
      </c>
      <c r="G588" t="n">
        <v>5.7</v>
      </c>
      <c r="H588" t="n">
        <v>0</v>
      </c>
      <c r="I588" t="n">
        <v>0</v>
      </c>
      <c r="J588" t="n">
        <v>0</v>
      </c>
      <c r="K588" t="n">
        <v>0</v>
      </c>
      <c r="L588" t="n">
        <v>0</v>
      </c>
      <c r="M588" t="n">
        <v>0</v>
      </c>
      <c r="N588" t="n">
        <v>0</v>
      </c>
      <c r="O588" t="n">
        <v>0</v>
      </c>
      <c r="P588" t="n">
        <v>0</v>
      </c>
      <c r="Q588" t="n">
        <v>0</v>
      </c>
      <c r="R588" s="2" t="inlineStr"/>
    </row>
    <row r="589" ht="15" customHeight="1">
      <c r="A589" t="inlineStr">
        <is>
          <t>A 10498-2025</t>
        </is>
      </c>
      <c r="B589" s="1" t="n">
        <v>45721</v>
      </c>
      <c r="C589" s="1" t="n">
        <v>45913</v>
      </c>
      <c r="D589" t="inlineStr">
        <is>
          <t>JÄMTLANDS LÄN</t>
        </is>
      </c>
      <c r="E589" t="inlineStr">
        <is>
          <t>KROKOM</t>
        </is>
      </c>
      <c r="G589" t="n">
        <v>1</v>
      </c>
      <c r="H589" t="n">
        <v>0</v>
      </c>
      <c r="I589" t="n">
        <v>0</v>
      </c>
      <c r="J589" t="n">
        <v>0</v>
      </c>
      <c r="K589" t="n">
        <v>0</v>
      </c>
      <c r="L589" t="n">
        <v>0</v>
      </c>
      <c r="M589" t="n">
        <v>0</v>
      </c>
      <c r="N589" t="n">
        <v>0</v>
      </c>
      <c r="O589" t="n">
        <v>0</v>
      </c>
      <c r="P589" t="n">
        <v>0</v>
      </c>
      <c r="Q589" t="n">
        <v>0</v>
      </c>
      <c r="R589" s="2" t="inlineStr"/>
    </row>
    <row r="590" ht="15" customHeight="1">
      <c r="A590" t="inlineStr">
        <is>
          <t>A 26212-2025</t>
        </is>
      </c>
      <c r="B590" s="1" t="n">
        <v>45805.54185185185</v>
      </c>
      <c r="C590" s="1" t="n">
        <v>45913</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40221-2024</t>
        </is>
      </c>
      <c r="B591" s="1" t="n">
        <v>45554.59550925926</v>
      </c>
      <c r="C591" s="1" t="n">
        <v>45913</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6214-2022</t>
        </is>
      </c>
      <c r="B592" s="1" t="n">
        <v>44600.37212962963</v>
      </c>
      <c r="C592" s="1" t="n">
        <v>45913</v>
      </c>
      <c r="D592" t="inlineStr">
        <is>
          <t>JÄMTLANDS LÄN</t>
        </is>
      </c>
      <c r="E592" t="inlineStr">
        <is>
          <t>KROKOM</t>
        </is>
      </c>
      <c r="G592" t="n">
        <v>1.1</v>
      </c>
      <c r="H592" t="n">
        <v>0</v>
      </c>
      <c r="I592" t="n">
        <v>0</v>
      </c>
      <c r="J592" t="n">
        <v>0</v>
      </c>
      <c r="K592" t="n">
        <v>0</v>
      </c>
      <c r="L592" t="n">
        <v>0</v>
      </c>
      <c r="M592" t="n">
        <v>0</v>
      </c>
      <c r="N592" t="n">
        <v>0</v>
      </c>
      <c r="O592" t="n">
        <v>0</v>
      </c>
      <c r="P592" t="n">
        <v>0</v>
      </c>
      <c r="Q592" t="n">
        <v>0</v>
      </c>
      <c r="R592" s="2" t="inlineStr"/>
    </row>
    <row r="593" ht="15" customHeight="1">
      <c r="A593" t="inlineStr">
        <is>
          <t>A 62131-2024</t>
        </is>
      </c>
      <c r="B593" s="1" t="n">
        <v>45656</v>
      </c>
      <c r="C593" s="1" t="n">
        <v>45913</v>
      </c>
      <c r="D593" t="inlineStr">
        <is>
          <t>JÄMTLANDS LÄN</t>
        </is>
      </c>
      <c r="E593" t="inlineStr">
        <is>
          <t>KROKOM</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16345-2025</t>
        </is>
      </c>
      <c r="B594" s="1" t="n">
        <v>45751.3734837963</v>
      </c>
      <c r="C594" s="1" t="n">
        <v>45913</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16481-2025</t>
        </is>
      </c>
      <c r="B595" s="1" t="n">
        <v>45751.57877314815</v>
      </c>
      <c r="C595" s="1" t="n">
        <v>45913</v>
      </c>
      <c r="D595" t="inlineStr">
        <is>
          <t>JÄMTLANDS LÄN</t>
        </is>
      </c>
      <c r="E595" t="inlineStr">
        <is>
          <t>KROKOM</t>
        </is>
      </c>
      <c r="G595" t="n">
        <v>8.4</v>
      </c>
      <c r="H595" t="n">
        <v>0</v>
      </c>
      <c r="I595" t="n">
        <v>0</v>
      </c>
      <c r="J595" t="n">
        <v>0</v>
      </c>
      <c r="K595" t="n">
        <v>0</v>
      </c>
      <c r="L595" t="n">
        <v>0</v>
      </c>
      <c r="M595" t="n">
        <v>0</v>
      </c>
      <c r="N595" t="n">
        <v>0</v>
      </c>
      <c r="O595" t="n">
        <v>0</v>
      </c>
      <c r="P595" t="n">
        <v>0</v>
      </c>
      <c r="Q595" t="n">
        <v>0</v>
      </c>
      <c r="R595" s="2" t="inlineStr"/>
    </row>
    <row r="596" ht="15" customHeight="1">
      <c r="A596" t="inlineStr">
        <is>
          <t>A 15310-2025</t>
        </is>
      </c>
      <c r="B596" s="1" t="n">
        <v>45746.79134259259</v>
      </c>
      <c r="C596" s="1" t="n">
        <v>45913</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9796-2025</t>
        </is>
      </c>
      <c r="B597" s="1" t="n">
        <v>45716.55237268518</v>
      </c>
      <c r="C597" s="1" t="n">
        <v>45913</v>
      </c>
      <c r="D597" t="inlineStr">
        <is>
          <t>JÄMTLANDS LÄN</t>
        </is>
      </c>
      <c r="E597" t="inlineStr">
        <is>
          <t>KROKOM</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29896-2021</t>
        </is>
      </c>
      <c r="B598" s="1" t="n">
        <v>44362</v>
      </c>
      <c r="C598" s="1" t="n">
        <v>45913</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36929-2024</t>
        </is>
      </c>
      <c r="B599" s="1" t="n">
        <v>45538.68200231482</v>
      </c>
      <c r="C599" s="1" t="n">
        <v>45913</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12838-2025</t>
        </is>
      </c>
      <c r="B600" s="1" t="n">
        <v>45733</v>
      </c>
      <c r="C600" s="1" t="n">
        <v>45913</v>
      </c>
      <c r="D600" t="inlineStr">
        <is>
          <t>JÄMTLANDS LÄN</t>
        </is>
      </c>
      <c r="E600" t="inlineStr">
        <is>
          <t>KROKOM</t>
        </is>
      </c>
      <c r="G600" t="n">
        <v>59.3</v>
      </c>
      <c r="H600" t="n">
        <v>0</v>
      </c>
      <c r="I600" t="n">
        <v>0</v>
      </c>
      <c r="J600" t="n">
        <v>0</v>
      </c>
      <c r="K600" t="n">
        <v>0</v>
      </c>
      <c r="L600" t="n">
        <v>0</v>
      </c>
      <c r="M600" t="n">
        <v>0</v>
      </c>
      <c r="N600" t="n">
        <v>0</v>
      </c>
      <c r="O600" t="n">
        <v>0</v>
      </c>
      <c r="P600" t="n">
        <v>0</v>
      </c>
      <c r="Q600" t="n">
        <v>0</v>
      </c>
      <c r="R600" s="2" t="inlineStr"/>
    </row>
    <row r="601" ht="15" customHeight="1">
      <c r="A601" t="inlineStr">
        <is>
          <t>A 26272-2025</t>
        </is>
      </c>
      <c r="B601" s="1" t="n">
        <v>45805</v>
      </c>
      <c r="C601" s="1" t="n">
        <v>45913</v>
      </c>
      <c r="D601" t="inlineStr">
        <is>
          <t>JÄMTLANDS LÄN</t>
        </is>
      </c>
      <c r="E601" t="inlineStr">
        <is>
          <t>KROKOM</t>
        </is>
      </c>
      <c r="G601" t="n">
        <v>22.4</v>
      </c>
      <c r="H601" t="n">
        <v>0</v>
      </c>
      <c r="I601" t="n">
        <v>0</v>
      </c>
      <c r="J601" t="n">
        <v>0</v>
      </c>
      <c r="K601" t="n">
        <v>0</v>
      </c>
      <c r="L601" t="n">
        <v>0</v>
      </c>
      <c r="M601" t="n">
        <v>0</v>
      </c>
      <c r="N601" t="n">
        <v>0</v>
      </c>
      <c r="O601" t="n">
        <v>0</v>
      </c>
      <c r="P601" t="n">
        <v>0</v>
      </c>
      <c r="Q601" t="n">
        <v>0</v>
      </c>
      <c r="R601" s="2" t="inlineStr"/>
    </row>
    <row r="602" ht="15" customHeight="1">
      <c r="A602" t="inlineStr">
        <is>
          <t>A 5409-2025</t>
        </is>
      </c>
      <c r="B602" s="1" t="n">
        <v>45692</v>
      </c>
      <c r="C602" s="1" t="n">
        <v>45913</v>
      </c>
      <c r="D602" t="inlineStr">
        <is>
          <t>JÄMTLANDS LÄN</t>
        </is>
      </c>
      <c r="E602" t="inlineStr">
        <is>
          <t>KROKOM</t>
        </is>
      </c>
      <c r="F602" t="inlineStr">
        <is>
          <t>SCA</t>
        </is>
      </c>
      <c r="G602" t="n">
        <v>7.8</v>
      </c>
      <c r="H602" t="n">
        <v>0</v>
      </c>
      <c r="I602" t="n">
        <v>0</v>
      </c>
      <c r="J602" t="n">
        <v>0</v>
      </c>
      <c r="K602" t="n">
        <v>0</v>
      </c>
      <c r="L602" t="n">
        <v>0</v>
      </c>
      <c r="M602" t="n">
        <v>0</v>
      </c>
      <c r="N602" t="n">
        <v>0</v>
      </c>
      <c r="O602" t="n">
        <v>0</v>
      </c>
      <c r="P602" t="n">
        <v>0</v>
      </c>
      <c r="Q602" t="n">
        <v>0</v>
      </c>
      <c r="R602" s="2" t="inlineStr"/>
    </row>
    <row r="603" ht="15" customHeight="1">
      <c r="A603" t="inlineStr">
        <is>
          <t>A 6024-2025</t>
        </is>
      </c>
      <c r="B603" s="1" t="n">
        <v>45695.61160879629</v>
      </c>
      <c r="C603" s="1" t="n">
        <v>45913</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50919-2024</t>
        </is>
      </c>
      <c r="B604" s="1" t="n">
        <v>45602</v>
      </c>
      <c r="C604" s="1" t="n">
        <v>45913</v>
      </c>
      <c r="D604" t="inlineStr">
        <is>
          <t>JÄMTLANDS LÄN</t>
        </is>
      </c>
      <c r="E604" t="inlineStr">
        <is>
          <t>KROKOM</t>
        </is>
      </c>
      <c r="G604" t="n">
        <v>33.7</v>
      </c>
      <c r="H604" t="n">
        <v>0</v>
      </c>
      <c r="I604" t="n">
        <v>0</v>
      </c>
      <c r="J604" t="n">
        <v>0</v>
      </c>
      <c r="K604" t="n">
        <v>0</v>
      </c>
      <c r="L604" t="n">
        <v>0</v>
      </c>
      <c r="M604" t="n">
        <v>0</v>
      </c>
      <c r="N604" t="n">
        <v>0</v>
      </c>
      <c r="O604" t="n">
        <v>0</v>
      </c>
      <c r="P604" t="n">
        <v>0</v>
      </c>
      <c r="Q604" t="n">
        <v>0</v>
      </c>
      <c r="R604" s="2" t="inlineStr"/>
    </row>
    <row r="605" ht="15" customHeight="1">
      <c r="A605" t="inlineStr">
        <is>
          <t>A 4741-2022</t>
        </is>
      </c>
      <c r="B605" s="1" t="n">
        <v>44592</v>
      </c>
      <c r="C605" s="1" t="n">
        <v>45913</v>
      </c>
      <c r="D605" t="inlineStr">
        <is>
          <t>JÄMTLANDS LÄN</t>
        </is>
      </c>
      <c r="E605" t="inlineStr">
        <is>
          <t>KROKOM</t>
        </is>
      </c>
      <c r="G605" t="n">
        <v>54.2</v>
      </c>
      <c r="H605" t="n">
        <v>0</v>
      </c>
      <c r="I605" t="n">
        <v>0</v>
      </c>
      <c r="J605" t="n">
        <v>0</v>
      </c>
      <c r="K605" t="n">
        <v>0</v>
      </c>
      <c r="L605" t="n">
        <v>0</v>
      </c>
      <c r="M605" t="n">
        <v>0</v>
      </c>
      <c r="N605" t="n">
        <v>0</v>
      </c>
      <c r="O605" t="n">
        <v>0</v>
      </c>
      <c r="P605" t="n">
        <v>0</v>
      </c>
      <c r="Q605" t="n">
        <v>0</v>
      </c>
      <c r="R605" s="2" t="inlineStr"/>
    </row>
    <row r="606" ht="15" customHeight="1">
      <c r="A606" t="inlineStr">
        <is>
          <t>A 1323-2025</t>
        </is>
      </c>
      <c r="B606" s="1" t="n">
        <v>45667.57217592592</v>
      </c>
      <c r="C606" s="1" t="n">
        <v>45913</v>
      </c>
      <c r="D606" t="inlineStr">
        <is>
          <t>JÄMTLANDS LÄN</t>
        </is>
      </c>
      <c r="E606" t="inlineStr">
        <is>
          <t>KROKOM</t>
        </is>
      </c>
      <c r="G606" t="n">
        <v>5.9</v>
      </c>
      <c r="H606" t="n">
        <v>0</v>
      </c>
      <c r="I606" t="n">
        <v>0</v>
      </c>
      <c r="J606" t="n">
        <v>0</v>
      </c>
      <c r="K606" t="n">
        <v>0</v>
      </c>
      <c r="L606" t="n">
        <v>0</v>
      </c>
      <c r="M606" t="n">
        <v>0</v>
      </c>
      <c r="N606" t="n">
        <v>0</v>
      </c>
      <c r="O606" t="n">
        <v>0</v>
      </c>
      <c r="P606" t="n">
        <v>0</v>
      </c>
      <c r="Q606" t="n">
        <v>0</v>
      </c>
      <c r="R606" s="2" t="inlineStr"/>
    </row>
    <row r="607" ht="15" customHeight="1">
      <c r="A607" t="inlineStr">
        <is>
          <t>A 6524-2025</t>
        </is>
      </c>
      <c r="B607" s="1" t="n">
        <v>45699.66576388889</v>
      </c>
      <c r="C607" s="1" t="n">
        <v>45913</v>
      </c>
      <c r="D607" t="inlineStr">
        <is>
          <t>JÄMTLANDS LÄN</t>
        </is>
      </c>
      <c r="E607" t="inlineStr">
        <is>
          <t>KROKOM</t>
        </is>
      </c>
      <c r="F607" t="inlineStr">
        <is>
          <t>Övriga Aktiebolag</t>
        </is>
      </c>
      <c r="G607" t="n">
        <v>51.6</v>
      </c>
      <c r="H607" t="n">
        <v>0</v>
      </c>
      <c r="I607" t="n">
        <v>0</v>
      </c>
      <c r="J607" t="n">
        <v>0</v>
      </c>
      <c r="K607" t="n">
        <v>0</v>
      </c>
      <c r="L607" t="n">
        <v>0</v>
      </c>
      <c r="M607" t="n">
        <v>0</v>
      </c>
      <c r="N607" t="n">
        <v>0</v>
      </c>
      <c r="O607" t="n">
        <v>0</v>
      </c>
      <c r="P607" t="n">
        <v>0</v>
      </c>
      <c r="Q607" t="n">
        <v>0</v>
      </c>
      <c r="R607" s="2" t="inlineStr"/>
    </row>
    <row r="608" ht="15" customHeight="1">
      <c r="A608" t="inlineStr">
        <is>
          <t>A 58052-2022</t>
        </is>
      </c>
      <c r="B608" s="1" t="n">
        <v>44893</v>
      </c>
      <c r="C608" s="1" t="n">
        <v>45913</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46046-2023</t>
        </is>
      </c>
      <c r="B609" s="1" t="n">
        <v>45190</v>
      </c>
      <c r="C609" s="1" t="n">
        <v>45913</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16064-2024</t>
        </is>
      </c>
      <c r="B610" s="1" t="n">
        <v>45406.05033564815</v>
      </c>
      <c r="C610" s="1" t="n">
        <v>45913</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4423-2025</t>
        </is>
      </c>
      <c r="B611" s="1" t="n">
        <v>45686</v>
      </c>
      <c r="C611" s="1" t="n">
        <v>45913</v>
      </c>
      <c r="D611" t="inlineStr">
        <is>
          <t>JÄMTLANDS LÄN</t>
        </is>
      </c>
      <c r="E611" t="inlineStr">
        <is>
          <t>KROKOM</t>
        </is>
      </c>
      <c r="G611" t="n">
        <v>17.3</v>
      </c>
      <c r="H611" t="n">
        <v>0</v>
      </c>
      <c r="I611" t="n">
        <v>0</v>
      </c>
      <c r="J611" t="n">
        <v>0</v>
      </c>
      <c r="K611" t="n">
        <v>0</v>
      </c>
      <c r="L611" t="n">
        <v>0</v>
      </c>
      <c r="M611" t="n">
        <v>0</v>
      </c>
      <c r="N611" t="n">
        <v>0</v>
      </c>
      <c r="O611" t="n">
        <v>0</v>
      </c>
      <c r="P611" t="n">
        <v>0</v>
      </c>
      <c r="Q611" t="n">
        <v>0</v>
      </c>
      <c r="R611" s="2" t="inlineStr"/>
    </row>
    <row r="612" ht="15" customHeight="1">
      <c r="A612" t="inlineStr">
        <is>
          <t>A 59076-2022</t>
        </is>
      </c>
      <c r="B612" s="1" t="n">
        <v>44904</v>
      </c>
      <c r="C612" s="1" t="n">
        <v>45913</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45547.42736111111</v>
      </c>
      <c r="C613" s="1" t="n">
        <v>45913</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26544-2025</t>
        </is>
      </c>
      <c r="B614" s="1" t="n">
        <v>45807.58930555556</v>
      </c>
      <c r="C614" s="1" t="n">
        <v>45913</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41784-2023</t>
        </is>
      </c>
      <c r="B615" s="1" t="n">
        <v>45176</v>
      </c>
      <c r="C615" s="1" t="n">
        <v>45913</v>
      </c>
      <c r="D615" t="inlineStr">
        <is>
          <t>JÄMTLANDS LÄN</t>
        </is>
      </c>
      <c r="E615" t="inlineStr">
        <is>
          <t>KROKOM</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5785-2025</t>
        </is>
      </c>
      <c r="B616" s="1" t="n">
        <v>45694.64416666667</v>
      </c>
      <c r="C616" s="1" t="n">
        <v>45913</v>
      </c>
      <c r="D616" t="inlineStr">
        <is>
          <t>JÄMTLANDS LÄN</t>
        </is>
      </c>
      <c r="E616" t="inlineStr">
        <is>
          <t>KROKOM</t>
        </is>
      </c>
      <c r="F616" t="inlineStr">
        <is>
          <t>Övriga Aktiebolag</t>
        </is>
      </c>
      <c r="G616" t="n">
        <v>4.2</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45913</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32676-2023</t>
        </is>
      </c>
      <c r="B618" s="1" t="n">
        <v>45121</v>
      </c>
      <c r="C618" s="1" t="n">
        <v>45913</v>
      </c>
      <c r="D618" t="inlineStr">
        <is>
          <t>JÄMTLANDS LÄN</t>
        </is>
      </c>
      <c r="E618" t="inlineStr">
        <is>
          <t>KROKOM</t>
        </is>
      </c>
      <c r="F618" t="inlineStr">
        <is>
          <t>Övriga Aktiebolag</t>
        </is>
      </c>
      <c r="G618" t="n">
        <v>7.1</v>
      </c>
      <c r="H618" t="n">
        <v>0</v>
      </c>
      <c r="I618" t="n">
        <v>0</v>
      </c>
      <c r="J618" t="n">
        <v>0</v>
      </c>
      <c r="K618" t="n">
        <v>0</v>
      </c>
      <c r="L618" t="n">
        <v>0</v>
      </c>
      <c r="M618" t="n">
        <v>0</v>
      </c>
      <c r="N618" t="n">
        <v>0</v>
      </c>
      <c r="O618" t="n">
        <v>0</v>
      </c>
      <c r="P618" t="n">
        <v>0</v>
      </c>
      <c r="Q618" t="n">
        <v>0</v>
      </c>
      <c r="R618" s="2" t="inlineStr"/>
    </row>
    <row r="619" ht="15" customHeight="1">
      <c r="A619" t="inlineStr">
        <is>
          <t>A 26621-2025</t>
        </is>
      </c>
      <c r="B619" s="1" t="n">
        <v>45810.32105324074</v>
      </c>
      <c r="C619" s="1" t="n">
        <v>45913</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30709-2024</t>
        </is>
      </c>
      <c r="B620" s="1" t="n">
        <v>45496.41289351852</v>
      </c>
      <c r="C620" s="1" t="n">
        <v>45913</v>
      </c>
      <c r="D620" t="inlineStr">
        <is>
          <t>JÄMTLANDS LÄN</t>
        </is>
      </c>
      <c r="E620" t="inlineStr">
        <is>
          <t>KROKOM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54817-2024</t>
        </is>
      </c>
      <c r="B621" s="1" t="n">
        <v>45618.53126157408</v>
      </c>
      <c r="C621" s="1" t="n">
        <v>45913</v>
      </c>
      <c r="D621" t="inlineStr">
        <is>
          <t>JÄMTLANDS LÄN</t>
        </is>
      </c>
      <c r="E621" t="inlineStr">
        <is>
          <t>KROKOM</t>
        </is>
      </c>
      <c r="G621" t="n">
        <v>8.4</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45913</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54975-2024</t>
        </is>
      </c>
      <c r="B623" s="1" t="n">
        <v>45620.67667824074</v>
      </c>
      <c r="C623" s="1" t="n">
        <v>45913</v>
      </c>
      <c r="D623" t="inlineStr">
        <is>
          <t>JÄMTLANDS LÄN</t>
        </is>
      </c>
      <c r="E623" t="inlineStr">
        <is>
          <t>KROKOM</t>
        </is>
      </c>
      <c r="G623" t="n">
        <v>24.1</v>
      </c>
      <c r="H623" t="n">
        <v>0</v>
      </c>
      <c r="I623" t="n">
        <v>0</v>
      </c>
      <c r="J623" t="n">
        <v>0</v>
      </c>
      <c r="K623" t="n">
        <v>0</v>
      </c>
      <c r="L623" t="n">
        <v>0</v>
      </c>
      <c r="M623" t="n">
        <v>0</v>
      </c>
      <c r="N623" t="n">
        <v>0</v>
      </c>
      <c r="O623" t="n">
        <v>0</v>
      </c>
      <c r="P623" t="n">
        <v>0</v>
      </c>
      <c r="Q623" t="n">
        <v>0</v>
      </c>
      <c r="R623" s="2" t="inlineStr"/>
    </row>
    <row r="624" ht="15" customHeight="1">
      <c r="A624" t="inlineStr">
        <is>
          <t>A 54043-2023</t>
        </is>
      </c>
      <c r="B624" s="1" t="n">
        <v>45231</v>
      </c>
      <c r="C624" s="1" t="n">
        <v>45913</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45913</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692-2025</t>
        </is>
      </c>
      <c r="B626" s="1" t="n">
        <v>45662</v>
      </c>
      <c r="C626" s="1" t="n">
        <v>45913</v>
      </c>
      <c r="D626" t="inlineStr">
        <is>
          <t>JÄMTLANDS LÄN</t>
        </is>
      </c>
      <c r="E626" t="inlineStr">
        <is>
          <t>KROKOM</t>
        </is>
      </c>
      <c r="G626" t="n">
        <v>20</v>
      </c>
      <c r="H626" t="n">
        <v>0</v>
      </c>
      <c r="I626" t="n">
        <v>0</v>
      </c>
      <c r="J626" t="n">
        <v>0</v>
      </c>
      <c r="K626" t="n">
        <v>0</v>
      </c>
      <c r="L626" t="n">
        <v>0</v>
      </c>
      <c r="M626" t="n">
        <v>0</v>
      </c>
      <c r="N626" t="n">
        <v>0</v>
      </c>
      <c r="O626" t="n">
        <v>0</v>
      </c>
      <c r="P626" t="n">
        <v>0</v>
      </c>
      <c r="Q626" t="n">
        <v>0</v>
      </c>
      <c r="R626" s="2" t="inlineStr"/>
    </row>
    <row r="627" ht="15" customHeight="1">
      <c r="A627" t="inlineStr">
        <is>
          <t>A 40213-2024</t>
        </is>
      </c>
      <c r="B627" s="1" t="n">
        <v>45554.59447916667</v>
      </c>
      <c r="C627" s="1" t="n">
        <v>45913</v>
      </c>
      <c r="D627" t="inlineStr">
        <is>
          <t>JÄMTLANDS LÄN</t>
        </is>
      </c>
      <c r="E627" t="inlineStr">
        <is>
          <t>KROKOM</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39368-2024</t>
        </is>
      </c>
      <c r="B628" s="1" t="n">
        <v>45551.47325231481</v>
      </c>
      <c r="C628" s="1" t="n">
        <v>45913</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6590-2025</t>
        </is>
      </c>
      <c r="B629" s="1" t="n">
        <v>45700.30092592593</v>
      </c>
      <c r="C629" s="1" t="n">
        <v>45913</v>
      </c>
      <c r="D629" t="inlineStr">
        <is>
          <t>JÄMTLANDS LÄN</t>
        </is>
      </c>
      <c r="E629" t="inlineStr">
        <is>
          <t>KROKOM</t>
        </is>
      </c>
      <c r="F629" t="inlineStr">
        <is>
          <t>Övriga Aktiebolag</t>
        </is>
      </c>
      <c r="G629" t="n">
        <v>51.6</v>
      </c>
      <c r="H629" t="n">
        <v>0</v>
      </c>
      <c r="I629" t="n">
        <v>0</v>
      </c>
      <c r="J629" t="n">
        <v>0</v>
      </c>
      <c r="K629" t="n">
        <v>0</v>
      </c>
      <c r="L629" t="n">
        <v>0</v>
      </c>
      <c r="M629" t="n">
        <v>0</v>
      </c>
      <c r="N629" t="n">
        <v>0</v>
      </c>
      <c r="O629" t="n">
        <v>0</v>
      </c>
      <c r="P629" t="n">
        <v>0</v>
      </c>
      <c r="Q629" t="n">
        <v>0</v>
      </c>
      <c r="R629" s="2" t="inlineStr"/>
    </row>
    <row r="630" ht="15" customHeight="1">
      <c r="A630" t="inlineStr">
        <is>
          <t>A 26527-2025</t>
        </is>
      </c>
      <c r="B630" s="1" t="n">
        <v>45807.56728009259</v>
      </c>
      <c r="C630" s="1" t="n">
        <v>45913</v>
      </c>
      <c r="D630" t="inlineStr">
        <is>
          <t>JÄMTLANDS LÄN</t>
        </is>
      </c>
      <c r="E630" t="inlineStr">
        <is>
          <t>KROKOM</t>
        </is>
      </c>
      <c r="G630" t="n">
        <v>13.3</v>
      </c>
      <c r="H630" t="n">
        <v>0</v>
      </c>
      <c r="I630" t="n">
        <v>0</v>
      </c>
      <c r="J630" t="n">
        <v>0</v>
      </c>
      <c r="K630" t="n">
        <v>0</v>
      </c>
      <c r="L630" t="n">
        <v>0</v>
      </c>
      <c r="M630" t="n">
        <v>0</v>
      </c>
      <c r="N630" t="n">
        <v>0</v>
      </c>
      <c r="O630" t="n">
        <v>0</v>
      </c>
      <c r="P630" t="n">
        <v>0</v>
      </c>
      <c r="Q630" t="n">
        <v>0</v>
      </c>
      <c r="R630" s="2" t="inlineStr"/>
    </row>
    <row r="631" ht="15" customHeight="1">
      <c r="A631" t="inlineStr">
        <is>
          <t>A 31927-2023</t>
        </is>
      </c>
      <c r="B631" s="1" t="n">
        <v>45118.94061342593</v>
      </c>
      <c r="C631" s="1" t="n">
        <v>45913</v>
      </c>
      <c r="D631" t="inlineStr">
        <is>
          <t>JÄMTLANDS LÄN</t>
        </is>
      </c>
      <c r="E631" t="inlineStr">
        <is>
          <t>KROKOM</t>
        </is>
      </c>
      <c r="G631" t="n">
        <v>56.6</v>
      </c>
      <c r="H631" t="n">
        <v>0</v>
      </c>
      <c r="I631" t="n">
        <v>0</v>
      </c>
      <c r="J631" t="n">
        <v>0</v>
      </c>
      <c r="K631" t="n">
        <v>0</v>
      </c>
      <c r="L631" t="n">
        <v>0</v>
      </c>
      <c r="M631" t="n">
        <v>0</v>
      </c>
      <c r="N631" t="n">
        <v>0</v>
      </c>
      <c r="O631" t="n">
        <v>0</v>
      </c>
      <c r="P631" t="n">
        <v>0</v>
      </c>
      <c r="Q631" t="n">
        <v>0</v>
      </c>
      <c r="R631" s="2" t="inlineStr"/>
    </row>
    <row r="632" ht="15" customHeight="1">
      <c r="A632" t="inlineStr">
        <is>
          <t>A 30383-2024</t>
        </is>
      </c>
      <c r="B632" s="1" t="n">
        <v>45491.44971064815</v>
      </c>
      <c r="C632" s="1" t="n">
        <v>45913</v>
      </c>
      <c r="D632" t="inlineStr">
        <is>
          <t>JÄMTLANDS LÄN</t>
        </is>
      </c>
      <c r="E632" t="inlineStr">
        <is>
          <t>KROKOM</t>
        </is>
      </c>
      <c r="G632" t="n">
        <v>22.9</v>
      </c>
      <c r="H632" t="n">
        <v>0</v>
      </c>
      <c r="I632" t="n">
        <v>0</v>
      </c>
      <c r="J632" t="n">
        <v>0</v>
      </c>
      <c r="K632" t="n">
        <v>0</v>
      </c>
      <c r="L632" t="n">
        <v>0</v>
      </c>
      <c r="M632" t="n">
        <v>0</v>
      </c>
      <c r="N632" t="n">
        <v>0</v>
      </c>
      <c r="O632" t="n">
        <v>0</v>
      </c>
      <c r="P632" t="n">
        <v>0</v>
      </c>
      <c r="Q632" t="n">
        <v>0</v>
      </c>
      <c r="R632" s="2" t="inlineStr"/>
    </row>
    <row r="633" ht="15" customHeight="1">
      <c r="A633" t="inlineStr">
        <is>
          <t>A 15524-2024</t>
        </is>
      </c>
      <c r="B633" s="1" t="n">
        <v>45401.59133101852</v>
      </c>
      <c r="C633" s="1" t="n">
        <v>45913</v>
      </c>
      <c r="D633" t="inlineStr">
        <is>
          <t>JÄMTLANDS LÄN</t>
        </is>
      </c>
      <c r="E633" t="inlineStr">
        <is>
          <t>KROKOM</t>
        </is>
      </c>
      <c r="G633" t="n">
        <v>2.4</v>
      </c>
      <c r="H633" t="n">
        <v>0</v>
      </c>
      <c r="I633" t="n">
        <v>0</v>
      </c>
      <c r="J633" t="n">
        <v>0</v>
      </c>
      <c r="K633" t="n">
        <v>0</v>
      </c>
      <c r="L633" t="n">
        <v>0</v>
      </c>
      <c r="M633" t="n">
        <v>0</v>
      </c>
      <c r="N633" t="n">
        <v>0</v>
      </c>
      <c r="O633" t="n">
        <v>0</v>
      </c>
      <c r="P633" t="n">
        <v>0</v>
      </c>
      <c r="Q633" t="n">
        <v>0</v>
      </c>
      <c r="R633" s="2" t="inlineStr"/>
    </row>
    <row r="634" ht="15" customHeight="1">
      <c r="A634" t="inlineStr">
        <is>
          <t>A 39230-2024</t>
        </is>
      </c>
      <c r="B634" s="1" t="n">
        <v>45550.66542824074</v>
      </c>
      <c r="C634" s="1" t="n">
        <v>45913</v>
      </c>
      <c r="D634" t="inlineStr">
        <is>
          <t>JÄMTLANDS LÄN</t>
        </is>
      </c>
      <c r="E634" t="inlineStr">
        <is>
          <t>KROKOM</t>
        </is>
      </c>
      <c r="G634" t="n">
        <v>7.9</v>
      </c>
      <c r="H634" t="n">
        <v>0</v>
      </c>
      <c r="I634" t="n">
        <v>0</v>
      </c>
      <c r="J634" t="n">
        <v>0</v>
      </c>
      <c r="K634" t="n">
        <v>0</v>
      </c>
      <c r="L634" t="n">
        <v>0</v>
      </c>
      <c r="M634" t="n">
        <v>0</v>
      </c>
      <c r="N634" t="n">
        <v>0</v>
      </c>
      <c r="O634" t="n">
        <v>0</v>
      </c>
      <c r="P634" t="n">
        <v>0</v>
      </c>
      <c r="Q634" t="n">
        <v>0</v>
      </c>
      <c r="R634" s="2" t="inlineStr"/>
    </row>
    <row r="635" ht="15" customHeight="1">
      <c r="A635" t="inlineStr">
        <is>
          <t>A 27431-2024</t>
        </is>
      </c>
      <c r="B635" s="1" t="n">
        <v>45474.3981712963</v>
      </c>
      <c r="C635" s="1" t="n">
        <v>45913</v>
      </c>
      <c r="D635" t="inlineStr">
        <is>
          <t>JÄMTLANDS LÄN</t>
        </is>
      </c>
      <c r="E635" t="inlineStr">
        <is>
          <t>KROKOM</t>
        </is>
      </c>
      <c r="G635" t="n">
        <v>4.2</v>
      </c>
      <c r="H635" t="n">
        <v>0</v>
      </c>
      <c r="I635" t="n">
        <v>0</v>
      </c>
      <c r="J635" t="n">
        <v>0</v>
      </c>
      <c r="K635" t="n">
        <v>0</v>
      </c>
      <c r="L635" t="n">
        <v>0</v>
      </c>
      <c r="M635" t="n">
        <v>0</v>
      </c>
      <c r="N635" t="n">
        <v>0</v>
      </c>
      <c r="O635" t="n">
        <v>0</v>
      </c>
      <c r="P635" t="n">
        <v>0</v>
      </c>
      <c r="Q635" t="n">
        <v>0</v>
      </c>
      <c r="R635" s="2" t="inlineStr"/>
    </row>
    <row r="636" ht="15" customHeight="1">
      <c r="A636" t="inlineStr">
        <is>
          <t>A 13722-2025</t>
        </is>
      </c>
      <c r="B636" s="1" t="n">
        <v>45737.36873842592</v>
      </c>
      <c r="C636" s="1" t="n">
        <v>45913</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45913</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5637-2025</t>
        </is>
      </c>
      <c r="B638" s="1" t="n">
        <v>45693.67361111111</v>
      </c>
      <c r="C638" s="1" t="n">
        <v>45913</v>
      </c>
      <c r="D638" t="inlineStr">
        <is>
          <t>JÄMTLANDS LÄN</t>
        </is>
      </c>
      <c r="E638" t="inlineStr">
        <is>
          <t>KROKOM</t>
        </is>
      </c>
      <c r="F638" t="inlineStr">
        <is>
          <t>Övriga Aktiebolag</t>
        </is>
      </c>
      <c r="G638" t="n">
        <v>57.8</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45913</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61732-2021</t>
        </is>
      </c>
      <c r="B640" s="1" t="n">
        <v>44498</v>
      </c>
      <c r="C640" s="1" t="n">
        <v>45913</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59620-2024</t>
        </is>
      </c>
      <c r="B641" s="1" t="n">
        <v>45638.81385416666</v>
      </c>
      <c r="C641" s="1" t="n">
        <v>45913</v>
      </c>
      <c r="D641" t="inlineStr">
        <is>
          <t>JÄMTLANDS LÄN</t>
        </is>
      </c>
      <c r="E641" t="inlineStr">
        <is>
          <t>KROKOM</t>
        </is>
      </c>
      <c r="G641" t="n">
        <v>0.4</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45913</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26619-2025</t>
        </is>
      </c>
      <c r="B643" s="1" t="n">
        <v>45810.31376157407</v>
      </c>
      <c r="C643" s="1" t="n">
        <v>45913</v>
      </c>
      <c r="D643" t="inlineStr">
        <is>
          <t>JÄMTLANDS LÄN</t>
        </is>
      </c>
      <c r="E643" t="inlineStr">
        <is>
          <t>KROKOM</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1877-2023</t>
        </is>
      </c>
      <c r="B644" s="1" t="n">
        <v>44938.93989583333</v>
      </c>
      <c r="C644" s="1" t="n">
        <v>45913</v>
      </c>
      <c r="D644" t="inlineStr">
        <is>
          <t>JÄMTLANDS LÄN</t>
        </is>
      </c>
      <c r="E644" t="inlineStr">
        <is>
          <t>KROKOM</t>
        </is>
      </c>
      <c r="G644" t="n">
        <v>11.1</v>
      </c>
      <c r="H644" t="n">
        <v>0</v>
      </c>
      <c r="I644" t="n">
        <v>0</v>
      </c>
      <c r="J644" t="n">
        <v>0</v>
      </c>
      <c r="K644" t="n">
        <v>0</v>
      </c>
      <c r="L644" t="n">
        <v>0</v>
      </c>
      <c r="M644" t="n">
        <v>0</v>
      </c>
      <c r="N644" t="n">
        <v>0</v>
      </c>
      <c r="O644" t="n">
        <v>0</v>
      </c>
      <c r="P644" t="n">
        <v>0</v>
      </c>
      <c r="Q644" t="n">
        <v>0</v>
      </c>
      <c r="R644" s="2" t="inlineStr"/>
    </row>
    <row r="645" ht="15" customHeight="1">
      <c r="A645" t="inlineStr">
        <is>
          <t>A 27153-2025</t>
        </is>
      </c>
      <c r="B645" s="1" t="n">
        <v>45812.32266203704</v>
      </c>
      <c r="C645" s="1" t="n">
        <v>45913</v>
      </c>
      <c r="D645" t="inlineStr">
        <is>
          <t>JÄMTLANDS LÄN</t>
        </is>
      </c>
      <c r="E645" t="inlineStr">
        <is>
          <t>KROKOM</t>
        </is>
      </c>
      <c r="G645" t="n">
        <v>15.8</v>
      </c>
      <c r="H645" t="n">
        <v>0</v>
      </c>
      <c r="I645" t="n">
        <v>0</v>
      </c>
      <c r="J645" t="n">
        <v>0</v>
      </c>
      <c r="K645" t="n">
        <v>0</v>
      </c>
      <c r="L645" t="n">
        <v>0</v>
      </c>
      <c r="M645" t="n">
        <v>0</v>
      </c>
      <c r="N645" t="n">
        <v>0</v>
      </c>
      <c r="O645" t="n">
        <v>0</v>
      </c>
      <c r="P645" t="n">
        <v>0</v>
      </c>
      <c r="Q645" t="n">
        <v>0</v>
      </c>
      <c r="R645" s="2" t="inlineStr"/>
    </row>
    <row r="646" ht="15" customHeight="1">
      <c r="A646" t="inlineStr">
        <is>
          <t>A 7366-2025</t>
        </is>
      </c>
      <c r="B646" s="1" t="n">
        <v>45704.71069444445</v>
      </c>
      <c r="C646" s="1" t="n">
        <v>45913</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6711-2025</t>
        </is>
      </c>
      <c r="B647" s="1" t="n">
        <v>45700.56194444445</v>
      </c>
      <c r="C647" s="1" t="n">
        <v>45913</v>
      </c>
      <c r="D647" t="inlineStr">
        <is>
          <t>JÄMTLANDS LÄN</t>
        </is>
      </c>
      <c r="E647" t="inlineStr">
        <is>
          <t>KROKOM</t>
        </is>
      </c>
      <c r="F647" t="inlineStr">
        <is>
          <t>Övriga Aktiebolag</t>
        </is>
      </c>
      <c r="G647" t="n">
        <v>37.6</v>
      </c>
      <c r="H647" t="n">
        <v>0</v>
      </c>
      <c r="I647" t="n">
        <v>0</v>
      </c>
      <c r="J647" t="n">
        <v>0</v>
      </c>
      <c r="K647" t="n">
        <v>0</v>
      </c>
      <c r="L647" t="n">
        <v>0</v>
      </c>
      <c r="M647" t="n">
        <v>0</v>
      </c>
      <c r="N647" t="n">
        <v>0</v>
      </c>
      <c r="O647" t="n">
        <v>0</v>
      </c>
      <c r="P647" t="n">
        <v>0</v>
      </c>
      <c r="Q647" t="n">
        <v>0</v>
      </c>
      <c r="R647" s="2" t="inlineStr"/>
    </row>
    <row r="648" ht="15" customHeight="1">
      <c r="A648" t="inlineStr">
        <is>
          <t>A 16199-2025</t>
        </is>
      </c>
      <c r="B648" s="1" t="n">
        <v>45750.60577546297</v>
      </c>
      <c r="C648" s="1" t="n">
        <v>45913</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27104-2025</t>
        </is>
      </c>
      <c r="B649" s="1" t="n">
        <v>45811.69912037037</v>
      </c>
      <c r="C649" s="1" t="n">
        <v>45913</v>
      </c>
      <c r="D649" t="inlineStr">
        <is>
          <t>JÄMTLANDS LÄN</t>
        </is>
      </c>
      <c r="E649" t="inlineStr">
        <is>
          <t>KROKOM</t>
        </is>
      </c>
      <c r="G649" t="n">
        <v>14.4</v>
      </c>
      <c r="H649" t="n">
        <v>0</v>
      </c>
      <c r="I649" t="n">
        <v>0</v>
      </c>
      <c r="J649" t="n">
        <v>0</v>
      </c>
      <c r="K649" t="n">
        <v>0</v>
      </c>
      <c r="L649" t="n">
        <v>0</v>
      </c>
      <c r="M649" t="n">
        <v>0</v>
      </c>
      <c r="N649" t="n">
        <v>0</v>
      </c>
      <c r="O649" t="n">
        <v>0</v>
      </c>
      <c r="P649" t="n">
        <v>0</v>
      </c>
      <c r="Q649" t="n">
        <v>0</v>
      </c>
      <c r="R649" s="2" t="inlineStr"/>
    </row>
    <row r="650" ht="15" customHeight="1">
      <c r="A650" t="inlineStr">
        <is>
          <t>A 44156-2024</t>
        </is>
      </c>
      <c r="B650" s="1" t="n">
        <v>45572</v>
      </c>
      <c r="C650" s="1" t="n">
        <v>45913</v>
      </c>
      <c r="D650" t="inlineStr">
        <is>
          <t>JÄMTLANDS LÄN</t>
        </is>
      </c>
      <c r="E650" t="inlineStr">
        <is>
          <t>KROKOM</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5364-2025</t>
        </is>
      </c>
      <c r="B651" s="1" t="n">
        <v>45692.58106481482</v>
      </c>
      <c r="C651" s="1" t="n">
        <v>45913</v>
      </c>
      <c r="D651" t="inlineStr">
        <is>
          <t>JÄMTLANDS LÄN</t>
        </is>
      </c>
      <c r="E651" t="inlineStr">
        <is>
          <t>KROKOM</t>
        </is>
      </c>
      <c r="G651" t="n">
        <v>25.4</v>
      </c>
      <c r="H651" t="n">
        <v>0</v>
      </c>
      <c r="I651" t="n">
        <v>0</v>
      </c>
      <c r="J651" t="n">
        <v>0</v>
      </c>
      <c r="K651" t="n">
        <v>0</v>
      </c>
      <c r="L651" t="n">
        <v>0</v>
      </c>
      <c r="M651" t="n">
        <v>0</v>
      </c>
      <c r="N651" t="n">
        <v>0</v>
      </c>
      <c r="O651" t="n">
        <v>0</v>
      </c>
      <c r="P651" t="n">
        <v>0</v>
      </c>
      <c r="Q651" t="n">
        <v>0</v>
      </c>
      <c r="R651" s="2" t="inlineStr"/>
    </row>
    <row r="652" ht="15" customHeight="1">
      <c r="A652" t="inlineStr">
        <is>
          <t>A 27522-2025</t>
        </is>
      </c>
      <c r="B652" s="1" t="n">
        <v>45813.44443287037</v>
      </c>
      <c r="C652" s="1" t="n">
        <v>45913</v>
      </c>
      <c r="D652" t="inlineStr">
        <is>
          <t>JÄMTLANDS LÄN</t>
        </is>
      </c>
      <c r="E652" t="inlineStr">
        <is>
          <t>KROKOM</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27616-2023</t>
        </is>
      </c>
      <c r="B653" s="1" t="n">
        <v>45097</v>
      </c>
      <c r="C653" s="1" t="n">
        <v>45913</v>
      </c>
      <c r="D653" t="inlineStr">
        <is>
          <t>JÄMTLANDS LÄN</t>
        </is>
      </c>
      <c r="E653" t="inlineStr">
        <is>
          <t>KROKOM</t>
        </is>
      </c>
      <c r="F653" t="inlineStr">
        <is>
          <t>Övriga Aktiebolag</t>
        </is>
      </c>
      <c r="G653" t="n">
        <v>13.3</v>
      </c>
      <c r="H653" t="n">
        <v>0</v>
      </c>
      <c r="I653" t="n">
        <v>0</v>
      </c>
      <c r="J653" t="n">
        <v>0</v>
      </c>
      <c r="K653" t="n">
        <v>0</v>
      </c>
      <c r="L653" t="n">
        <v>0</v>
      </c>
      <c r="M653" t="n">
        <v>0</v>
      </c>
      <c r="N653" t="n">
        <v>0</v>
      </c>
      <c r="O653" t="n">
        <v>0</v>
      </c>
      <c r="P653" t="n">
        <v>0</v>
      </c>
      <c r="Q653" t="n">
        <v>0</v>
      </c>
      <c r="R653" s="2" t="inlineStr"/>
    </row>
    <row r="654" ht="15" customHeight="1">
      <c r="A654" t="inlineStr">
        <is>
          <t>A 6585-2025</t>
        </is>
      </c>
      <c r="B654" s="1" t="n">
        <v>45700.27895833334</v>
      </c>
      <c r="C654" s="1" t="n">
        <v>45913</v>
      </c>
      <c r="D654" t="inlineStr">
        <is>
          <t>JÄMTLANDS LÄN</t>
        </is>
      </c>
      <c r="E654" t="inlineStr">
        <is>
          <t>KROKOM</t>
        </is>
      </c>
      <c r="F654" t="inlineStr">
        <is>
          <t>Övriga Aktiebolag</t>
        </is>
      </c>
      <c r="G654" t="n">
        <v>2</v>
      </c>
      <c r="H654" t="n">
        <v>0</v>
      </c>
      <c r="I654" t="n">
        <v>0</v>
      </c>
      <c r="J654" t="n">
        <v>0</v>
      </c>
      <c r="K654" t="n">
        <v>0</v>
      </c>
      <c r="L654" t="n">
        <v>0</v>
      </c>
      <c r="M654" t="n">
        <v>0</v>
      </c>
      <c r="N654" t="n">
        <v>0</v>
      </c>
      <c r="O654" t="n">
        <v>0</v>
      </c>
      <c r="P654" t="n">
        <v>0</v>
      </c>
      <c r="Q654" t="n">
        <v>0</v>
      </c>
      <c r="R654" s="2" t="inlineStr"/>
    </row>
    <row r="655" ht="15" customHeight="1">
      <c r="A655" t="inlineStr">
        <is>
          <t>A 4575-2025</t>
        </is>
      </c>
      <c r="B655" s="1" t="n">
        <v>45687.48931712963</v>
      </c>
      <c r="C655" s="1" t="n">
        <v>45913</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42774-2024</t>
        </is>
      </c>
      <c r="B656" s="1" t="n">
        <v>45566.51501157408</v>
      </c>
      <c r="C656" s="1" t="n">
        <v>45913</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45913</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55831-2024</t>
        </is>
      </c>
      <c r="B658" s="1" t="n">
        <v>45623.48571759259</v>
      </c>
      <c r="C658" s="1" t="n">
        <v>45913</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27833-2025</t>
        </is>
      </c>
      <c r="B659" s="1" t="n">
        <v>45814</v>
      </c>
      <c r="C659" s="1" t="n">
        <v>45913</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27851-2025</t>
        </is>
      </c>
      <c r="B660" s="1" t="n">
        <v>45814</v>
      </c>
      <c r="C660" s="1" t="n">
        <v>45913</v>
      </c>
      <c r="D660" t="inlineStr">
        <is>
          <t>JÄMTLANDS LÄN</t>
        </is>
      </c>
      <c r="E660" t="inlineStr">
        <is>
          <t>KROKOM</t>
        </is>
      </c>
      <c r="G660" t="n">
        <v>13.9</v>
      </c>
      <c r="H660" t="n">
        <v>0</v>
      </c>
      <c r="I660" t="n">
        <v>0</v>
      </c>
      <c r="J660" t="n">
        <v>0</v>
      </c>
      <c r="K660" t="n">
        <v>0</v>
      </c>
      <c r="L660" t="n">
        <v>0</v>
      </c>
      <c r="M660" t="n">
        <v>0</v>
      </c>
      <c r="N660" t="n">
        <v>0</v>
      </c>
      <c r="O660" t="n">
        <v>0</v>
      </c>
      <c r="P660" t="n">
        <v>0</v>
      </c>
      <c r="Q660" t="n">
        <v>0</v>
      </c>
      <c r="R660" s="2" t="inlineStr"/>
    </row>
    <row r="661" ht="15" customHeight="1">
      <c r="A661" t="inlineStr">
        <is>
          <t>A 7013-2025</t>
        </is>
      </c>
      <c r="B661" s="1" t="n">
        <v>45701.60901620371</v>
      </c>
      <c r="C661" s="1" t="n">
        <v>45913</v>
      </c>
      <c r="D661" t="inlineStr">
        <is>
          <t>JÄMTLANDS LÄN</t>
        </is>
      </c>
      <c r="E661" t="inlineStr">
        <is>
          <t>KROKOM</t>
        </is>
      </c>
      <c r="G661" t="n">
        <v>4.3</v>
      </c>
      <c r="H661" t="n">
        <v>0</v>
      </c>
      <c r="I661" t="n">
        <v>0</v>
      </c>
      <c r="J661" t="n">
        <v>0</v>
      </c>
      <c r="K661" t="n">
        <v>0</v>
      </c>
      <c r="L661" t="n">
        <v>0</v>
      </c>
      <c r="M661" t="n">
        <v>0</v>
      </c>
      <c r="N661" t="n">
        <v>0</v>
      </c>
      <c r="O661" t="n">
        <v>0</v>
      </c>
      <c r="P661" t="n">
        <v>0</v>
      </c>
      <c r="Q661" t="n">
        <v>0</v>
      </c>
      <c r="R661" s="2" t="inlineStr"/>
    </row>
    <row r="662" ht="15" customHeight="1">
      <c r="A662" t="inlineStr">
        <is>
          <t>A 27703-2025</t>
        </is>
      </c>
      <c r="B662" s="1" t="n">
        <v>45813.68361111111</v>
      </c>
      <c r="C662" s="1" t="n">
        <v>45913</v>
      </c>
      <c r="D662" t="inlineStr">
        <is>
          <t>JÄMTLANDS LÄN</t>
        </is>
      </c>
      <c r="E662" t="inlineStr">
        <is>
          <t>KROKOM</t>
        </is>
      </c>
      <c r="G662" t="n">
        <v>7.1</v>
      </c>
      <c r="H662" t="n">
        <v>0</v>
      </c>
      <c r="I662" t="n">
        <v>0</v>
      </c>
      <c r="J662" t="n">
        <v>0</v>
      </c>
      <c r="K662" t="n">
        <v>0</v>
      </c>
      <c r="L662" t="n">
        <v>0</v>
      </c>
      <c r="M662" t="n">
        <v>0</v>
      </c>
      <c r="N662" t="n">
        <v>0</v>
      </c>
      <c r="O662" t="n">
        <v>0</v>
      </c>
      <c r="P662" t="n">
        <v>0</v>
      </c>
      <c r="Q662" t="n">
        <v>0</v>
      </c>
      <c r="R662" s="2" t="inlineStr"/>
    </row>
    <row r="663" ht="15" customHeight="1">
      <c r="A663" t="inlineStr">
        <is>
          <t>A 1287-2021</t>
        </is>
      </c>
      <c r="B663" s="1" t="n">
        <v>44207</v>
      </c>
      <c r="C663" s="1" t="n">
        <v>45913</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5704-2025</t>
        </is>
      </c>
      <c r="B664" s="1" t="n">
        <v>45694.43806712963</v>
      </c>
      <c r="C664" s="1" t="n">
        <v>45913</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22236-2025</t>
        </is>
      </c>
      <c r="B665" s="1" t="n">
        <v>45785.67431712963</v>
      </c>
      <c r="C665" s="1" t="n">
        <v>45913</v>
      </c>
      <c r="D665" t="inlineStr">
        <is>
          <t>JÄMTLANDS LÄN</t>
        </is>
      </c>
      <c r="E665" t="inlineStr">
        <is>
          <t>KROKOM</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2782-2025</t>
        </is>
      </c>
      <c r="B666" s="1" t="n">
        <v>45676</v>
      </c>
      <c r="C666" s="1" t="n">
        <v>45913</v>
      </c>
      <c r="D666" t="inlineStr">
        <is>
          <t>JÄMTLANDS LÄN</t>
        </is>
      </c>
      <c r="E666" t="inlineStr">
        <is>
          <t>KROKOM</t>
        </is>
      </c>
      <c r="G666" t="n">
        <v>18.6</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45913</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18080-2025</t>
        </is>
      </c>
      <c r="B668" s="1" t="n">
        <v>45761.50909722222</v>
      </c>
      <c r="C668" s="1" t="n">
        <v>45913</v>
      </c>
      <c r="D668" t="inlineStr">
        <is>
          <t>JÄMTLANDS LÄN</t>
        </is>
      </c>
      <c r="E668" t="inlineStr">
        <is>
          <t>KROKOM</t>
        </is>
      </c>
      <c r="G668" t="n">
        <v>21.9</v>
      </c>
      <c r="H668" t="n">
        <v>0</v>
      </c>
      <c r="I668" t="n">
        <v>0</v>
      </c>
      <c r="J668" t="n">
        <v>0</v>
      </c>
      <c r="K668" t="n">
        <v>0</v>
      </c>
      <c r="L668" t="n">
        <v>0</v>
      </c>
      <c r="M668" t="n">
        <v>0</v>
      </c>
      <c r="N668" t="n">
        <v>0</v>
      </c>
      <c r="O668" t="n">
        <v>0</v>
      </c>
      <c r="P668" t="n">
        <v>0</v>
      </c>
      <c r="Q668" t="n">
        <v>0</v>
      </c>
      <c r="R668" s="2" t="inlineStr"/>
    </row>
    <row r="669" ht="15" customHeight="1">
      <c r="A669" t="inlineStr">
        <is>
          <t>A 688-2021</t>
        </is>
      </c>
      <c r="B669" s="1" t="n">
        <v>44203</v>
      </c>
      <c r="C669" s="1" t="n">
        <v>45913</v>
      </c>
      <c r="D669" t="inlineStr">
        <is>
          <t>JÄMTLANDS LÄN</t>
        </is>
      </c>
      <c r="E669" t="inlineStr">
        <is>
          <t>KROKOM</t>
        </is>
      </c>
      <c r="G669" t="n">
        <v>7.8</v>
      </c>
      <c r="H669" t="n">
        <v>0</v>
      </c>
      <c r="I669" t="n">
        <v>0</v>
      </c>
      <c r="J669" t="n">
        <v>0</v>
      </c>
      <c r="K669" t="n">
        <v>0</v>
      </c>
      <c r="L669" t="n">
        <v>0</v>
      </c>
      <c r="M669" t="n">
        <v>0</v>
      </c>
      <c r="N669" t="n">
        <v>0</v>
      </c>
      <c r="O669" t="n">
        <v>0</v>
      </c>
      <c r="P669" t="n">
        <v>0</v>
      </c>
      <c r="Q669" t="n">
        <v>0</v>
      </c>
      <c r="R669" s="2" t="inlineStr"/>
    </row>
    <row r="670" ht="15" customHeight="1">
      <c r="A670" t="inlineStr">
        <is>
          <t>A 28155-2025</t>
        </is>
      </c>
      <c r="B670" s="1" t="n">
        <v>45818.36246527778</v>
      </c>
      <c r="C670" s="1" t="n">
        <v>45913</v>
      </c>
      <c r="D670" t="inlineStr">
        <is>
          <t>JÄMTLANDS LÄN</t>
        </is>
      </c>
      <c r="E670" t="inlineStr">
        <is>
          <t>KROKOM</t>
        </is>
      </c>
      <c r="F670" t="inlineStr">
        <is>
          <t>Kyrkan</t>
        </is>
      </c>
      <c r="G670" t="n">
        <v>6.1</v>
      </c>
      <c r="H670" t="n">
        <v>0</v>
      </c>
      <c r="I670" t="n">
        <v>0</v>
      </c>
      <c r="J670" t="n">
        <v>0</v>
      </c>
      <c r="K670" t="n">
        <v>0</v>
      </c>
      <c r="L670" t="n">
        <v>0</v>
      </c>
      <c r="M670" t="n">
        <v>0</v>
      </c>
      <c r="N670" t="n">
        <v>0</v>
      </c>
      <c r="O670" t="n">
        <v>0</v>
      </c>
      <c r="P670" t="n">
        <v>0</v>
      </c>
      <c r="Q670" t="n">
        <v>0</v>
      </c>
      <c r="R670" s="2" t="inlineStr"/>
    </row>
    <row r="671" ht="15" customHeight="1">
      <c r="A671" t="inlineStr">
        <is>
          <t>A 51929-2023</t>
        </is>
      </c>
      <c r="B671" s="1" t="n">
        <v>45216</v>
      </c>
      <c r="C671" s="1" t="n">
        <v>45913</v>
      </c>
      <c r="D671" t="inlineStr">
        <is>
          <t>JÄMTLANDS LÄN</t>
        </is>
      </c>
      <c r="E671" t="inlineStr">
        <is>
          <t>KROKOM</t>
        </is>
      </c>
      <c r="G671" t="n">
        <v>0.8</v>
      </c>
      <c r="H671" t="n">
        <v>0</v>
      </c>
      <c r="I671" t="n">
        <v>0</v>
      </c>
      <c r="J671" t="n">
        <v>0</v>
      </c>
      <c r="K671" t="n">
        <v>0</v>
      </c>
      <c r="L671" t="n">
        <v>0</v>
      </c>
      <c r="M671" t="n">
        <v>0</v>
      </c>
      <c r="N671" t="n">
        <v>0</v>
      </c>
      <c r="O671" t="n">
        <v>0</v>
      </c>
      <c r="P671" t="n">
        <v>0</v>
      </c>
      <c r="Q671" t="n">
        <v>0</v>
      </c>
      <c r="R671" s="2" t="inlineStr"/>
    </row>
    <row r="672" ht="15" customHeight="1">
      <c r="A672" t="inlineStr">
        <is>
          <t>A 57728-2020</t>
        </is>
      </c>
      <c r="B672" s="1" t="n">
        <v>44140</v>
      </c>
      <c r="C672" s="1" t="n">
        <v>45913</v>
      </c>
      <c r="D672" t="inlineStr">
        <is>
          <t>JÄMTLANDS LÄN</t>
        </is>
      </c>
      <c r="E672" t="inlineStr">
        <is>
          <t>KROKOM</t>
        </is>
      </c>
      <c r="G672" t="n">
        <v>5</v>
      </c>
      <c r="H672" t="n">
        <v>0</v>
      </c>
      <c r="I672" t="n">
        <v>0</v>
      </c>
      <c r="J672" t="n">
        <v>0</v>
      </c>
      <c r="K672" t="n">
        <v>0</v>
      </c>
      <c r="L672" t="n">
        <v>0</v>
      </c>
      <c r="M672" t="n">
        <v>0</v>
      </c>
      <c r="N672" t="n">
        <v>0</v>
      </c>
      <c r="O672" t="n">
        <v>0</v>
      </c>
      <c r="P672" t="n">
        <v>0</v>
      </c>
      <c r="Q672" t="n">
        <v>0</v>
      </c>
      <c r="R672" s="2" t="inlineStr"/>
    </row>
    <row r="673" ht="15" customHeight="1">
      <c r="A673" t="inlineStr">
        <is>
          <t>A 28130-2025</t>
        </is>
      </c>
      <c r="B673" s="1" t="n">
        <v>45818.3293287037</v>
      </c>
      <c r="C673" s="1" t="n">
        <v>45913</v>
      </c>
      <c r="D673" t="inlineStr">
        <is>
          <t>JÄMTLANDS LÄN</t>
        </is>
      </c>
      <c r="E673" t="inlineStr">
        <is>
          <t>KROKOM</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10552-2025</t>
        </is>
      </c>
      <c r="B674" s="1" t="n">
        <v>45721.5113425926</v>
      </c>
      <c r="C674" s="1" t="n">
        <v>45913</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7556-2025</t>
        </is>
      </c>
      <c r="B675" s="1" t="n">
        <v>45705</v>
      </c>
      <c r="C675" s="1" t="n">
        <v>45913</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53543-2024</t>
        </is>
      </c>
      <c r="B676" s="1" t="n">
        <v>45614.63697916667</v>
      </c>
      <c r="C676" s="1" t="n">
        <v>45913</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22865-2022</t>
        </is>
      </c>
      <c r="B677" s="1" t="n">
        <v>44715.48863425926</v>
      </c>
      <c r="C677" s="1" t="n">
        <v>45913</v>
      </c>
      <c r="D677" t="inlineStr">
        <is>
          <t>JÄMTLANDS LÄN</t>
        </is>
      </c>
      <c r="E677" t="inlineStr">
        <is>
          <t>KROKOM</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27973-2025</t>
        </is>
      </c>
      <c r="B678" s="1" t="n">
        <v>45817.56761574074</v>
      </c>
      <c r="C678" s="1" t="n">
        <v>45913</v>
      </c>
      <c r="D678" t="inlineStr">
        <is>
          <t>JÄMTLANDS LÄN</t>
        </is>
      </c>
      <c r="E678" t="inlineStr">
        <is>
          <t>KROKOM</t>
        </is>
      </c>
      <c r="G678" t="n">
        <v>1.4</v>
      </c>
      <c r="H678" t="n">
        <v>0</v>
      </c>
      <c r="I678" t="n">
        <v>0</v>
      </c>
      <c r="J678" t="n">
        <v>0</v>
      </c>
      <c r="K678" t="n">
        <v>0</v>
      </c>
      <c r="L678" t="n">
        <v>0</v>
      </c>
      <c r="M678" t="n">
        <v>0</v>
      </c>
      <c r="N678" t="n">
        <v>0</v>
      </c>
      <c r="O678" t="n">
        <v>0</v>
      </c>
      <c r="P678" t="n">
        <v>0</v>
      </c>
      <c r="Q678" t="n">
        <v>0</v>
      </c>
      <c r="R678" s="2" t="inlineStr"/>
    </row>
    <row r="679" ht="15" customHeight="1">
      <c r="A679" t="inlineStr">
        <is>
          <t>A 27740-2025</t>
        </is>
      </c>
      <c r="B679" s="1" t="n">
        <v>45815.50844907408</v>
      </c>
      <c r="C679" s="1" t="n">
        <v>45913</v>
      </c>
      <c r="D679" t="inlineStr">
        <is>
          <t>JÄMTLANDS LÄN</t>
        </is>
      </c>
      <c r="E679" t="inlineStr">
        <is>
          <t>KROKOM</t>
        </is>
      </c>
      <c r="G679" t="n">
        <v>9.1</v>
      </c>
      <c r="H679" t="n">
        <v>0</v>
      </c>
      <c r="I679" t="n">
        <v>0</v>
      </c>
      <c r="J679" t="n">
        <v>0</v>
      </c>
      <c r="K679" t="n">
        <v>0</v>
      </c>
      <c r="L679" t="n">
        <v>0</v>
      </c>
      <c r="M679" t="n">
        <v>0</v>
      </c>
      <c r="N679" t="n">
        <v>0</v>
      </c>
      <c r="O679" t="n">
        <v>0</v>
      </c>
      <c r="P679" t="n">
        <v>0</v>
      </c>
      <c r="Q679" t="n">
        <v>0</v>
      </c>
      <c r="R679" s="2" t="inlineStr"/>
    </row>
    <row r="680" ht="15" customHeight="1">
      <c r="A680" t="inlineStr">
        <is>
          <t>A 28137-2025</t>
        </is>
      </c>
      <c r="B680" s="1" t="n">
        <v>45818.34474537037</v>
      </c>
      <c r="C680" s="1" t="n">
        <v>45913</v>
      </c>
      <c r="D680" t="inlineStr">
        <is>
          <t>JÄMTLANDS LÄN</t>
        </is>
      </c>
      <c r="E680" t="inlineStr">
        <is>
          <t>KROKOM</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54160-2023</t>
        </is>
      </c>
      <c r="B681" s="1" t="n">
        <v>45232.46239583333</v>
      </c>
      <c r="C681" s="1" t="n">
        <v>45913</v>
      </c>
      <c r="D681" t="inlineStr">
        <is>
          <t>JÄMTLANDS LÄN</t>
        </is>
      </c>
      <c r="E681" t="inlineStr">
        <is>
          <t>KROKOM</t>
        </is>
      </c>
      <c r="G681" t="n">
        <v>3</v>
      </c>
      <c r="H681" t="n">
        <v>0</v>
      </c>
      <c r="I681" t="n">
        <v>0</v>
      </c>
      <c r="J681" t="n">
        <v>0</v>
      </c>
      <c r="K681" t="n">
        <v>0</v>
      </c>
      <c r="L681" t="n">
        <v>0</v>
      </c>
      <c r="M681" t="n">
        <v>0</v>
      </c>
      <c r="N681" t="n">
        <v>0</v>
      </c>
      <c r="O681" t="n">
        <v>0</v>
      </c>
      <c r="P681" t="n">
        <v>0</v>
      </c>
      <c r="Q681" t="n">
        <v>0</v>
      </c>
      <c r="R681" s="2" t="inlineStr"/>
    </row>
    <row r="682" ht="15" customHeight="1">
      <c r="A682" t="inlineStr">
        <is>
          <t>A 28136-2025</t>
        </is>
      </c>
      <c r="B682" s="1" t="n">
        <v>45818.34473379629</v>
      </c>
      <c r="C682" s="1" t="n">
        <v>45913</v>
      </c>
      <c r="D682" t="inlineStr">
        <is>
          <t>JÄMTLANDS LÄN</t>
        </is>
      </c>
      <c r="E682" t="inlineStr">
        <is>
          <t>KROKOM</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39753-2024</t>
        </is>
      </c>
      <c r="B683" s="1" t="n">
        <v>45552.67611111111</v>
      </c>
      <c r="C683" s="1" t="n">
        <v>45913</v>
      </c>
      <c r="D683" t="inlineStr">
        <is>
          <t>JÄMTLANDS LÄN</t>
        </is>
      </c>
      <c r="E683" t="inlineStr">
        <is>
          <t>KROKOM</t>
        </is>
      </c>
      <c r="G683" t="n">
        <v>1</v>
      </c>
      <c r="H683" t="n">
        <v>0</v>
      </c>
      <c r="I683" t="n">
        <v>0</v>
      </c>
      <c r="J683" t="n">
        <v>0</v>
      </c>
      <c r="K683" t="n">
        <v>0</v>
      </c>
      <c r="L683" t="n">
        <v>0</v>
      </c>
      <c r="M683" t="n">
        <v>0</v>
      </c>
      <c r="N683" t="n">
        <v>0</v>
      </c>
      <c r="O683" t="n">
        <v>0</v>
      </c>
      <c r="P683" t="n">
        <v>0</v>
      </c>
      <c r="Q683" t="n">
        <v>0</v>
      </c>
      <c r="R683" s="2" t="inlineStr"/>
    </row>
    <row r="684" ht="15" customHeight="1">
      <c r="A684" t="inlineStr">
        <is>
          <t>A 16545-2024</t>
        </is>
      </c>
      <c r="B684" s="1" t="n">
        <v>45408</v>
      </c>
      <c r="C684" s="1" t="n">
        <v>45913</v>
      </c>
      <c r="D684" t="inlineStr">
        <is>
          <t>JÄMTLANDS LÄN</t>
        </is>
      </c>
      <c r="E684" t="inlineStr">
        <is>
          <t>KROKOM</t>
        </is>
      </c>
      <c r="G684" t="n">
        <v>46.1</v>
      </c>
      <c r="H684" t="n">
        <v>0</v>
      </c>
      <c r="I684" t="n">
        <v>0</v>
      </c>
      <c r="J684" t="n">
        <v>0</v>
      </c>
      <c r="K684" t="n">
        <v>0</v>
      </c>
      <c r="L684" t="n">
        <v>0</v>
      </c>
      <c r="M684" t="n">
        <v>0</v>
      </c>
      <c r="N684" t="n">
        <v>0</v>
      </c>
      <c r="O684" t="n">
        <v>0</v>
      </c>
      <c r="P684" t="n">
        <v>0</v>
      </c>
      <c r="Q684" t="n">
        <v>0</v>
      </c>
      <c r="R684" s="2" t="inlineStr"/>
    </row>
    <row r="685" ht="15" customHeight="1">
      <c r="A685" t="inlineStr">
        <is>
          <t>A 5558-2025</t>
        </is>
      </c>
      <c r="B685" s="1" t="n">
        <v>45693.48239583334</v>
      </c>
      <c r="C685" s="1" t="n">
        <v>45913</v>
      </c>
      <c r="D685" t="inlineStr">
        <is>
          <t>JÄMTLANDS LÄN</t>
        </is>
      </c>
      <c r="E685" t="inlineStr">
        <is>
          <t>KROKOM</t>
        </is>
      </c>
      <c r="G685" t="n">
        <v>31.1</v>
      </c>
      <c r="H685" t="n">
        <v>0</v>
      </c>
      <c r="I685" t="n">
        <v>0</v>
      </c>
      <c r="J685" t="n">
        <v>0</v>
      </c>
      <c r="K685" t="n">
        <v>0</v>
      </c>
      <c r="L685" t="n">
        <v>0</v>
      </c>
      <c r="M685" t="n">
        <v>0</v>
      </c>
      <c r="N685" t="n">
        <v>0</v>
      </c>
      <c r="O685" t="n">
        <v>0</v>
      </c>
      <c r="P685" t="n">
        <v>0</v>
      </c>
      <c r="Q685" t="n">
        <v>0</v>
      </c>
      <c r="R685" s="2" t="inlineStr"/>
    </row>
    <row r="686" ht="15" customHeight="1">
      <c r="A686" t="inlineStr">
        <is>
          <t>A 6208-2025</t>
        </is>
      </c>
      <c r="B686" s="1" t="n">
        <v>45698.4930787037</v>
      </c>
      <c r="C686" s="1" t="n">
        <v>45913</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61609-2020</t>
        </is>
      </c>
      <c r="B687" s="1" t="n">
        <v>44154</v>
      </c>
      <c r="C687" s="1" t="n">
        <v>45913</v>
      </c>
      <c r="D687" t="inlineStr">
        <is>
          <t>JÄMTLANDS LÄN</t>
        </is>
      </c>
      <c r="E687" t="inlineStr">
        <is>
          <t>KROKOM</t>
        </is>
      </c>
      <c r="G687" t="n">
        <v>6.4</v>
      </c>
      <c r="H687" t="n">
        <v>0</v>
      </c>
      <c r="I687" t="n">
        <v>0</v>
      </c>
      <c r="J687" t="n">
        <v>0</v>
      </c>
      <c r="K687" t="n">
        <v>0</v>
      </c>
      <c r="L687" t="n">
        <v>0</v>
      </c>
      <c r="M687" t="n">
        <v>0</v>
      </c>
      <c r="N687" t="n">
        <v>0</v>
      </c>
      <c r="O687" t="n">
        <v>0</v>
      </c>
      <c r="P687" t="n">
        <v>0</v>
      </c>
      <c r="Q687" t="n">
        <v>0</v>
      </c>
      <c r="R687" s="2" t="inlineStr"/>
    </row>
    <row r="688" ht="15" customHeight="1">
      <c r="A688" t="inlineStr">
        <is>
          <t>A 28132-2025</t>
        </is>
      </c>
      <c r="B688" s="1" t="n">
        <v>45818.33532407408</v>
      </c>
      <c r="C688" s="1" t="n">
        <v>45913</v>
      </c>
      <c r="D688" t="inlineStr">
        <is>
          <t>JÄMTLANDS LÄN</t>
        </is>
      </c>
      <c r="E688" t="inlineStr">
        <is>
          <t>KROKOM</t>
        </is>
      </c>
      <c r="F688" t="inlineStr">
        <is>
          <t>Kyrkan</t>
        </is>
      </c>
      <c r="G688" t="n">
        <v>4.5</v>
      </c>
      <c r="H688" t="n">
        <v>0</v>
      </c>
      <c r="I688" t="n">
        <v>0</v>
      </c>
      <c r="J688" t="n">
        <v>0</v>
      </c>
      <c r="K688" t="n">
        <v>0</v>
      </c>
      <c r="L688" t="n">
        <v>0</v>
      </c>
      <c r="M688" t="n">
        <v>0</v>
      </c>
      <c r="N688" t="n">
        <v>0</v>
      </c>
      <c r="O688" t="n">
        <v>0</v>
      </c>
      <c r="P688" t="n">
        <v>0</v>
      </c>
      <c r="Q688" t="n">
        <v>0</v>
      </c>
      <c r="R688" s="2" t="inlineStr"/>
    </row>
    <row r="689" ht="15" customHeight="1">
      <c r="A689" t="inlineStr">
        <is>
          <t>A 28147-2025</t>
        </is>
      </c>
      <c r="B689" s="1" t="n">
        <v>45818.34833333334</v>
      </c>
      <c r="C689" s="1" t="n">
        <v>45913</v>
      </c>
      <c r="D689" t="inlineStr">
        <is>
          <t>JÄMTLANDS LÄN</t>
        </is>
      </c>
      <c r="E689" t="inlineStr">
        <is>
          <t>KROKOM</t>
        </is>
      </c>
      <c r="F689" t="inlineStr">
        <is>
          <t>Kyrkan</t>
        </is>
      </c>
      <c r="G689" t="n">
        <v>10.8</v>
      </c>
      <c r="H689" t="n">
        <v>0</v>
      </c>
      <c r="I689" t="n">
        <v>0</v>
      </c>
      <c r="J689" t="n">
        <v>0</v>
      </c>
      <c r="K689" t="n">
        <v>0</v>
      </c>
      <c r="L689" t="n">
        <v>0</v>
      </c>
      <c r="M689" t="n">
        <v>0</v>
      </c>
      <c r="N689" t="n">
        <v>0</v>
      </c>
      <c r="O689" t="n">
        <v>0</v>
      </c>
      <c r="P689" t="n">
        <v>0</v>
      </c>
      <c r="Q689" t="n">
        <v>0</v>
      </c>
      <c r="R689" s="2" t="inlineStr"/>
    </row>
    <row r="690" ht="15" customHeight="1">
      <c r="A690" t="inlineStr">
        <is>
          <t>A 28162-2025</t>
        </is>
      </c>
      <c r="B690" s="1" t="n">
        <v>45818.37056712963</v>
      </c>
      <c r="C690" s="1" t="n">
        <v>45913</v>
      </c>
      <c r="D690" t="inlineStr">
        <is>
          <t>JÄMTLANDS LÄN</t>
        </is>
      </c>
      <c r="E690" t="inlineStr">
        <is>
          <t>KROKOM</t>
        </is>
      </c>
      <c r="F690" t="inlineStr">
        <is>
          <t>Kyrkan</t>
        </is>
      </c>
      <c r="G690" t="n">
        <v>4</v>
      </c>
      <c r="H690" t="n">
        <v>0</v>
      </c>
      <c r="I690" t="n">
        <v>0</v>
      </c>
      <c r="J690" t="n">
        <v>0</v>
      </c>
      <c r="K690" t="n">
        <v>0</v>
      </c>
      <c r="L690" t="n">
        <v>0</v>
      </c>
      <c r="M690" t="n">
        <v>0</v>
      </c>
      <c r="N690" t="n">
        <v>0</v>
      </c>
      <c r="O690" t="n">
        <v>0</v>
      </c>
      <c r="P690" t="n">
        <v>0</v>
      </c>
      <c r="Q690" t="n">
        <v>0</v>
      </c>
      <c r="R690" s="2" t="inlineStr"/>
    </row>
    <row r="691" ht="15" customHeight="1">
      <c r="A691" t="inlineStr">
        <is>
          <t>A 28843-2025</t>
        </is>
      </c>
      <c r="B691" s="1" t="n">
        <v>45820</v>
      </c>
      <c r="C691" s="1" t="n">
        <v>45913</v>
      </c>
      <c r="D691" t="inlineStr">
        <is>
          <t>JÄMTLANDS LÄN</t>
        </is>
      </c>
      <c r="E691" t="inlineStr">
        <is>
          <t>KROKOM</t>
        </is>
      </c>
      <c r="G691" t="n">
        <v>1.2</v>
      </c>
      <c r="H691" t="n">
        <v>0</v>
      </c>
      <c r="I691" t="n">
        <v>0</v>
      </c>
      <c r="J691" t="n">
        <v>0</v>
      </c>
      <c r="K691" t="n">
        <v>0</v>
      </c>
      <c r="L691" t="n">
        <v>0</v>
      </c>
      <c r="M691" t="n">
        <v>0</v>
      </c>
      <c r="N691" t="n">
        <v>0</v>
      </c>
      <c r="O691" t="n">
        <v>0</v>
      </c>
      <c r="P691" t="n">
        <v>0</v>
      </c>
      <c r="Q691" t="n">
        <v>0</v>
      </c>
      <c r="R691" s="2" t="inlineStr"/>
    </row>
    <row r="692" ht="15" customHeight="1">
      <c r="A692" t="inlineStr">
        <is>
          <t>A 6245-2025</t>
        </is>
      </c>
      <c r="B692" s="1" t="n">
        <v>45698.57129629629</v>
      </c>
      <c r="C692" s="1" t="n">
        <v>45913</v>
      </c>
      <c r="D692" t="inlineStr">
        <is>
          <t>JÄMTLANDS LÄN</t>
        </is>
      </c>
      <c r="E692" t="inlineStr">
        <is>
          <t>KROKOM</t>
        </is>
      </c>
      <c r="G692" t="n">
        <v>9.9</v>
      </c>
      <c r="H692" t="n">
        <v>0</v>
      </c>
      <c r="I692" t="n">
        <v>0</v>
      </c>
      <c r="J692" t="n">
        <v>0</v>
      </c>
      <c r="K692" t="n">
        <v>0</v>
      </c>
      <c r="L692" t="n">
        <v>0</v>
      </c>
      <c r="M692" t="n">
        <v>0</v>
      </c>
      <c r="N692" t="n">
        <v>0</v>
      </c>
      <c r="O692" t="n">
        <v>0</v>
      </c>
      <c r="P692" t="n">
        <v>0</v>
      </c>
      <c r="Q692" t="n">
        <v>0</v>
      </c>
      <c r="R692" s="2" t="inlineStr"/>
    </row>
    <row r="693" ht="15" customHeight="1">
      <c r="A693" t="inlineStr">
        <is>
          <t>A 4383-2025</t>
        </is>
      </c>
      <c r="B693" s="1" t="n">
        <v>45686.39777777778</v>
      </c>
      <c r="C693" s="1" t="n">
        <v>45913</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55479-2022</t>
        </is>
      </c>
      <c r="B694" s="1" t="n">
        <v>44887</v>
      </c>
      <c r="C694" s="1" t="n">
        <v>45913</v>
      </c>
      <c r="D694" t="inlineStr">
        <is>
          <t>JÄMTLANDS LÄN</t>
        </is>
      </c>
      <c r="E694" t="inlineStr">
        <is>
          <t>KROKOM</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56538-2023</t>
        </is>
      </c>
      <c r="B695" s="1" t="n">
        <v>45238</v>
      </c>
      <c r="C695" s="1" t="n">
        <v>45913</v>
      </c>
      <c r="D695" t="inlineStr">
        <is>
          <t>JÄMTLANDS LÄN</t>
        </is>
      </c>
      <c r="E695" t="inlineStr">
        <is>
          <t>KROKOM</t>
        </is>
      </c>
      <c r="G695" t="n">
        <v>17.7</v>
      </c>
      <c r="H695" t="n">
        <v>0</v>
      </c>
      <c r="I695" t="n">
        <v>0</v>
      </c>
      <c r="J695" t="n">
        <v>0</v>
      </c>
      <c r="K695" t="n">
        <v>0</v>
      </c>
      <c r="L695" t="n">
        <v>0</v>
      </c>
      <c r="M695" t="n">
        <v>0</v>
      </c>
      <c r="N695" t="n">
        <v>0</v>
      </c>
      <c r="O695" t="n">
        <v>0</v>
      </c>
      <c r="P695" t="n">
        <v>0</v>
      </c>
      <c r="Q695" t="n">
        <v>0</v>
      </c>
      <c r="R695" s="2" t="inlineStr"/>
    </row>
    <row r="696" ht="15" customHeight="1">
      <c r="A696" t="inlineStr">
        <is>
          <t>A 28752-2025</t>
        </is>
      </c>
      <c r="B696" s="1" t="n">
        <v>45820</v>
      </c>
      <c r="C696" s="1" t="n">
        <v>45913</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28729-2025</t>
        </is>
      </c>
      <c r="B697" s="1" t="n">
        <v>45820.36512731481</v>
      </c>
      <c r="C697" s="1" t="n">
        <v>45913</v>
      </c>
      <c r="D697" t="inlineStr">
        <is>
          <t>JÄMTLANDS LÄN</t>
        </is>
      </c>
      <c r="E697" t="inlineStr">
        <is>
          <t>KROKOM</t>
        </is>
      </c>
      <c r="G697" t="n">
        <v>3.6</v>
      </c>
      <c r="H697" t="n">
        <v>0</v>
      </c>
      <c r="I697" t="n">
        <v>0</v>
      </c>
      <c r="J697" t="n">
        <v>0</v>
      </c>
      <c r="K697" t="n">
        <v>0</v>
      </c>
      <c r="L697" t="n">
        <v>0</v>
      </c>
      <c r="M697" t="n">
        <v>0</v>
      </c>
      <c r="N697" t="n">
        <v>0</v>
      </c>
      <c r="O697" t="n">
        <v>0</v>
      </c>
      <c r="P697" t="n">
        <v>0</v>
      </c>
      <c r="Q697" t="n">
        <v>0</v>
      </c>
      <c r="R697" s="2" t="inlineStr"/>
    </row>
    <row r="698" ht="15" customHeight="1">
      <c r="A698" t="inlineStr">
        <is>
          <t>A 28789-2025</t>
        </is>
      </c>
      <c r="B698" s="1" t="n">
        <v>45820.47200231482</v>
      </c>
      <c r="C698" s="1" t="n">
        <v>45913</v>
      </c>
      <c r="D698" t="inlineStr">
        <is>
          <t>JÄMTLANDS LÄN</t>
        </is>
      </c>
      <c r="E698" t="inlineStr">
        <is>
          <t>KROKOM</t>
        </is>
      </c>
      <c r="F698" t="inlineStr">
        <is>
          <t>Kyrkan</t>
        </is>
      </c>
      <c r="G698" t="n">
        <v>28.4</v>
      </c>
      <c r="H698" t="n">
        <v>0</v>
      </c>
      <c r="I698" t="n">
        <v>0</v>
      </c>
      <c r="J698" t="n">
        <v>0</v>
      </c>
      <c r="K698" t="n">
        <v>0</v>
      </c>
      <c r="L698" t="n">
        <v>0</v>
      </c>
      <c r="M698" t="n">
        <v>0</v>
      </c>
      <c r="N698" t="n">
        <v>0</v>
      </c>
      <c r="O698" t="n">
        <v>0</v>
      </c>
      <c r="P698" t="n">
        <v>0</v>
      </c>
      <c r="Q698" t="n">
        <v>0</v>
      </c>
      <c r="R698" s="2" t="inlineStr"/>
    </row>
    <row r="699" ht="15" customHeight="1">
      <c r="A699" t="inlineStr">
        <is>
          <t>A 28848-2025</t>
        </is>
      </c>
      <c r="B699" s="1" t="n">
        <v>45820</v>
      </c>
      <c r="C699" s="1" t="n">
        <v>45913</v>
      </c>
      <c r="D699" t="inlineStr">
        <is>
          <t>JÄMTLANDS LÄN</t>
        </is>
      </c>
      <c r="E699" t="inlineStr">
        <is>
          <t>KROKOM</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15776-2025</t>
        </is>
      </c>
      <c r="B700" s="1" t="n">
        <v>45748.59744212963</v>
      </c>
      <c r="C700" s="1" t="n">
        <v>45913</v>
      </c>
      <c r="D700" t="inlineStr">
        <is>
          <t>JÄMTLANDS LÄN</t>
        </is>
      </c>
      <c r="E700" t="inlineStr">
        <is>
          <t>KROKOM</t>
        </is>
      </c>
      <c r="G700" t="n">
        <v>46.5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45913</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28727-2025</t>
        </is>
      </c>
      <c r="B702" s="1" t="n">
        <v>45820.36498842593</v>
      </c>
      <c r="C702" s="1" t="n">
        <v>45913</v>
      </c>
      <c r="D702" t="inlineStr">
        <is>
          <t>JÄMTLANDS LÄN</t>
        </is>
      </c>
      <c r="E702" t="inlineStr">
        <is>
          <t>KROKOM</t>
        </is>
      </c>
      <c r="G702" t="n">
        <v>3.8</v>
      </c>
      <c r="H702" t="n">
        <v>0</v>
      </c>
      <c r="I702" t="n">
        <v>0</v>
      </c>
      <c r="J702" t="n">
        <v>0</v>
      </c>
      <c r="K702" t="n">
        <v>0</v>
      </c>
      <c r="L702" t="n">
        <v>0</v>
      </c>
      <c r="M702" t="n">
        <v>0</v>
      </c>
      <c r="N702" t="n">
        <v>0</v>
      </c>
      <c r="O702" t="n">
        <v>0</v>
      </c>
      <c r="P702" t="n">
        <v>0</v>
      </c>
      <c r="Q702" t="n">
        <v>0</v>
      </c>
      <c r="R702" s="2" t="inlineStr"/>
    </row>
    <row r="703" ht="15" customHeight="1">
      <c r="A703" t="inlineStr">
        <is>
          <t>A 28728-2025</t>
        </is>
      </c>
      <c r="B703" s="1" t="n">
        <v>45820.36506944444</v>
      </c>
      <c r="C703" s="1" t="n">
        <v>45913</v>
      </c>
      <c r="D703" t="inlineStr">
        <is>
          <t>JÄMTLANDS LÄN</t>
        </is>
      </c>
      <c r="E703" t="inlineStr">
        <is>
          <t>KROKOM</t>
        </is>
      </c>
      <c r="G703" t="n">
        <v>1.4</v>
      </c>
      <c r="H703" t="n">
        <v>0</v>
      </c>
      <c r="I703" t="n">
        <v>0</v>
      </c>
      <c r="J703" t="n">
        <v>0</v>
      </c>
      <c r="K703" t="n">
        <v>0</v>
      </c>
      <c r="L703" t="n">
        <v>0</v>
      </c>
      <c r="M703" t="n">
        <v>0</v>
      </c>
      <c r="N703" t="n">
        <v>0</v>
      </c>
      <c r="O703" t="n">
        <v>0</v>
      </c>
      <c r="P703" t="n">
        <v>0</v>
      </c>
      <c r="Q703" t="n">
        <v>0</v>
      </c>
      <c r="R703" s="2" t="inlineStr"/>
    </row>
    <row r="704" ht="15" customHeight="1">
      <c r="A704" t="inlineStr">
        <is>
          <t>A 29001-2025</t>
        </is>
      </c>
      <c r="B704" s="1" t="n">
        <v>45821.39026620371</v>
      </c>
      <c r="C704" s="1" t="n">
        <v>45913</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7962-2023</t>
        </is>
      </c>
      <c r="B705" s="1" t="n">
        <v>44970</v>
      </c>
      <c r="C705" s="1" t="n">
        <v>45913</v>
      </c>
      <c r="D705" t="inlineStr">
        <is>
          <t>JÄMTLANDS LÄN</t>
        </is>
      </c>
      <c r="E705" t="inlineStr">
        <is>
          <t>KROKOM</t>
        </is>
      </c>
      <c r="G705" t="n">
        <v>12.2</v>
      </c>
      <c r="H705" t="n">
        <v>0</v>
      </c>
      <c r="I705" t="n">
        <v>0</v>
      </c>
      <c r="J705" t="n">
        <v>0</v>
      </c>
      <c r="K705" t="n">
        <v>0</v>
      </c>
      <c r="L705" t="n">
        <v>0</v>
      </c>
      <c r="M705" t="n">
        <v>0</v>
      </c>
      <c r="N705" t="n">
        <v>0</v>
      </c>
      <c r="O705" t="n">
        <v>0</v>
      </c>
      <c r="P705" t="n">
        <v>0</v>
      </c>
      <c r="Q705" t="n">
        <v>0</v>
      </c>
      <c r="R705" s="2" t="inlineStr"/>
    </row>
    <row r="706" ht="15" customHeight="1">
      <c r="A706" t="inlineStr">
        <is>
          <t>A 20953-2023</t>
        </is>
      </c>
      <c r="B706" s="1" t="n">
        <v>45056</v>
      </c>
      <c r="C706" s="1" t="n">
        <v>45913</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20966-2023</t>
        </is>
      </c>
      <c r="B707" s="1" t="n">
        <v>45056</v>
      </c>
      <c r="C707" s="1" t="n">
        <v>45913</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5693-2022</t>
        </is>
      </c>
      <c r="B708" s="1" t="n">
        <v>44596</v>
      </c>
      <c r="C708" s="1" t="n">
        <v>45913</v>
      </c>
      <c r="D708" t="inlineStr">
        <is>
          <t>JÄMTLANDS LÄN</t>
        </is>
      </c>
      <c r="E708" t="inlineStr">
        <is>
          <t>KROKOM</t>
        </is>
      </c>
      <c r="G708" t="n">
        <v>40.8</v>
      </c>
      <c r="H708" t="n">
        <v>0</v>
      </c>
      <c r="I708" t="n">
        <v>0</v>
      </c>
      <c r="J708" t="n">
        <v>0</v>
      </c>
      <c r="K708" t="n">
        <v>0</v>
      </c>
      <c r="L708" t="n">
        <v>0</v>
      </c>
      <c r="M708" t="n">
        <v>0</v>
      </c>
      <c r="N708" t="n">
        <v>0</v>
      </c>
      <c r="O708" t="n">
        <v>0</v>
      </c>
      <c r="P708" t="n">
        <v>0</v>
      </c>
      <c r="Q708" t="n">
        <v>0</v>
      </c>
      <c r="R708" s="2" t="inlineStr"/>
    </row>
    <row r="709" ht="15" customHeight="1">
      <c r="A709" t="inlineStr">
        <is>
          <t>A 36272-2024</t>
        </is>
      </c>
      <c r="B709" s="1" t="n">
        <v>45534.57745370371</v>
      </c>
      <c r="C709" s="1" t="n">
        <v>45913</v>
      </c>
      <c r="D709" t="inlineStr">
        <is>
          <t>JÄMTLANDS LÄN</t>
        </is>
      </c>
      <c r="E709" t="inlineStr">
        <is>
          <t>KROKOM</t>
        </is>
      </c>
      <c r="F709" t="inlineStr">
        <is>
          <t>Övriga Aktiebolag</t>
        </is>
      </c>
      <c r="G709" t="n">
        <v>11.1</v>
      </c>
      <c r="H709" t="n">
        <v>0</v>
      </c>
      <c r="I709" t="n">
        <v>0</v>
      </c>
      <c r="J709" t="n">
        <v>0</v>
      </c>
      <c r="K709" t="n">
        <v>0</v>
      </c>
      <c r="L709" t="n">
        <v>0</v>
      </c>
      <c r="M709" t="n">
        <v>0</v>
      </c>
      <c r="N709" t="n">
        <v>0</v>
      </c>
      <c r="O709" t="n">
        <v>0</v>
      </c>
      <c r="P709" t="n">
        <v>0</v>
      </c>
      <c r="Q709" t="n">
        <v>0</v>
      </c>
      <c r="R709" s="2" t="inlineStr"/>
    </row>
    <row r="710" ht="15" customHeight="1">
      <c r="A710" t="inlineStr">
        <is>
          <t>A 67730-2020</t>
        </is>
      </c>
      <c r="B710" s="1" t="n">
        <v>44179</v>
      </c>
      <c r="C710" s="1" t="n">
        <v>45913</v>
      </c>
      <c r="D710" t="inlineStr">
        <is>
          <t>JÄMTLANDS LÄN</t>
        </is>
      </c>
      <c r="E710" t="inlineStr">
        <is>
          <t>KROKOM</t>
        </is>
      </c>
      <c r="G710" t="n">
        <v>7.5</v>
      </c>
      <c r="H710" t="n">
        <v>0</v>
      </c>
      <c r="I710" t="n">
        <v>0</v>
      </c>
      <c r="J710" t="n">
        <v>0</v>
      </c>
      <c r="K710" t="n">
        <v>0</v>
      </c>
      <c r="L710" t="n">
        <v>0</v>
      </c>
      <c r="M710" t="n">
        <v>0</v>
      </c>
      <c r="N710" t="n">
        <v>0</v>
      </c>
      <c r="O710" t="n">
        <v>0</v>
      </c>
      <c r="P710" t="n">
        <v>0</v>
      </c>
      <c r="Q710" t="n">
        <v>0</v>
      </c>
      <c r="R710" s="2" t="inlineStr"/>
    </row>
    <row r="711" ht="15" customHeight="1">
      <c r="A711" t="inlineStr">
        <is>
          <t>A 10279-2025</t>
        </is>
      </c>
      <c r="B711" s="1" t="n">
        <v>45720.40268518519</v>
      </c>
      <c r="C711" s="1" t="n">
        <v>45913</v>
      </c>
      <c r="D711" t="inlineStr">
        <is>
          <t>JÄMTLANDS LÄN</t>
        </is>
      </c>
      <c r="E711" t="inlineStr">
        <is>
          <t>KROKOM</t>
        </is>
      </c>
      <c r="G711" t="n">
        <v>1.8</v>
      </c>
      <c r="H711" t="n">
        <v>0</v>
      </c>
      <c r="I711" t="n">
        <v>0</v>
      </c>
      <c r="J711" t="n">
        <v>0</v>
      </c>
      <c r="K711" t="n">
        <v>0</v>
      </c>
      <c r="L711" t="n">
        <v>0</v>
      </c>
      <c r="M711" t="n">
        <v>0</v>
      </c>
      <c r="N711" t="n">
        <v>0</v>
      </c>
      <c r="O711" t="n">
        <v>0</v>
      </c>
      <c r="P711" t="n">
        <v>0</v>
      </c>
      <c r="Q711" t="n">
        <v>0</v>
      </c>
      <c r="R711" s="2" t="inlineStr"/>
    </row>
    <row r="712" ht="15" customHeight="1">
      <c r="A712" t="inlineStr">
        <is>
          <t>A 29956-2025</t>
        </is>
      </c>
      <c r="B712" s="1" t="n">
        <v>45826.4705787037</v>
      </c>
      <c r="C712" s="1" t="n">
        <v>45913</v>
      </c>
      <c r="D712" t="inlineStr">
        <is>
          <t>JÄMTLANDS LÄN</t>
        </is>
      </c>
      <c r="E712" t="inlineStr">
        <is>
          <t>KROKOM</t>
        </is>
      </c>
      <c r="F712" t="inlineStr">
        <is>
          <t>SCA</t>
        </is>
      </c>
      <c r="G712" t="n">
        <v>16.1</v>
      </c>
      <c r="H712" t="n">
        <v>0</v>
      </c>
      <c r="I712" t="n">
        <v>0</v>
      </c>
      <c r="J712" t="n">
        <v>0</v>
      </c>
      <c r="K712" t="n">
        <v>0</v>
      </c>
      <c r="L712" t="n">
        <v>0</v>
      </c>
      <c r="M712" t="n">
        <v>0</v>
      </c>
      <c r="N712" t="n">
        <v>0</v>
      </c>
      <c r="O712" t="n">
        <v>0</v>
      </c>
      <c r="P712" t="n">
        <v>0</v>
      </c>
      <c r="Q712" t="n">
        <v>0</v>
      </c>
      <c r="R712" s="2" t="inlineStr"/>
    </row>
    <row r="713" ht="15" customHeight="1">
      <c r="A713" t="inlineStr">
        <is>
          <t>A 5533-2025</t>
        </is>
      </c>
      <c r="B713" s="1" t="n">
        <v>45693</v>
      </c>
      <c r="C713" s="1" t="n">
        <v>45913</v>
      </c>
      <c r="D713" t="inlineStr">
        <is>
          <t>JÄMTLANDS LÄN</t>
        </is>
      </c>
      <c r="E713" t="inlineStr">
        <is>
          <t>KROKOM</t>
        </is>
      </c>
      <c r="G713" t="n">
        <v>109</v>
      </c>
      <c r="H713" t="n">
        <v>0</v>
      </c>
      <c r="I713" t="n">
        <v>0</v>
      </c>
      <c r="J713" t="n">
        <v>0</v>
      </c>
      <c r="K713" t="n">
        <v>0</v>
      </c>
      <c r="L713" t="n">
        <v>0</v>
      </c>
      <c r="M713" t="n">
        <v>0</v>
      </c>
      <c r="N713" t="n">
        <v>0</v>
      </c>
      <c r="O713" t="n">
        <v>0</v>
      </c>
      <c r="P713" t="n">
        <v>0</v>
      </c>
      <c r="Q713" t="n">
        <v>0</v>
      </c>
      <c r="R713" s="2" t="inlineStr"/>
    </row>
    <row r="714" ht="15" customHeight="1">
      <c r="A714" t="inlineStr">
        <is>
          <t>A 40364-2023</t>
        </is>
      </c>
      <c r="B714" s="1" t="n">
        <v>45168</v>
      </c>
      <c r="C714" s="1" t="n">
        <v>45913</v>
      </c>
      <c r="D714" t="inlineStr">
        <is>
          <t>JÄMTLANDS LÄN</t>
        </is>
      </c>
      <c r="E714" t="inlineStr">
        <is>
          <t>KROKOM</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34278-2022</t>
        </is>
      </c>
      <c r="B715" s="1" t="n">
        <v>44792.27644675926</v>
      </c>
      <c r="C715" s="1" t="n">
        <v>45913</v>
      </c>
      <c r="D715" t="inlineStr">
        <is>
          <t>JÄMTLANDS LÄN</t>
        </is>
      </c>
      <c r="E715" t="inlineStr">
        <is>
          <t>KROKOM</t>
        </is>
      </c>
      <c r="G715" t="n">
        <v>19.5</v>
      </c>
      <c r="H715" t="n">
        <v>0</v>
      </c>
      <c r="I715" t="n">
        <v>0</v>
      </c>
      <c r="J715" t="n">
        <v>0</v>
      </c>
      <c r="K715" t="n">
        <v>0</v>
      </c>
      <c r="L715" t="n">
        <v>0</v>
      </c>
      <c r="M715" t="n">
        <v>0</v>
      </c>
      <c r="N715" t="n">
        <v>0</v>
      </c>
      <c r="O715" t="n">
        <v>0</v>
      </c>
      <c r="P715" t="n">
        <v>0</v>
      </c>
      <c r="Q715" t="n">
        <v>0</v>
      </c>
      <c r="R715" s="2" t="inlineStr"/>
    </row>
    <row r="716" ht="15" customHeight="1">
      <c r="A716" t="inlineStr">
        <is>
          <t>A 29238-2022</t>
        </is>
      </c>
      <c r="B716" s="1" t="n">
        <v>44750</v>
      </c>
      <c r="C716" s="1" t="n">
        <v>45913</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23512-2022</t>
        </is>
      </c>
      <c r="B717" s="1" t="n">
        <v>44721.39003472222</v>
      </c>
      <c r="C717" s="1" t="n">
        <v>45913</v>
      </c>
      <c r="D717" t="inlineStr">
        <is>
          <t>JÄMTLANDS LÄN</t>
        </is>
      </c>
      <c r="E717" t="inlineStr">
        <is>
          <t>KROKOM</t>
        </is>
      </c>
      <c r="F717" t="inlineStr">
        <is>
          <t>Övriga Aktiebolag</t>
        </is>
      </c>
      <c r="G717" t="n">
        <v>4.8</v>
      </c>
      <c r="H717" t="n">
        <v>0</v>
      </c>
      <c r="I717" t="n">
        <v>0</v>
      </c>
      <c r="J717" t="n">
        <v>0</v>
      </c>
      <c r="K717" t="n">
        <v>0</v>
      </c>
      <c r="L717" t="n">
        <v>0</v>
      </c>
      <c r="M717" t="n">
        <v>0</v>
      </c>
      <c r="N717" t="n">
        <v>0</v>
      </c>
      <c r="O717" t="n">
        <v>0</v>
      </c>
      <c r="P717" t="n">
        <v>0</v>
      </c>
      <c r="Q717" t="n">
        <v>0</v>
      </c>
      <c r="R717" s="2" t="inlineStr"/>
    </row>
    <row r="718" ht="15" customHeight="1">
      <c r="A718" t="inlineStr">
        <is>
          <t>A 68658-2020</t>
        </is>
      </c>
      <c r="B718" s="1" t="n">
        <v>44186</v>
      </c>
      <c r="C718" s="1" t="n">
        <v>45913</v>
      </c>
      <c r="D718" t="inlineStr">
        <is>
          <t>JÄMTLANDS LÄN</t>
        </is>
      </c>
      <c r="E718" t="inlineStr">
        <is>
          <t>KROKOM</t>
        </is>
      </c>
      <c r="G718" t="n">
        <v>1.3</v>
      </c>
      <c r="H718" t="n">
        <v>0</v>
      </c>
      <c r="I718" t="n">
        <v>0</v>
      </c>
      <c r="J718" t="n">
        <v>0</v>
      </c>
      <c r="K718" t="n">
        <v>0</v>
      </c>
      <c r="L718" t="n">
        <v>0</v>
      </c>
      <c r="M718" t="n">
        <v>0</v>
      </c>
      <c r="N718" t="n">
        <v>0</v>
      </c>
      <c r="O718" t="n">
        <v>0</v>
      </c>
      <c r="P718" t="n">
        <v>0</v>
      </c>
      <c r="Q718" t="n">
        <v>0</v>
      </c>
      <c r="R718" s="2" t="inlineStr"/>
    </row>
    <row r="719" ht="15" customHeight="1">
      <c r="A719" t="inlineStr">
        <is>
          <t>A 8011-2025</t>
        </is>
      </c>
      <c r="B719" s="1" t="n">
        <v>45707.55246527777</v>
      </c>
      <c r="C719" s="1" t="n">
        <v>45913</v>
      </c>
      <c r="D719" t="inlineStr">
        <is>
          <t>JÄMTLANDS LÄN</t>
        </is>
      </c>
      <c r="E719" t="inlineStr">
        <is>
          <t>KROKOM</t>
        </is>
      </c>
      <c r="F719" t="inlineStr">
        <is>
          <t>Övriga Aktiebolag</t>
        </is>
      </c>
      <c r="G719" t="n">
        <v>10.6</v>
      </c>
      <c r="H719" t="n">
        <v>0</v>
      </c>
      <c r="I719" t="n">
        <v>0</v>
      </c>
      <c r="J719" t="n">
        <v>0</v>
      </c>
      <c r="K719" t="n">
        <v>0</v>
      </c>
      <c r="L719" t="n">
        <v>0</v>
      </c>
      <c r="M719" t="n">
        <v>0</v>
      </c>
      <c r="N719" t="n">
        <v>0</v>
      </c>
      <c r="O719" t="n">
        <v>0</v>
      </c>
      <c r="P719" t="n">
        <v>0</v>
      </c>
      <c r="Q719" t="n">
        <v>0</v>
      </c>
      <c r="R719" s="2" t="inlineStr"/>
    </row>
    <row r="720" ht="15" customHeight="1">
      <c r="A720" t="inlineStr">
        <is>
          <t>A 10397-2025</t>
        </is>
      </c>
      <c r="B720" s="1" t="n">
        <v>45720.60774305555</v>
      </c>
      <c r="C720" s="1" t="n">
        <v>45913</v>
      </c>
      <c r="D720" t="inlineStr">
        <is>
          <t>JÄMTLANDS LÄN</t>
        </is>
      </c>
      <c r="E720" t="inlineStr">
        <is>
          <t>KROKOM</t>
        </is>
      </c>
      <c r="F720" t="inlineStr">
        <is>
          <t>Övriga Aktiebolag</t>
        </is>
      </c>
      <c r="G720" t="n">
        <v>32.9</v>
      </c>
      <c r="H720" t="n">
        <v>0</v>
      </c>
      <c r="I720" t="n">
        <v>0</v>
      </c>
      <c r="J720" t="n">
        <v>0</v>
      </c>
      <c r="K720" t="n">
        <v>0</v>
      </c>
      <c r="L720" t="n">
        <v>0</v>
      </c>
      <c r="M720" t="n">
        <v>0</v>
      </c>
      <c r="N720" t="n">
        <v>0</v>
      </c>
      <c r="O720" t="n">
        <v>0</v>
      </c>
      <c r="P720" t="n">
        <v>0</v>
      </c>
      <c r="Q720" t="n">
        <v>0</v>
      </c>
      <c r="R720" s="2" t="inlineStr"/>
    </row>
    <row r="721" ht="15" customHeight="1">
      <c r="A721" t="inlineStr">
        <is>
          <t>A 24441-2022</t>
        </is>
      </c>
      <c r="B721" s="1" t="n">
        <v>44726</v>
      </c>
      <c r="C721" s="1" t="n">
        <v>45913</v>
      </c>
      <c r="D721" t="inlineStr">
        <is>
          <t>JÄMTLANDS LÄN</t>
        </is>
      </c>
      <c r="E721" t="inlineStr">
        <is>
          <t>KROKOM</t>
        </is>
      </c>
      <c r="G721" t="n">
        <v>12.1</v>
      </c>
      <c r="H721" t="n">
        <v>0</v>
      </c>
      <c r="I721" t="n">
        <v>0</v>
      </c>
      <c r="J721" t="n">
        <v>0</v>
      </c>
      <c r="K721" t="n">
        <v>0</v>
      </c>
      <c r="L721" t="n">
        <v>0</v>
      </c>
      <c r="M721" t="n">
        <v>0</v>
      </c>
      <c r="N721" t="n">
        <v>0</v>
      </c>
      <c r="O721" t="n">
        <v>0</v>
      </c>
      <c r="P721" t="n">
        <v>0</v>
      </c>
      <c r="Q721" t="n">
        <v>0</v>
      </c>
      <c r="R721" s="2" t="inlineStr"/>
    </row>
    <row r="722" ht="15" customHeight="1">
      <c r="A722" t="inlineStr">
        <is>
          <t>A 53827-2024</t>
        </is>
      </c>
      <c r="B722" s="1" t="n">
        <v>45615.61302083333</v>
      </c>
      <c r="C722" s="1" t="n">
        <v>45913</v>
      </c>
      <c r="D722" t="inlineStr">
        <is>
          <t>JÄMTLANDS LÄN</t>
        </is>
      </c>
      <c r="E722" t="inlineStr">
        <is>
          <t>KROKOM</t>
        </is>
      </c>
      <c r="F722" t="inlineStr">
        <is>
          <t>Övriga Aktiebolag</t>
        </is>
      </c>
      <c r="G722" t="n">
        <v>14.2</v>
      </c>
      <c r="H722" t="n">
        <v>0</v>
      </c>
      <c r="I722" t="n">
        <v>0</v>
      </c>
      <c r="J722" t="n">
        <v>0</v>
      </c>
      <c r="K722" t="n">
        <v>0</v>
      </c>
      <c r="L722" t="n">
        <v>0</v>
      </c>
      <c r="M722" t="n">
        <v>0</v>
      </c>
      <c r="N722" t="n">
        <v>0</v>
      </c>
      <c r="O722" t="n">
        <v>0</v>
      </c>
      <c r="P722" t="n">
        <v>0</v>
      </c>
      <c r="Q722" t="n">
        <v>0</v>
      </c>
      <c r="R722" s="2" t="inlineStr"/>
    </row>
    <row r="723" ht="15" customHeight="1">
      <c r="A723" t="inlineStr">
        <is>
          <t>A 48769-2022</t>
        </is>
      </c>
      <c r="B723" s="1" t="n">
        <v>44855</v>
      </c>
      <c r="C723" s="1" t="n">
        <v>45913</v>
      </c>
      <c r="D723" t="inlineStr">
        <is>
          <t>JÄMTLANDS LÄN</t>
        </is>
      </c>
      <c r="E723" t="inlineStr">
        <is>
          <t>KROKOM</t>
        </is>
      </c>
      <c r="G723" t="n">
        <v>7.5</v>
      </c>
      <c r="H723" t="n">
        <v>0</v>
      </c>
      <c r="I723" t="n">
        <v>0</v>
      </c>
      <c r="J723" t="n">
        <v>0</v>
      </c>
      <c r="K723" t="n">
        <v>0</v>
      </c>
      <c r="L723" t="n">
        <v>0</v>
      </c>
      <c r="M723" t="n">
        <v>0</v>
      </c>
      <c r="N723" t="n">
        <v>0</v>
      </c>
      <c r="O723" t="n">
        <v>0</v>
      </c>
      <c r="P723" t="n">
        <v>0</v>
      </c>
      <c r="Q723" t="n">
        <v>0</v>
      </c>
      <c r="R723" s="2" t="inlineStr"/>
    </row>
    <row r="724" ht="15" customHeight="1">
      <c r="A724" t="inlineStr">
        <is>
          <t>A 48777-2022</t>
        </is>
      </c>
      <c r="B724" s="1" t="n">
        <v>44855</v>
      </c>
      <c r="C724" s="1" t="n">
        <v>45913</v>
      </c>
      <c r="D724" t="inlineStr">
        <is>
          <t>JÄMTLANDS LÄN</t>
        </is>
      </c>
      <c r="E724" t="inlineStr">
        <is>
          <t>KROKOM</t>
        </is>
      </c>
      <c r="G724" t="n">
        <v>5.3</v>
      </c>
      <c r="H724" t="n">
        <v>0</v>
      </c>
      <c r="I724" t="n">
        <v>0</v>
      </c>
      <c r="J724" t="n">
        <v>0</v>
      </c>
      <c r="K724" t="n">
        <v>0</v>
      </c>
      <c r="L724" t="n">
        <v>0</v>
      </c>
      <c r="M724" t="n">
        <v>0</v>
      </c>
      <c r="N724" t="n">
        <v>0</v>
      </c>
      <c r="O724" t="n">
        <v>0</v>
      </c>
      <c r="P724" t="n">
        <v>0</v>
      </c>
      <c r="Q724" t="n">
        <v>0</v>
      </c>
      <c r="R724" s="2" t="inlineStr"/>
    </row>
    <row r="725" ht="15" customHeight="1">
      <c r="A725" t="inlineStr">
        <is>
          <t>A 36588-2025</t>
        </is>
      </c>
      <c r="B725" s="1" t="n">
        <v>45870</v>
      </c>
      <c r="C725" s="1" t="n">
        <v>45913</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54491-2022</t>
        </is>
      </c>
      <c r="B726" s="1" t="n">
        <v>44880</v>
      </c>
      <c r="C726" s="1" t="n">
        <v>45913</v>
      </c>
      <c r="D726" t="inlineStr">
        <is>
          <t>JÄMTLANDS LÄN</t>
        </is>
      </c>
      <c r="E726" t="inlineStr">
        <is>
          <t>KROKOM</t>
        </is>
      </c>
      <c r="G726" t="n">
        <v>0.2</v>
      </c>
      <c r="H726" t="n">
        <v>0</v>
      </c>
      <c r="I726" t="n">
        <v>0</v>
      </c>
      <c r="J726" t="n">
        <v>0</v>
      </c>
      <c r="K726" t="n">
        <v>0</v>
      </c>
      <c r="L726" t="n">
        <v>0</v>
      </c>
      <c r="M726" t="n">
        <v>0</v>
      </c>
      <c r="N726" t="n">
        <v>0</v>
      </c>
      <c r="O726" t="n">
        <v>0</v>
      </c>
      <c r="P726" t="n">
        <v>0</v>
      </c>
      <c r="Q726" t="n">
        <v>0</v>
      </c>
      <c r="R726" s="2" t="inlineStr"/>
    </row>
    <row r="727" ht="15" customHeight="1">
      <c r="A727" t="inlineStr">
        <is>
          <t>A 15663-2025</t>
        </is>
      </c>
      <c r="B727" s="1" t="n">
        <v>45748</v>
      </c>
      <c r="C727" s="1" t="n">
        <v>45913</v>
      </c>
      <c r="D727" t="inlineStr">
        <is>
          <t>JÄMTLANDS LÄN</t>
        </is>
      </c>
      <c r="E727" t="inlineStr">
        <is>
          <t>KROKOM</t>
        </is>
      </c>
      <c r="F727" t="inlineStr">
        <is>
          <t>Övriga Aktiebolag</t>
        </is>
      </c>
      <c r="G727" t="n">
        <v>11.5</v>
      </c>
      <c r="H727" t="n">
        <v>0</v>
      </c>
      <c r="I727" t="n">
        <v>0</v>
      </c>
      <c r="J727" t="n">
        <v>0</v>
      </c>
      <c r="K727" t="n">
        <v>0</v>
      </c>
      <c r="L727" t="n">
        <v>0</v>
      </c>
      <c r="M727" t="n">
        <v>0</v>
      </c>
      <c r="N727" t="n">
        <v>0</v>
      </c>
      <c r="O727" t="n">
        <v>0</v>
      </c>
      <c r="P727" t="n">
        <v>0</v>
      </c>
      <c r="Q727" t="n">
        <v>0</v>
      </c>
      <c r="R727" s="2" t="inlineStr"/>
    </row>
    <row r="728" ht="15" customHeight="1">
      <c r="A728" t="inlineStr">
        <is>
          <t>A 30175-2025</t>
        </is>
      </c>
      <c r="B728" s="1" t="n">
        <v>45827.34488425926</v>
      </c>
      <c r="C728" s="1" t="n">
        <v>45913</v>
      </c>
      <c r="D728" t="inlineStr">
        <is>
          <t>JÄMTLANDS LÄN</t>
        </is>
      </c>
      <c r="E728" t="inlineStr">
        <is>
          <t>KROKOM</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27178-2022</t>
        </is>
      </c>
      <c r="B729" s="1" t="n">
        <v>44741</v>
      </c>
      <c r="C729" s="1" t="n">
        <v>45913</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7111-2024</t>
        </is>
      </c>
      <c r="B730" s="1" t="n">
        <v>45343.95162037037</v>
      </c>
      <c r="C730" s="1" t="n">
        <v>45913</v>
      </c>
      <c r="D730" t="inlineStr">
        <is>
          <t>JÄMTLANDS LÄN</t>
        </is>
      </c>
      <c r="E730" t="inlineStr">
        <is>
          <t>KROKOM</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16129-2025</t>
        </is>
      </c>
      <c r="B731" s="1" t="n">
        <v>45750.42650462963</v>
      </c>
      <c r="C731" s="1" t="n">
        <v>45913</v>
      </c>
      <c r="D731" t="inlineStr">
        <is>
          <t>JÄMTLANDS LÄN</t>
        </is>
      </c>
      <c r="E731" t="inlineStr">
        <is>
          <t>KROKOM</t>
        </is>
      </c>
      <c r="G731" t="n">
        <v>3</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45913</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773-2024</t>
        </is>
      </c>
      <c r="B733" s="1" t="n">
        <v>45300</v>
      </c>
      <c r="C733" s="1" t="n">
        <v>45913</v>
      </c>
      <c r="D733" t="inlineStr">
        <is>
          <t>JÄMTLANDS LÄN</t>
        </is>
      </c>
      <c r="E733" t="inlineStr">
        <is>
          <t>KROKOM</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31026-2025</t>
        </is>
      </c>
      <c r="B734" s="1" t="n">
        <v>45832</v>
      </c>
      <c r="C734" s="1" t="n">
        <v>45913</v>
      </c>
      <c r="D734" t="inlineStr">
        <is>
          <t>JÄMTLANDS LÄN</t>
        </is>
      </c>
      <c r="E734" t="inlineStr">
        <is>
          <t>KROKOM</t>
        </is>
      </c>
      <c r="G734" t="n">
        <v>2.2</v>
      </c>
      <c r="H734" t="n">
        <v>0</v>
      </c>
      <c r="I734" t="n">
        <v>0</v>
      </c>
      <c r="J734" t="n">
        <v>0</v>
      </c>
      <c r="K734" t="n">
        <v>0</v>
      </c>
      <c r="L734" t="n">
        <v>0</v>
      </c>
      <c r="M734" t="n">
        <v>0</v>
      </c>
      <c r="N734" t="n">
        <v>0</v>
      </c>
      <c r="O734" t="n">
        <v>0</v>
      </c>
      <c r="P734" t="n">
        <v>0</v>
      </c>
      <c r="Q734" t="n">
        <v>0</v>
      </c>
      <c r="R734" s="2" t="inlineStr"/>
    </row>
    <row r="735" ht="15" customHeight="1">
      <c r="A735" t="inlineStr">
        <is>
          <t>A 30890-2025</t>
        </is>
      </c>
      <c r="B735" s="1" t="n">
        <v>45832.34630787037</v>
      </c>
      <c r="C735" s="1" t="n">
        <v>45913</v>
      </c>
      <c r="D735" t="inlineStr">
        <is>
          <t>JÄMTLANDS LÄN</t>
        </is>
      </c>
      <c r="E735" t="inlineStr">
        <is>
          <t>KROKOM</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8880-2025</t>
        </is>
      </c>
      <c r="B736" s="1" t="n">
        <v>45713.38028935185</v>
      </c>
      <c r="C736" s="1" t="n">
        <v>45913</v>
      </c>
      <c r="D736" t="inlineStr">
        <is>
          <t>JÄMTLANDS LÄN</t>
        </is>
      </c>
      <c r="E736" t="inlineStr">
        <is>
          <t>KROKOM</t>
        </is>
      </c>
      <c r="F736" t="inlineStr">
        <is>
          <t>Övriga Aktiebolag</t>
        </is>
      </c>
      <c r="G736" t="n">
        <v>5.1</v>
      </c>
      <c r="H736" t="n">
        <v>0</v>
      </c>
      <c r="I736" t="n">
        <v>0</v>
      </c>
      <c r="J736" t="n">
        <v>0</v>
      </c>
      <c r="K736" t="n">
        <v>0</v>
      </c>
      <c r="L736" t="n">
        <v>0</v>
      </c>
      <c r="M736" t="n">
        <v>0</v>
      </c>
      <c r="N736" t="n">
        <v>0</v>
      </c>
      <c r="O736" t="n">
        <v>0</v>
      </c>
      <c r="P736" t="n">
        <v>0</v>
      </c>
      <c r="Q736" t="n">
        <v>0</v>
      </c>
      <c r="R736" s="2" t="inlineStr"/>
    </row>
    <row r="737" ht="15" customHeight="1">
      <c r="A737" t="inlineStr">
        <is>
          <t>A 31032-2025</t>
        </is>
      </c>
      <c r="B737" s="1" t="n">
        <v>45832.53935185185</v>
      </c>
      <c r="C737" s="1" t="n">
        <v>45913</v>
      </c>
      <c r="D737" t="inlineStr">
        <is>
          <t>JÄMTLANDS LÄN</t>
        </is>
      </c>
      <c r="E737" t="inlineStr">
        <is>
          <t>KROKOM</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6804-2025</t>
        </is>
      </c>
      <c r="B738" s="1" t="n">
        <v>45700.6833912037</v>
      </c>
      <c r="C738" s="1" t="n">
        <v>45913</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31027-2025</t>
        </is>
      </c>
      <c r="B739" s="1" t="n">
        <v>45832.53225694445</v>
      </c>
      <c r="C739" s="1" t="n">
        <v>45913</v>
      </c>
      <c r="D739" t="inlineStr">
        <is>
          <t>JÄMTLANDS LÄN</t>
        </is>
      </c>
      <c r="E739" t="inlineStr">
        <is>
          <t>KROKOM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15231-2025</t>
        </is>
      </c>
      <c r="B740" s="1" t="n">
        <v>45744.59894675926</v>
      </c>
      <c r="C740" s="1" t="n">
        <v>45913</v>
      </c>
      <c r="D740" t="inlineStr">
        <is>
          <t>JÄMTLANDS LÄN</t>
        </is>
      </c>
      <c r="E740" t="inlineStr">
        <is>
          <t>KROKOM</t>
        </is>
      </c>
      <c r="F740" t="inlineStr">
        <is>
          <t>Övriga Aktiebolag</t>
        </is>
      </c>
      <c r="G740" t="n">
        <v>11.8</v>
      </c>
      <c r="H740" t="n">
        <v>0</v>
      </c>
      <c r="I740" t="n">
        <v>0</v>
      </c>
      <c r="J740" t="n">
        <v>0</v>
      </c>
      <c r="K740" t="n">
        <v>0</v>
      </c>
      <c r="L740" t="n">
        <v>0</v>
      </c>
      <c r="M740" t="n">
        <v>0</v>
      </c>
      <c r="N740" t="n">
        <v>0</v>
      </c>
      <c r="O740" t="n">
        <v>0</v>
      </c>
      <c r="P740" t="n">
        <v>0</v>
      </c>
      <c r="Q740" t="n">
        <v>0</v>
      </c>
      <c r="R740" s="2" t="inlineStr"/>
    </row>
    <row r="741" ht="15" customHeight="1">
      <c r="A741" t="inlineStr">
        <is>
          <t>A 64174-2023</t>
        </is>
      </c>
      <c r="B741" s="1" t="n">
        <v>45279</v>
      </c>
      <c r="C741" s="1" t="n">
        <v>45913</v>
      </c>
      <c r="D741" t="inlineStr">
        <is>
          <t>JÄMTLANDS LÄN</t>
        </is>
      </c>
      <c r="E741" t="inlineStr">
        <is>
          <t>KROKOM</t>
        </is>
      </c>
      <c r="G741" t="n">
        <v>1.9</v>
      </c>
      <c r="H741" t="n">
        <v>0</v>
      </c>
      <c r="I741" t="n">
        <v>0</v>
      </c>
      <c r="J741" t="n">
        <v>0</v>
      </c>
      <c r="K741" t="n">
        <v>0</v>
      </c>
      <c r="L741" t="n">
        <v>0</v>
      </c>
      <c r="M741" t="n">
        <v>0</v>
      </c>
      <c r="N741" t="n">
        <v>0</v>
      </c>
      <c r="O741" t="n">
        <v>0</v>
      </c>
      <c r="P741" t="n">
        <v>0</v>
      </c>
      <c r="Q741" t="n">
        <v>0</v>
      </c>
      <c r="R741" s="2" t="inlineStr"/>
    </row>
    <row r="742" ht="15" customHeight="1">
      <c r="A742" t="inlineStr">
        <is>
          <t>A 55660-2023</t>
        </is>
      </c>
      <c r="B742" s="1" t="n">
        <v>45238</v>
      </c>
      <c r="C742" s="1" t="n">
        <v>45913</v>
      </c>
      <c r="D742" t="inlineStr">
        <is>
          <t>JÄMTLANDS LÄN</t>
        </is>
      </c>
      <c r="E742" t="inlineStr">
        <is>
          <t>KROKOM</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59973-2023</t>
        </is>
      </c>
      <c r="B743" s="1" t="n">
        <v>45257</v>
      </c>
      <c r="C743" s="1" t="n">
        <v>45913</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50433-2024</t>
        </is>
      </c>
      <c r="B744" s="1" t="n">
        <v>45601</v>
      </c>
      <c r="C744" s="1" t="n">
        <v>45913</v>
      </c>
      <c r="D744" t="inlineStr">
        <is>
          <t>JÄMTLANDS LÄN</t>
        </is>
      </c>
      <c r="E744" t="inlineStr">
        <is>
          <t>KROKOM</t>
        </is>
      </c>
      <c r="G744" t="n">
        <v>25</v>
      </c>
      <c r="H744" t="n">
        <v>0</v>
      </c>
      <c r="I744" t="n">
        <v>0</v>
      </c>
      <c r="J744" t="n">
        <v>0</v>
      </c>
      <c r="K744" t="n">
        <v>0</v>
      </c>
      <c r="L744" t="n">
        <v>0</v>
      </c>
      <c r="M744" t="n">
        <v>0</v>
      </c>
      <c r="N744" t="n">
        <v>0</v>
      </c>
      <c r="O744" t="n">
        <v>0</v>
      </c>
      <c r="P744" t="n">
        <v>0</v>
      </c>
      <c r="Q744" t="n">
        <v>0</v>
      </c>
      <c r="R744" s="2" t="inlineStr"/>
    </row>
    <row r="745" ht="15" customHeight="1">
      <c r="A745" t="inlineStr">
        <is>
          <t>A 42816-2023</t>
        </is>
      </c>
      <c r="B745" s="1" t="n">
        <v>45182</v>
      </c>
      <c r="C745" s="1" t="n">
        <v>45913</v>
      </c>
      <c r="D745" t="inlineStr">
        <is>
          <t>JÄMTLANDS LÄN</t>
        </is>
      </c>
      <c r="E745" t="inlineStr">
        <is>
          <t>KROKOM</t>
        </is>
      </c>
      <c r="G745" t="n">
        <v>3.9</v>
      </c>
      <c r="H745" t="n">
        <v>0</v>
      </c>
      <c r="I745" t="n">
        <v>0</v>
      </c>
      <c r="J745" t="n">
        <v>0</v>
      </c>
      <c r="K745" t="n">
        <v>0</v>
      </c>
      <c r="L745" t="n">
        <v>0</v>
      </c>
      <c r="M745" t="n">
        <v>0</v>
      </c>
      <c r="N745" t="n">
        <v>0</v>
      </c>
      <c r="O745" t="n">
        <v>0</v>
      </c>
      <c r="P745" t="n">
        <v>0</v>
      </c>
      <c r="Q745" t="n">
        <v>0</v>
      </c>
      <c r="R745" s="2" t="inlineStr"/>
    </row>
    <row r="746" ht="15" customHeight="1">
      <c r="A746" t="inlineStr">
        <is>
          <t>A 57856-2023</t>
        </is>
      </c>
      <c r="B746" s="1" t="n">
        <v>45247</v>
      </c>
      <c r="C746" s="1" t="n">
        <v>45913</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37111-2025</t>
        </is>
      </c>
      <c r="B747" s="1" t="n">
        <v>45875.51046296296</v>
      </c>
      <c r="C747" s="1" t="n">
        <v>45913</v>
      </c>
      <c r="D747" t="inlineStr">
        <is>
          <t>JÄMTLANDS LÄN</t>
        </is>
      </c>
      <c r="E747" t="inlineStr">
        <is>
          <t>KROKOM</t>
        </is>
      </c>
      <c r="G747" t="n">
        <v>8.1</v>
      </c>
      <c r="H747" t="n">
        <v>0</v>
      </c>
      <c r="I747" t="n">
        <v>0</v>
      </c>
      <c r="J747" t="n">
        <v>0</v>
      </c>
      <c r="K747" t="n">
        <v>0</v>
      </c>
      <c r="L747" t="n">
        <v>0</v>
      </c>
      <c r="M747" t="n">
        <v>0</v>
      </c>
      <c r="N747" t="n">
        <v>0</v>
      </c>
      <c r="O747" t="n">
        <v>0</v>
      </c>
      <c r="P747" t="n">
        <v>0</v>
      </c>
      <c r="Q747" t="n">
        <v>0</v>
      </c>
      <c r="R747" s="2" t="inlineStr"/>
    </row>
    <row r="748" ht="15" customHeight="1">
      <c r="A748" t="inlineStr">
        <is>
          <t>A 9022-2025</t>
        </is>
      </c>
      <c r="B748" s="1" t="n">
        <v>45713.59623842593</v>
      </c>
      <c r="C748" s="1" t="n">
        <v>45913</v>
      </c>
      <c r="D748" t="inlineStr">
        <is>
          <t>JÄMTLANDS LÄN</t>
        </is>
      </c>
      <c r="E748" t="inlineStr">
        <is>
          <t>KROKOM</t>
        </is>
      </c>
      <c r="F748" t="inlineStr">
        <is>
          <t>Övriga Aktiebolag</t>
        </is>
      </c>
      <c r="G748" t="n">
        <v>29.9</v>
      </c>
      <c r="H748" t="n">
        <v>0</v>
      </c>
      <c r="I748" t="n">
        <v>0</v>
      </c>
      <c r="J748" t="n">
        <v>0</v>
      </c>
      <c r="K748" t="n">
        <v>0</v>
      </c>
      <c r="L748" t="n">
        <v>0</v>
      </c>
      <c r="M748" t="n">
        <v>0</v>
      </c>
      <c r="N748" t="n">
        <v>0</v>
      </c>
      <c r="O748" t="n">
        <v>0</v>
      </c>
      <c r="P748" t="n">
        <v>0</v>
      </c>
      <c r="Q748" t="n">
        <v>0</v>
      </c>
      <c r="R748" s="2" t="inlineStr"/>
    </row>
    <row r="749" ht="15" customHeight="1">
      <c r="A749" t="inlineStr">
        <is>
          <t>A 31277-2025</t>
        </is>
      </c>
      <c r="B749" s="1" t="n">
        <v>45833.34490740741</v>
      </c>
      <c r="C749" s="1" t="n">
        <v>45913</v>
      </c>
      <c r="D749" t="inlineStr">
        <is>
          <t>JÄMTLANDS LÄN</t>
        </is>
      </c>
      <c r="E749" t="inlineStr">
        <is>
          <t>KROKOM</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53807-2024</t>
        </is>
      </c>
      <c r="B750" s="1" t="n">
        <v>45615.59521990741</v>
      </c>
      <c r="C750" s="1" t="n">
        <v>45913</v>
      </c>
      <c r="D750" t="inlineStr">
        <is>
          <t>JÄMTLANDS LÄN</t>
        </is>
      </c>
      <c r="E750" t="inlineStr">
        <is>
          <t>KROKOM</t>
        </is>
      </c>
      <c r="G750" t="n">
        <v>6.5</v>
      </c>
      <c r="H750" t="n">
        <v>0</v>
      </c>
      <c r="I750" t="n">
        <v>0</v>
      </c>
      <c r="J750" t="n">
        <v>0</v>
      </c>
      <c r="K750" t="n">
        <v>0</v>
      </c>
      <c r="L750" t="n">
        <v>0</v>
      </c>
      <c r="M750" t="n">
        <v>0</v>
      </c>
      <c r="N750" t="n">
        <v>0</v>
      </c>
      <c r="O750" t="n">
        <v>0</v>
      </c>
      <c r="P750" t="n">
        <v>0</v>
      </c>
      <c r="Q750" t="n">
        <v>0</v>
      </c>
      <c r="R750" s="2" t="inlineStr"/>
    </row>
    <row r="751" ht="15" customHeight="1">
      <c r="A751" t="inlineStr">
        <is>
          <t>A 30160-2022</t>
        </is>
      </c>
      <c r="B751" s="1" t="n">
        <v>44757</v>
      </c>
      <c r="C751" s="1" t="n">
        <v>45913</v>
      </c>
      <c r="D751" t="inlineStr">
        <is>
          <t>JÄMTLANDS LÄN</t>
        </is>
      </c>
      <c r="E751" t="inlineStr">
        <is>
          <t>KROKOM</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31290-2025</t>
        </is>
      </c>
      <c r="B752" s="1" t="n">
        <v>45833.36050925926</v>
      </c>
      <c r="C752" s="1" t="n">
        <v>45913</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31291-2025</t>
        </is>
      </c>
      <c r="B753" s="1" t="n">
        <v>45833.36083333333</v>
      </c>
      <c r="C753" s="1" t="n">
        <v>45913</v>
      </c>
      <c r="D753" t="inlineStr">
        <is>
          <t>JÄMTLANDS LÄN</t>
        </is>
      </c>
      <c r="E753" t="inlineStr">
        <is>
          <t>KROKOM</t>
        </is>
      </c>
      <c r="G753" t="n">
        <v>4.5</v>
      </c>
      <c r="H753" t="n">
        <v>0</v>
      </c>
      <c r="I753" t="n">
        <v>0</v>
      </c>
      <c r="J753" t="n">
        <v>0</v>
      </c>
      <c r="K753" t="n">
        <v>0</v>
      </c>
      <c r="L753" t="n">
        <v>0</v>
      </c>
      <c r="M753" t="n">
        <v>0</v>
      </c>
      <c r="N753" t="n">
        <v>0</v>
      </c>
      <c r="O753" t="n">
        <v>0</v>
      </c>
      <c r="P753" t="n">
        <v>0</v>
      </c>
      <c r="Q753" t="n">
        <v>0</v>
      </c>
      <c r="R753" s="2" t="inlineStr"/>
    </row>
    <row r="754" ht="15" customHeight="1">
      <c r="A754" t="inlineStr">
        <is>
          <t>A 1852-2025</t>
        </is>
      </c>
      <c r="B754" s="1" t="n">
        <v>45671.59114583334</v>
      </c>
      <c r="C754" s="1" t="n">
        <v>45913</v>
      </c>
      <c r="D754" t="inlineStr">
        <is>
          <t>JÄMTLANDS LÄN</t>
        </is>
      </c>
      <c r="E754" t="inlineStr">
        <is>
          <t>KROKOM</t>
        </is>
      </c>
      <c r="G754" t="n">
        <v>6.8</v>
      </c>
      <c r="H754" t="n">
        <v>0</v>
      </c>
      <c r="I754" t="n">
        <v>0</v>
      </c>
      <c r="J754" t="n">
        <v>0</v>
      </c>
      <c r="K754" t="n">
        <v>0</v>
      </c>
      <c r="L754" t="n">
        <v>0</v>
      </c>
      <c r="M754" t="n">
        <v>0</v>
      </c>
      <c r="N754" t="n">
        <v>0</v>
      </c>
      <c r="O754" t="n">
        <v>0</v>
      </c>
      <c r="P754" t="n">
        <v>0</v>
      </c>
      <c r="Q754" t="n">
        <v>0</v>
      </c>
      <c r="R754" s="2" t="inlineStr"/>
    </row>
    <row r="755" ht="15" customHeight="1">
      <c r="A755" t="inlineStr">
        <is>
          <t>A 31654-2025</t>
        </is>
      </c>
      <c r="B755" s="1" t="n">
        <v>45834.34726851852</v>
      </c>
      <c r="C755" s="1" t="n">
        <v>45913</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15528-2024</t>
        </is>
      </c>
      <c r="B756" s="1" t="n">
        <v>45401.59810185185</v>
      </c>
      <c r="C756" s="1" t="n">
        <v>45913</v>
      </c>
      <c r="D756" t="inlineStr">
        <is>
          <t>JÄMTLANDS LÄN</t>
        </is>
      </c>
      <c r="E756" t="inlineStr">
        <is>
          <t>KROKOM</t>
        </is>
      </c>
      <c r="G756" t="n">
        <v>2.9</v>
      </c>
      <c r="H756" t="n">
        <v>0</v>
      </c>
      <c r="I756" t="n">
        <v>0</v>
      </c>
      <c r="J756" t="n">
        <v>0</v>
      </c>
      <c r="K756" t="n">
        <v>0</v>
      </c>
      <c r="L756" t="n">
        <v>0</v>
      </c>
      <c r="M756" t="n">
        <v>0</v>
      </c>
      <c r="N756" t="n">
        <v>0</v>
      </c>
      <c r="O756" t="n">
        <v>0</v>
      </c>
      <c r="P756" t="n">
        <v>0</v>
      </c>
      <c r="Q756" t="n">
        <v>0</v>
      </c>
      <c r="R756" s="2" t="inlineStr"/>
    </row>
    <row r="757" ht="15" customHeight="1">
      <c r="A757" t="inlineStr">
        <is>
          <t>A 31852-2025</t>
        </is>
      </c>
      <c r="B757" s="1" t="n">
        <v>45834.61517361111</v>
      </c>
      <c r="C757" s="1" t="n">
        <v>45913</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27075-2022</t>
        </is>
      </c>
      <c r="B758" s="1" t="n">
        <v>44741</v>
      </c>
      <c r="C758" s="1" t="n">
        <v>45913</v>
      </c>
      <c r="D758" t="inlineStr">
        <is>
          <t>JÄMTLANDS LÄN</t>
        </is>
      </c>
      <c r="E758" t="inlineStr">
        <is>
          <t>KROKOM</t>
        </is>
      </c>
      <c r="G758" t="n">
        <v>10.4</v>
      </c>
      <c r="H758" t="n">
        <v>0</v>
      </c>
      <c r="I758" t="n">
        <v>0</v>
      </c>
      <c r="J758" t="n">
        <v>0</v>
      </c>
      <c r="K758" t="n">
        <v>0</v>
      </c>
      <c r="L758" t="n">
        <v>0</v>
      </c>
      <c r="M758" t="n">
        <v>0</v>
      </c>
      <c r="N758" t="n">
        <v>0</v>
      </c>
      <c r="O758" t="n">
        <v>0</v>
      </c>
      <c r="P758" t="n">
        <v>0</v>
      </c>
      <c r="Q758" t="n">
        <v>0</v>
      </c>
      <c r="R758" s="2" t="inlineStr"/>
    </row>
    <row r="759" ht="15" customHeight="1">
      <c r="A759" t="inlineStr">
        <is>
          <t>A 37349-2025</t>
        </is>
      </c>
      <c r="B759" s="1" t="n">
        <v>45876</v>
      </c>
      <c r="C759" s="1" t="n">
        <v>45913</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37350-2025</t>
        </is>
      </c>
      <c r="B760" s="1" t="n">
        <v>45876</v>
      </c>
      <c r="C760" s="1" t="n">
        <v>45913</v>
      </c>
      <c r="D760" t="inlineStr">
        <is>
          <t>JÄMTLANDS LÄN</t>
        </is>
      </c>
      <c r="E760" t="inlineStr">
        <is>
          <t>KROKOM</t>
        </is>
      </c>
      <c r="G760" t="n">
        <v>29.9</v>
      </c>
      <c r="H760" t="n">
        <v>0</v>
      </c>
      <c r="I760" t="n">
        <v>0</v>
      </c>
      <c r="J760" t="n">
        <v>0</v>
      </c>
      <c r="K760" t="n">
        <v>0</v>
      </c>
      <c r="L760" t="n">
        <v>0</v>
      </c>
      <c r="M760" t="n">
        <v>0</v>
      </c>
      <c r="N760" t="n">
        <v>0</v>
      </c>
      <c r="O760" t="n">
        <v>0</v>
      </c>
      <c r="P760" t="n">
        <v>0</v>
      </c>
      <c r="Q760" t="n">
        <v>0</v>
      </c>
      <c r="R760" s="2" t="inlineStr"/>
    </row>
    <row r="761" ht="15" customHeight="1">
      <c r="A761" t="inlineStr">
        <is>
          <t>A 31292-2025</t>
        </is>
      </c>
      <c r="B761" s="1" t="n">
        <v>45833.36111111111</v>
      </c>
      <c r="C761" s="1" t="n">
        <v>45913</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24559-2024</t>
        </is>
      </c>
      <c r="B762" s="1" t="n">
        <v>45460.44076388889</v>
      </c>
      <c r="C762" s="1" t="n">
        <v>45913</v>
      </c>
      <c r="D762" t="inlineStr">
        <is>
          <t>JÄMTLANDS LÄN</t>
        </is>
      </c>
      <c r="E762" t="inlineStr">
        <is>
          <t>KROKOM</t>
        </is>
      </c>
      <c r="G762" t="n">
        <v>0.9</v>
      </c>
      <c r="H762" t="n">
        <v>0</v>
      </c>
      <c r="I762" t="n">
        <v>0</v>
      </c>
      <c r="J762" t="n">
        <v>0</v>
      </c>
      <c r="K762" t="n">
        <v>0</v>
      </c>
      <c r="L762" t="n">
        <v>0</v>
      </c>
      <c r="M762" t="n">
        <v>0</v>
      </c>
      <c r="N762" t="n">
        <v>0</v>
      </c>
      <c r="O762" t="n">
        <v>0</v>
      </c>
      <c r="P762" t="n">
        <v>0</v>
      </c>
      <c r="Q762" t="n">
        <v>0</v>
      </c>
      <c r="R762" s="2" t="inlineStr"/>
    </row>
    <row r="763" ht="15" customHeight="1">
      <c r="A763" t="inlineStr">
        <is>
          <t>A 21990-2022</t>
        </is>
      </c>
      <c r="B763" s="1" t="n">
        <v>44711</v>
      </c>
      <c r="C763" s="1" t="n">
        <v>45913</v>
      </c>
      <c r="D763" t="inlineStr">
        <is>
          <t>JÄMTLANDS LÄN</t>
        </is>
      </c>
      <c r="E763" t="inlineStr">
        <is>
          <t>KROKOM</t>
        </is>
      </c>
      <c r="F763" t="inlineStr">
        <is>
          <t>Övriga Aktiebolag</t>
        </is>
      </c>
      <c r="G763" t="n">
        <v>26.3</v>
      </c>
      <c r="H763" t="n">
        <v>0</v>
      </c>
      <c r="I763" t="n">
        <v>0</v>
      </c>
      <c r="J763" t="n">
        <v>0</v>
      </c>
      <c r="K763" t="n">
        <v>0</v>
      </c>
      <c r="L763" t="n">
        <v>0</v>
      </c>
      <c r="M763" t="n">
        <v>0</v>
      </c>
      <c r="N763" t="n">
        <v>0</v>
      </c>
      <c r="O763" t="n">
        <v>0</v>
      </c>
      <c r="P763" t="n">
        <v>0</v>
      </c>
      <c r="Q763" t="n">
        <v>0</v>
      </c>
      <c r="R763" s="2" t="inlineStr"/>
    </row>
    <row r="764" ht="15" customHeight="1">
      <c r="A764" t="inlineStr">
        <is>
          <t>A 7908-2025</t>
        </is>
      </c>
      <c r="B764" s="1" t="n">
        <v>45707.33935185185</v>
      </c>
      <c r="C764" s="1" t="n">
        <v>45913</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20210-2025</t>
        </is>
      </c>
      <c r="B765" s="1" t="n">
        <v>45772.62052083333</v>
      </c>
      <c r="C765" s="1" t="n">
        <v>45913</v>
      </c>
      <c r="D765" t="inlineStr">
        <is>
          <t>JÄMTLANDS LÄN</t>
        </is>
      </c>
      <c r="E765" t="inlineStr">
        <is>
          <t>KROKOM</t>
        </is>
      </c>
      <c r="G765" t="n">
        <v>12.3</v>
      </c>
      <c r="H765" t="n">
        <v>0</v>
      </c>
      <c r="I765" t="n">
        <v>0</v>
      </c>
      <c r="J765" t="n">
        <v>0</v>
      </c>
      <c r="K765" t="n">
        <v>0</v>
      </c>
      <c r="L765" t="n">
        <v>0</v>
      </c>
      <c r="M765" t="n">
        <v>0</v>
      </c>
      <c r="N765" t="n">
        <v>0</v>
      </c>
      <c r="O765" t="n">
        <v>0</v>
      </c>
      <c r="P765" t="n">
        <v>0</v>
      </c>
      <c r="Q765" t="n">
        <v>0</v>
      </c>
      <c r="R765" s="2" t="inlineStr"/>
    </row>
    <row r="766" ht="15" customHeight="1">
      <c r="A766" t="inlineStr">
        <is>
          <t>A 58563-2023</t>
        </is>
      </c>
      <c r="B766" s="1" t="n">
        <v>45246</v>
      </c>
      <c r="C766" s="1" t="n">
        <v>45913</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45913</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44601.35342592592</v>
      </c>
      <c r="C768" s="1" t="n">
        <v>45913</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10842-2024</t>
        </is>
      </c>
      <c r="B769" s="1" t="n">
        <v>45369</v>
      </c>
      <c r="C769" s="1" t="n">
        <v>45913</v>
      </c>
      <c r="D769" t="inlineStr">
        <is>
          <t>JÄMTLANDS LÄN</t>
        </is>
      </c>
      <c r="E769" t="inlineStr">
        <is>
          <t>KROKOM</t>
        </is>
      </c>
      <c r="G769" t="n">
        <v>1.2</v>
      </c>
      <c r="H769" t="n">
        <v>0</v>
      </c>
      <c r="I769" t="n">
        <v>0</v>
      </c>
      <c r="J769" t="n">
        <v>0</v>
      </c>
      <c r="K769" t="n">
        <v>0</v>
      </c>
      <c r="L769" t="n">
        <v>0</v>
      </c>
      <c r="M769" t="n">
        <v>0</v>
      </c>
      <c r="N769" t="n">
        <v>0</v>
      </c>
      <c r="O769" t="n">
        <v>0</v>
      </c>
      <c r="P769" t="n">
        <v>0</v>
      </c>
      <c r="Q769" t="n">
        <v>0</v>
      </c>
      <c r="R769" s="2" t="inlineStr"/>
    </row>
    <row r="770" ht="15" customHeight="1">
      <c r="A770" t="inlineStr">
        <is>
          <t>A 63532-2023</t>
        </is>
      </c>
      <c r="B770" s="1" t="n">
        <v>45274</v>
      </c>
      <c r="C770" s="1" t="n">
        <v>45913</v>
      </c>
      <c r="D770" t="inlineStr">
        <is>
          <t>JÄMTLANDS LÄN</t>
        </is>
      </c>
      <c r="E770" t="inlineStr">
        <is>
          <t>KROKOM</t>
        </is>
      </c>
      <c r="G770" t="n">
        <v>1.3</v>
      </c>
      <c r="H770" t="n">
        <v>0</v>
      </c>
      <c r="I770" t="n">
        <v>0</v>
      </c>
      <c r="J770" t="n">
        <v>0</v>
      </c>
      <c r="K770" t="n">
        <v>0</v>
      </c>
      <c r="L770" t="n">
        <v>0</v>
      </c>
      <c r="M770" t="n">
        <v>0</v>
      </c>
      <c r="N770" t="n">
        <v>0</v>
      </c>
      <c r="O770" t="n">
        <v>0</v>
      </c>
      <c r="P770" t="n">
        <v>0</v>
      </c>
      <c r="Q770" t="n">
        <v>0</v>
      </c>
      <c r="R770" s="2" t="inlineStr"/>
    </row>
    <row r="771" ht="15" customHeight="1">
      <c r="A771" t="inlineStr">
        <is>
          <t>A 51910-2023</t>
        </is>
      </c>
      <c r="B771" s="1" t="n">
        <v>45216</v>
      </c>
      <c r="C771" s="1" t="n">
        <v>45913</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3257-2024</t>
        </is>
      </c>
      <c r="B772" s="1" t="n">
        <v>45316</v>
      </c>
      <c r="C772" s="1" t="n">
        <v>45913</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20174-2025</t>
        </is>
      </c>
      <c r="B773" s="1" t="n">
        <v>45772.58283564815</v>
      </c>
      <c r="C773" s="1" t="n">
        <v>45913</v>
      </c>
      <c r="D773" t="inlineStr">
        <is>
          <t>JÄMTLANDS LÄN</t>
        </is>
      </c>
      <c r="E773" t="inlineStr">
        <is>
          <t>KROKOM</t>
        </is>
      </c>
      <c r="G773" t="n">
        <v>47</v>
      </c>
      <c r="H773" t="n">
        <v>0</v>
      </c>
      <c r="I773" t="n">
        <v>0</v>
      </c>
      <c r="J773" t="n">
        <v>0</v>
      </c>
      <c r="K773" t="n">
        <v>0</v>
      </c>
      <c r="L773" t="n">
        <v>0</v>
      </c>
      <c r="M773" t="n">
        <v>0</v>
      </c>
      <c r="N773" t="n">
        <v>0</v>
      </c>
      <c r="O773" t="n">
        <v>0</v>
      </c>
      <c r="P773" t="n">
        <v>0</v>
      </c>
      <c r="Q773" t="n">
        <v>0</v>
      </c>
      <c r="R773" s="2" t="inlineStr"/>
    </row>
    <row r="774" ht="15" customHeight="1">
      <c r="A774" t="inlineStr">
        <is>
          <t>A 20181-2025</t>
        </is>
      </c>
      <c r="B774" s="1" t="n">
        <v>45772.59200231481</v>
      </c>
      <c r="C774" s="1" t="n">
        <v>45913</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25421-2022</t>
        </is>
      </c>
      <c r="B775" s="1" t="n">
        <v>44732</v>
      </c>
      <c r="C775" s="1" t="n">
        <v>45913</v>
      </c>
      <c r="D775" t="inlineStr">
        <is>
          <t>JÄMTLANDS LÄN</t>
        </is>
      </c>
      <c r="E775" t="inlineStr">
        <is>
          <t>KROKOM</t>
        </is>
      </c>
      <c r="G775" t="n">
        <v>0.8</v>
      </c>
      <c r="H775" t="n">
        <v>0</v>
      </c>
      <c r="I775" t="n">
        <v>0</v>
      </c>
      <c r="J775" t="n">
        <v>0</v>
      </c>
      <c r="K775" t="n">
        <v>0</v>
      </c>
      <c r="L775" t="n">
        <v>0</v>
      </c>
      <c r="M775" t="n">
        <v>0</v>
      </c>
      <c r="N775" t="n">
        <v>0</v>
      </c>
      <c r="O775" t="n">
        <v>0</v>
      </c>
      <c r="P775" t="n">
        <v>0</v>
      </c>
      <c r="Q775" t="n">
        <v>0</v>
      </c>
      <c r="R775" s="2" t="inlineStr"/>
    </row>
    <row r="776" ht="15" customHeight="1">
      <c r="A776" t="inlineStr">
        <is>
          <t>A 31537-2023</t>
        </is>
      </c>
      <c r="B776" s="1" t="n">
        <v>45117</v>
      </c>
      <c r="C776" s="1" t="n">
        <v>45913</v>
      </c>
      <c r="D776" t="inlineStr">
        <is>
          <t>JÄMTLANDS LÄN</t>
        </is>
      </c>
      <c r="E776" t="inlineStr">
        <is>
          <t>KROKOM</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32765-2023</t>
        </is>
      </c>
      <c r="B777" s="1" t="n">
        <v>45123.61459490741</v>
      </c>
      <c r="C777" s="1" t="n">
        <v>45913</v>
      </c>
      <c r="D777" t="inlineStr">
        <is>
          <t>JÄMTLANDS LÄN</t>
        </is>
      </c>
      <c r="E777" t="inlineStr">
        <is>
          <t>KROKOM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37408-2025</t>
        </is>
      </c>
      <c r="B778" s="1" t="n">
        <v>45877.46555555556</v>
      </c>
      <c r="C778" s="1" t="n">
        <v>45913</v>
      </c>
      <c r="D778" t="inlineStr">
        <is>
          <t>JÄMTLANDS LÄN</t>
        </is>
      </c>
      <c r="E778" t="inlineStr">
        <is>
          <t>KROKOM</t>
        </is>
      </c>
      <c r="G778" t="n">
        <v>7.3</v>
      </c>
      <c r="H778" t="n">
        <v>0</v>
      </c>
      <c r="I778" t="n">
        <v>0</v>
      </c>
      <c r="J778" t="n">
        <v>0</v>
      </c>
      <c r="K778" t="n">
        <v>0</v>
      </c>
      <c r="L778" t="n">
        <v>0</v>
      </c>
      <c r="M778" t="n">
        <v>0</v>
      </c>
      <c r="N778" t="n">
        <v>0</v>
      </c>
      <c r="O778" t="n">
        <v>0</v>
      </c>
      <c r="P778" t="n">
        <v>0</v>
      </c>
      <c r="Q778" t="n">
        <v>0</v>
      </c>
      <c r="R778" s="2" t="inlineStr"/>
    </row>
    <row r="779" ht="15" customHeight="1">
      <c r="A779" t="inlineStr">
        <is>
          <t>A 37615-2025</t>
        </is>
      </c>
      <c r="B779" s="1" t="n">
        <v>45880</v>
      </c>
      <c r="C779" s="1" t="n">
        <v>45913</v>
      </c>
      <c r="D779" t="inlineStr">
        <is>
          <t>JÄMTLANDS LÄN</t>
        </is>
      </c>
      <c r="E779" t="inlineStr">
        <is>
          <t>KROKOM</t>
        </is>
      </c>
      <c r="G779" t="n">
        <v>33.6</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45913</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50206-2024</t>
        </is>
      </c>
      <c r="B781" s="1" t="n">
        <v>45600.49616898148</v>
      </c>
      <c r="C781" s="1" t="n">
        <v>45913</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47587-2023</t>
        </is>
      </c>
      <c r="B782" s="1" t="n">
        <v>45203.44248842593</v>
      </c>
      <c r="C782" s="1" t="n">
        <v>45913</v>
      </c>
      <c r="D782" t="inlineStr">
        <is>
          <t>JÄMTLANDS LÄN</t>
        </is>
      </c>
      <c r="E782" t="inlineStr">
        <is>
          <t>KROKOM</t>
        </is>
      </c>
      <c r="G782" t="n">
        <v>5.1</v>
      </c>
      <c r="H782" t="n">
        <v>0</v>
      </c>
      <c r="I782" t="n">
        <v>0</v>
      </c>
      <c r="J782" t="n">
        <v>0</v>
      </c>
      <c r="K782" t="n">
        <v>0</v>
      </c>
      <c r="L782" t="n">
        <v>0</v>
      </c>
      <c r="M782" t="n">
        <v>0</v>
      </c>
      <c r="N782" t="n">
        <v>0</v>
      </c>
      <c r="O782" t="n">
        <v>0</v>
      </c>
      <c r="P782" t="n">
        <v>0</v>
      </c>
      <c r="Q782" t="n">
        <v>0</v>
      </c>
      <c r="R782" s="2" t="inlineStr"/>
    </row>
    <row r="783" ht="15" customHeight="1">
      <c r="A783" t="inlineStr">
        <is>
          <t>A 18406-2025</t>
        </is>
      </c>
      <c r="B783" s="1" t="n">
        <v>45762.60907407408</v>
      </c>
      <c r="C783" s="1" t="n">
        <v>45913</v>
      </c>
      <c r="D783" t="inlineStr">
        <is>
          <t>JÄMTLANDS LÄN</t>
        </is>
      </c>
      <c r="E783" t="inlineStr">
        <is>
          <t>KROKOM</t>
        </is>
      </c>
      <c r="F783" t="inlineStr">
        <is>
          <t>Övriga Aktiebolag</t>
        </is>
      </c>
      <c r="G783" t="n">
        <v>34.3</v>
      </c>
      <c r="H783" t="n">
        <v>0</v>
      </c>
      <c r="I783" t="n">
        <v>0</v>
      </c>
      <c r="J783" t="n">
        <v>0</v>
      </c>
      <c r="K783" t="n">
        <v>0</v>
      </c>
      <c r="L783" t="n">
        <v>0</v>
      </c>
      <c r="M783" t="n">
        <v>0</v>
      </c>
      <c r="N783" t="n">
        <v>0</v>
      </c>
      <c r="O783" t="n">
        <v>0</v>
      </c>
      <c r="P783" t="n">
        <v>0</v>
      </c>
      <c r="Q783" t="n">
        <v>0</v>
      </c>
      <c r="R783" s="2" t="inlineStr"/>
    </row>
    <row r="784" ht="15" customHeight="1">
      <c r="A784" t="inlineStr">
        <is>
          <t>A 32318-2025</t>
        </is>
      </c>
      <c r="B784" s="1" t="n">
        <v>45836.34413194445</v>
      </c>
      <c r="C784" s="1" t="n">
        <v>45913</v>
      </c>
      <c r="D784" t="inlineStr">
        <is>
          <t>JÄMTLANDS LÄN</t>
        </is>
      </c>
      <c r="E784" t="inlineStr">
        <is>
          <t>KROKOM</t>
        </is>
      </c>
      <c r="F784" t="inlineStr">
        <is>
          <t>SCA</t>
        </is>
      </c>
      <c r="G784" t="n">
        <v>13.8</v>
      </c>
      <c r="H784" t="n">
        <v>0</v>
      </c>
      <c r="I784" t="n">
        <v>0</v>
      </c>
      <c r="J784" t="n">
        <v>0</v>
      </c>
      <c r="K784" t="n">
        <v>0</v>
      </c>
      <c r="L784" t="n">
        <v>0</v>
      </c>
      <c r="M784" t="n">
        <v>0</v>
      </c>
      <c r="N784" t="n">
        <v>0</v>
      </c>
      <c r="O784" t="n">
        <v>0</v>
      </c>
      <c r="P784" t="n">
        <v>0</v>
      </c>
      <c r="Q784" t="n">
        <v>0</v>
      </c>
      <c r="R784" s="2" t="inlineStr"/>
    </row>
    <row r="785" ht="15" customHeight="1">
      <c r="A785" t="inlineStr">
        <is>
          <t>A 31538-2023</t>
        </is>
      </c>
      <c r="B785" s="1" t="n">
        <v>45117</v>
      </c>
      <c r="C785" s="1" t="n">
        <v>45913</v>
      </c>
      <c r="D785" t="inlineStr">
        <is>
          <t>JÄMTLANDS LÄN</t>
        </is>
      </c>
      <c r="E785" t="inlineStr">
        <is>
          <t>KROKOM</t>
        </is>
      </c>
      <c r="F785" t="inlineStr">
        <is>
          <t>Övriga Aktiebolag</t>
        </is>
      </c>
      <c r="G785" t="n">
        <v>9.9</v>
      </c>
      <c r="H785" t="n">
        <v>0</v>
      </c>
      <c r="I785" t="n">
        <v>0</v>
      </c>
      <c r="J785" t="n">
        <v>0</v>
      </c>
      <c r="K785" t="n">
        <v>0</v>
      </c>
      <c r="L785" t="n">
        <v>0</v>
      </c>
      <c r="M785" t="n">
        <v>0</v>
      </c>
      <c r="N785" t="n">
        <v>0</v>
      </c>
      <c r="O785" t="n">
        <v>0</v>
      </c>
      <c r="P785" t="n">
        <v>0</v>
      </c>
      <c r="Q785" t="n">
        <v>0</v>
      </c>
      <c r="R785" s="2" t="inlineStr"/>
    </row>
    <row r="786" ht="15" customHeight="1">
      <c r="A786" t="inlineStr">
        <is>
          <t>A 39127-2023</t>
        </is>
      </c>
      <c r="B786" s="1" t="n">
        <v>45165.70483796296</v>
      </c>
      <c r="C786" s="1" t="n">
        <v>45913</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37465-2025</t>
        </is>
      </c>
      <c r="B787" s="1" t="n">
        <v>45877.57403935185</v>
      </c>
      <c r="C787" s="1" t="n">
        <v>45913</v>
      </c>
      <c r="D787" t="inlineStr">
        <is>
          <t>JÄMTLANDS LÄN</t>
        </is>
      </c>
      <c r="E787" t="inlineStr">
        <is>
          <t>KROKOM</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44519-2024</t>
        </is>
      </c>
      <c r="B788" s="1" t="n">
        <v>45574.43403935185</v>
      </c>
      <c r="C788" s="1" t="n">
        <v>45913</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54828-2024</t>
        </is>
      </c>
      <c r="B789" s="1" t="n">
        <v>45618.54398148148</v>
      </c>
      <c r="C789" s="1" t="n">
        <v>45913</v>
      </c>
      <c r="D789" t="inlineStr">
        <is>
          <t>JÄMTLANDS LÄN</t>
        </is>
      </c>
      <c r="E789" t="inlineStr">
        <is>
          <t>KROKOM</t>
        </is>
      </c>
      <c r="G789" t="n">
        <v>8.1</v>
      </c>
      <c r="H789" t="n">
        <v>0</v>
      </c>
      <c r="I789" t="n">
        <v>0</v>
      </c>
      <c r="J789" t="n">
        <v>0</v>
      </c>
      <c r="K789" t="n">
        <v>0</v>
      </c>
      <c r="L789" t="n">
        <v>0</v>
      </c>
      <c r="M789" t="n">
        <v>0</v>
      </c>
      <c r="N789" t="n">
        <v>0</v>
      </c>
      <c r="O789" t="n">
        <v>0</v>
      </c>
      <c r="P789" t="n">
        <v>0</v>
      </c>
      <c r="Q789" t="n">
        <v>0</v>
      </c>
      <c r="R789" s="2" t="inlineStr"/>
    </row>
    <row r="790" ht="15" customHeight="1">
      <c r="A790" t="inlineStr">
        <is>
          <t>A 22890-2024</t>
        </is>
      </c>
      <c r="B790" s="1" t="n">
        <v>45448.67574074074</v>
      </c>
      <c r="C790" s="1" t="n">
        <v>45913</v>
      </c>
      <c r="D790" t="inlineStr">
        <is>
          <t>JÄMTLANDS LÄN</t>
        </is>
      </c>
      <c r="E790" t="inlineStr">
        <is>
          <t>KROKOM</t>
        </is>
      </c>
      <c r="F790" t="inlineStr">
        <is>
          <t>Övriga Aktiebolag</t>
        </is>
      </c>
      <c r="G790" t="n">
        <v>3</v>
      </c>
      <c r="H790" t="n">
        <v>0</v>
      </c>
      <c r="I790" t="n">
        <v>0</v>
      </c>
      <c r="J790" t="n">
        <v>0</v>
      </c>
      <c r="K790" t="n">
        <v>0</v>
      </c>
      <c r="L790" t="n">
        <v>0</v>
      </c>
      <c r="M790" t="n">
        <v>0</v>
      </c>
      <c r="N790" t="n">
        <v>0</v>
      </c>
      <c r="O790" t="n">
        <v>0</v>
      </c>
      <c r="P790" t="n">
        <v>0</v>
      </c>
      <c r="Q790" t="n">
        <v>0</v>
      </c>
      <c r="R790" s="2" t="inlineStr"/>
    </row>
    <row r="791" ht="15" customHeight="1">
      <c r="A791" t="inlineStr">
        <is>
          <t>A 31988-2024</t>
        </is>
      </c>
      <c r="B791" s="1" t="n">
        <v>45510.58033564815</v>
      </c>
      <c r="C791" s="1" t="n">
        <v>45913</v>
      </c>
      <c r="D791" t="inlineStr">
        <is>
          <t>JÄMTLANDS LÄN</t>
        </is>
      </c>
      <c r="E791" t="inlineStr">
        <is>
          <t>KROKOM</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24252-2024</t>
        </is>
      </c>
      <c r="B792" s="1" t="n">
        <v>45457.38799768518</v>
      </c>
      <c r="C792" s="1" t="n">
        <v>45913</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27000-2021</t>
        </is>
      </c>
      <c r="B793" s="1" t="n">
        <v>44349</v>
      </c>
      <c r="C793" s="1" t="n">
        <v>45913</v>
      </c>
      <c r="D793" t="inlineStr">
        <is>
          <t>JÄMTLANDS LÄN</t>
        </is>
      </c>
      <c r="E793" t="inlineStr">
        <is>
          <t>KROKOM</t>
        </is>
      </c>
      <c r="F793" t="inlineStr">
        <is>
          <t>Allmännings- och besparingsskogar</t>
        </is>
      </c>
      <c r="G793" t="n">
        <v>2.3</v>
      </c>
      <c r="H793" t="n">
        <v>0</v>
      </c>
      <c r="I793" t="n">
        <v>0</v>
      </c>
      <c r="J793" t="n">
        <v>0</v>
      </c>
      <c r="K793" t="n">
        <v>0</v>
      </c>
      <c r="L793" t="n">
        <v>0</v>
      </c>
      <c r="M793" t="n">
        <v>0</v>
      </c>
      <c r="N793" t="n">
        <v>0</v>
      </c>
      <c r="O793" t="n">
        <v>0</v>
      </c>
      <c r="P793" t="n">
        <v>0</v>
      </c>
      <c r="Q793" t="n">
        <v>0</v>
      </c>
      <c r="R793" s="2" t="inlineStr"/>
    </row>
    <row r="794" ht="15" customHeight="1">
      <c r="A794" t="inlineStr">
        <is>
          <t>A 46753-2022</t>
        </is>
      </c>
      <c r="B794" s="1" t="n">
        <v>44847</v>
      </c>
      <c r="C794" s="1" t="n">
        <v>45913</v>
      </c>
      <c r="D794" t="inlineStr">
        <is>
          <t>JÄMTLANDS LÄN</t>
        </is>
      </c>
      <c r="E794" t="inlineStr">
        <is>
          <t>KROKOM</t>
        </is>
      </c>
      <c r="G794" t="n">
        <v>0.5</v>
      </c>
      <c r="H794" t="n">
        <v>0</v>
      </c>
      <c r="I794" t="n">
        <v>0</v>
      </c>
      <c r="J794" t="n">
        <v>0</v>
      </c>
      <c r="K794" t="n">
        <v>0</v>
      </c>
      <c r="L794" t="n">
        <v>0</v>
      </c>
      <c r="M794" t="n">
        <v>0</v>
      </c>
      <c r="N794" t="n">
        <v>0</v>
      </c>
      <c r="O794" t="n">
        <v>0</v>
      </c>
      <c r="P794" t="n">
        <v>0</v>
      </c>
      <c r="Q794" t="n">
        <v>0</v>
      </c>
      <c r="R794" s="2" t="inlineStr"/>
    </row>
    <row r="795" ht="15" customHeight="1">
      <c r="A795" t="inlineStr">
        <is>
          <t>A 46761-2022</t>
        </is>
      </c>
      <c r="B795" s="1" t="n">
        <v>44847</v>
      </c>
      <c r="C795" s="1" t="n">
        <v>45913</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48417-2022</t>
        </is>
      </c>
      <c r="B796" s="1" t="n">
        <v>44858</v>
      </c>
      <c r="C796" s="1" t="n">
        <v>45913</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13395-2021</t>
        </is>
      </c>
      <c r="B797" s="1" t="n">
        <v>44273</v>
      </c>
      <c r="C797" s="1" t="n">
        <v>45913</v>
      </c>
      <c r="D797" t="inlineStr">
        <is>
          <t>JÄMTLANDS LÄN</t>
        </is>
      </c>
      <c r="E797" t="inlineStr">
        <is>
          <t>KROKOM</t>
        </is>
      </c>
      <c r="G797" t="n">
        <v>13.7</v>
      </c>
      <c r="H797" t="n">
        <v>0</v>
      </c>
      <c r="I797" t="n">
        <v>0</v>
      </c>
      <c r="J797" t="n">
        <v>0</v>
      </c>
      <c r="K797" t="n">
        <v>0</v>
      </c>
      <c r="L797" t="n">
        <v>0</v>
      </c>
      <c r="M797" t="n">
        <v>0</v>
      </c>
      <c r="N797" t="n">
        <v>0</v>
      </c>
      <c r="O797" t="n">
        <v>0</v>
      </c>
      <c r="P797" t="n">
        <v>0</v>
      </c>
      <c r="Q797" t="n">
        <v>0</v>
      </c>
      <c r="R797" s="2" t="inlineStr"/>
    </row>
    <row r="798" ht="15" customHeight="1">
      <c r="A798" t="inlineStr">
        <is>
          <t>A 42369-2023</t>
        </is>
      </c>
      <c r="B798" s="1" t="n">
        <v>45180</v>
      </c>
      <c r="C798" s="1" t="n">
        <v>45913</v>
      </c>
      <c r="D798" t="inlineStr">
        <is>
          <t>JÄMTLANDS LÄN</t>
        </is>
      </c>
      <c r="E798" t="inlineStr">
        <is>
          <t>KROKOM</t>
        </is>
      </c>
      <c r="F798" t="inlineStr">
        <is>
          <t>Övriga Aktiebolag</t>
        </is>
      </c>
      <c r="G798" t="n">
        <v>0.2</v>
      </c>
      <c r="H798" t="n">
        <v>0</v>
      </c>
      <c r="I798" t="n">
        <v>0</v>
      </c>
      <c r="J798" t="n">
        <v>0</v>
      </c>
      <c r="K798" t="n">
        <v>0</v>
      </c>
      <c r="L798" t="n">
        <v>0</v>
      </c>
      <c r="M798" t="n">
        <v>0</v>
      </c>
      <c r="N798" t="n">
        <v>0</v>
      </c>
      <c r="O798" t="n">
        <v>0</v>
      </c>
      <c r="P798" t="n">
        <v>0</v>
      </c>
      <c r="Q798" t="n">
        <v>0</v>
      </c>
      <c r="R798" s="2" t="inlineStr"/>
    </row>
    <row r="799" ht="15" customHeight="1">
      <c r="A799" t="inlineStr">
        <is>
          <t>A 38024-2025</t>
        </is>
      </c>
      <c r="B799" s="1" t="n">
        <v>45882.34510416666</v>
      </c>
      <c r="C799" s="1" t="n">
        <v>45913</v>
      </c>
      <c r="D799" t="inlineStr">
        <is>
          <t>JÄMTLANDS LÄN</t>
        </is>
      </c>
      <c r="E799" t="inlineStr">
        <is>
          <t>KROKOM</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33045-2025</t>
        </is>
      </c>
      <c r="B800" s="1" t="n">
        <v>45840.40717592592</v>
      </c>
      <c r="C800" s="1" t="n">
        <v>45913</v>
      </c>
      <c r="D800" t="inlineStr">
        <is>
          <t>JÄMTLANDS LÄN</t>
        </is>
      </c>
      <c r="E800" t="inlineStr">
        <is>
          <t>KROKOM</t>
        </is>
      </c>
      <c r="F800" t="inlineStr">
        <is>
          <t>SCA</t>
        </is>
      </c>
      <c r="G800" t="n">
        <v>18.7</v>
      </c>
      <c r="H800" t="n">
        <v>0</v>
      </c>
      <c r="I800" t="n">
        <v>0</v>
      </c>
      <c r="J800" t="n">
        <v>0</v>
      </c>
      <c r="K800" t="n">
        <v>0</v>
      </c>
      <c r="L800" t="n">
        <v>0</v>
      </c>
      <c r="M800" t="n">
        <v>0</v>
      </c>
      <c r="N800" t="n">
        <v>0</v>
      </c>
      <c r="O800" t="n">
        <v>0</v>
      </c>
      <c r="P800" t="n">
        <v>0</v>
      </c>
      <c r="Q800" t="n">
        <v>0</v>
      </c>
      <c r="R800" s="2" t="inlineStr"/>
    </row>
    <row r="801" ht="15" customHeight="1">
      <c r="A801" t="inlineStr">
        <is>
          <t>A 18556-2025</t>
        </is>
      </c>
      <c r="B801" s="1" t="n">
        <v>45763.44112268519</v>
      </c>
      <c r="C801" s="1" t="n">
        <v>45913</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32896-2025</t>
        </is>
      </c>
      <c r="B802" s="1" t="n">
        <v>45839.61541666667</v>
      </c>
      <c r="C802" s="1" t="n">
        <v>45913</v>
      </c>
      <c r="D802" t="inlineStr">
        <is>
          <t>JÄMTLANDS LÄN</t>
        </is>
      </c>
      <c r="E802" t="inlineStr">
        <is>
          <t>KROKOM</t>
        </is>
      </c>
      <c r="F802" t="inlineStr">
        <is>
          <t>SCA</t>
        </is>
      </c>
      <c r="G802" t="n">
        <v>17.9</v>
      </c>
      <c r="H802" t="n">
        <v>0</v>
      </c>
      <c r="I802" t="n">
        <v>0</v>
      </c>
      <c r="J802" t="n">
        <v>0</v>
      </c>
      <c r="K802" t="n">
        <v>0</v>
      </c>
      <c r="L802" t="n">
        <v>0</v>
      </c>
      <c r="M802" t="n">
        <v>0</v>
      </c>
      <c r="N802" t="n">
        <v>0</v>
      </c>
      <c r="O802" t="n">
        <v>0</v>
      </c>
      <c r="P802" t="n">
        <v>0</v>
      </c>
      <c r="Q802" t="n">
        <v>0</v>
      </c>
      <c r="R802" s="2" t="inlineStr"/>
    </row>
    <row r="803" ht="15" customHeight="1">
      <c r="A803" t="inlineStr">
        <is>
          <t>A 32897-2025</t>
        </is>
      </c>
      <c r="B803" s="1" t="n">
        <v>45839.61563657408</v>
      </c>
      <c r="C803" s="1" t="n">
        <v>45913</v>
      </c>
      <c r="D803" t="inlineStr">
        <is>
          <t>JÄMTLANDS LÄN</t>
        </is>
      </c>
      <c r="E803" t="inlineStr">
        <is>
          <t>KROKOM</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37820-2025</t>
        </is>
      </c>
      <c r="B804" s="1" t="n">
        <v>45881.39909722222</v>
      </c>
      <c r="C804" s="1" t="n">
        <v>45913</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10133-2025</t>
        </is>
      </c>
      <c r="B805" s="1" t="n">
        <v>45719</v>
      </c>
      <c r="C805" s="1" t="n">
        <v>45913</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67740-2021</t>
        </is>
      </c>
      <c r="B806" s="1" t="n">
        <v>44524</v>
      </c>
      <c r="C806" s="1" t="n">
        <v>45913</v>
      </c>
      <c r="D806" t="inlineStr">
        <is>
          <t>JÄMTLANDS LÄN</t>
        </is>
      </c>
      <c r="E806" t="inlineStr">
        <is>
          <t>KROKOM</t>
        </is>
      </c>
      <c r="G806" t="n">
        <v>12.3</v>
      </c>
      <c r="H806" t="n">
        <v>0</v>
      </c>
      <c r="I806" t="n">
        <v>0</v>
      </c>
      <c r="J806" t="n">
        <v>0</v>
      </c>
      <c r="K806" t="n">
        <v>0</v>
      </c>
      <c r="L806" t="n">
        <v>0</v>
      </c>
      <c r="M806" t="n">
        <v>0</v>
      </c>
      <c r="N806" t="n">
        <v>0</v>
      </c>
      <c r="O806" t="n">
        <v>0</v>
      </c>
      <c r="P806" t="n">
        <v>0</v>
      </c>
      <c r="Q806" t="n">
        <v>0</v>
      </c>
      <c r="R806" s="2" t="inlineStr"/>
    </row>
    <row r="807" ht="15" customHeight="1">
      <c r="A807" t="inlineStr">
        <is>
          <t>A 38205-2025</t>
        </is>
      </c>
      <c r="B807" s="1" t="n">
        <v>45882.69851851852</v>
      </c>
      <c r="C807" s="1" t="n">
        <v>45913</v>
      </c>
      <c r="D807" t="inlineStr">
        <is>
          <t>JÄMTLANDS LÄN</t>
        </is>
      </c>
      <c r="E807" t="inlineStr">
        <is>
          <t>KROKOM</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18942-2025</t>
        </is>
      </c>
      <c r="B808" s="1" t="n">
        <v>45764</v>
      </c>
      <c r="C808" s="1" t="n">
        <v>45913</v>
      </c>
      <c r="D808" t="inlineStr">
        <is>
          <t>JÄMTLANDS LÄN</t>
        </is>
      </c>
      <c r="E808" t="inlineStr">
        <is>
          <t>KROKOM</t>
        </is>
      </c>
      <c r="G808" t="n">
        <v>8.9</v>
      </c>
      <c r="H808" t="n">
        <v>0</v>
      </c>
      <c r="I808" t="n">
        <v>0</v>
      </c>
      <c r="J808" t="n">
        <v>0</v>
      </c>
      <c r="K808" t="n">
        <v>0</v>
      </c>
      <c r="L808" t="n">
        <v>0</v>
      </c>
      <c r="M808" t="n">
        <v>0</v>
      </c>
      <c r="N808" t="n">
        <v>0</v>
      </c>
      <c r="O808" t="n">
        <v>0</v>
      </c>
      <c r="P808" t="n">
        <v>0</v>
      </c>
      <c r="Q808" t="n">
        <v>0</v>
      </c>
      <c r="R808" s="2" t="inlineStr"/>
    </row>
    <row r="809" ht="15" customHeight="1">
      <c r="A809" t="inlineStr">
        <is>
          <t>A 16225-2025</t>
        </is>
      </c>
      <c r="B809" s="1" t="n">
        <v>45750.6447800926</v>
      </c>
      <c r="C809" s="1" t="n">
        <v>45913</v>
      </c>
      <c r="D809" t="inlineStr">
        <is>
          <t>JÄMTLANDS LÄN</t>
        </is>
      </c>
      <c r="E809" t="inlineStr">
        <is>
          <t>KROKOM</t>
        </is>
      </c>
      <c r="F809" t="inlineStr">
        <is>
          <t>Övriga Aktiebolag</t>
        </is>
      </c>
      <c r="G809" t="n">
        <v>11.5</v>
      </c>
      <c r="H809" t="n">
        <v>0</v>
      </c>
      <c r="I809" t="n">
        <v>0</v>
      </c>
      <c r="J809" t="n">
        <v>0</v>
      </c>
      <c r="K809" t="n">
        <v>0</v>
      </c>
      <c r="L809" t="n">
        <v>0</v>
      </c>
      <c r="M809" t="n">
        <v>0</v>
      </c>
      <c r="N809" t="n">
        <v>0</v>
      </c>
      <c r="O809" t="n">
        <v>0</v>
      </c>
      <c r="P809" t="n">
        <v>0</v>
      </c>
      <c r="Q809" t="n">
        <v>0</v>
      </c>
      <c r="R809" s="2" t="inlineStr"/>
    </row>
    <row r="810" ht="15" customHeight="1">
      <c r="A810" t="inlineStr">
        <is>
          <t>A 17510-2025</t>
        </is>
      </c>
      <c r="B810" s="1" t="n">
        <v>45757.56491898148</v>
      </c>
      <c r="C810" s="1" t="n">
        <v>45913</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52217-2024</t>
        </is>
      </c>
      <c r="B811" s="1" t="n">
        <v>45607</v>
      </c>
      <c r="C811" s="1" t="n">
        <v>45913</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32966-2025</t>
        </is>
      </c>
      <c r="B812" s="1" t="n">
        <v>45839.72320601852</v>
      </c>
      <c r="C812" s="1" t="n">
        <v>45913</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32898-2025</t>
        </is>
      </c>
      <c r="B813" s="1" t="n">
        <v>45839.61582175926</v>
      </c>
      <c r="C813" s="1" t="n">
        <v>45913</v>
      </c>
      <c r="D813" t="inlineStr">
        <is>
          <t>JÄMTLANDS LÄN</t>
        </is>
      </c>
      <c r="E813" t="inlineStr">
        <is>
          <t>KROKOM</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32899-2025</t>
        </is>
      </c>
      <c r="B814" s="1" t="n">
        <v>45839.61594907408</v>
      </c>
      <c r="C814" s="1" t="n">
        <v>45913</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37821-2025</t>
        </is>
      </c>
      <c r="B815" s="1" t="n">
        <v>45881.40521990741</v>
      </c>
      <c r="C815" s="1" t="n">
        <v>45913</v>
      </c>
      <c r="D815" t="inlineStr">
        <is>
          <t>JÄMTLANDS LÄN</t>
        </is>
      </c>
      <c r="E815" t="inlineStr">
        <is>
          <t>KROKOM</t>
        </is>
      </c>
      <c r="G815" t="n">
        <v>2.7</v>
      </c>
      <c r="H815" t="n">
        <v>0</v>
      </c>
      <c r="I815" t="n">
        <v>0</v>
      </c>
      <c r="J815" t="n">
        <v>0</v>
      </c>
      <c r="K815" t="n">
        <v>0</v>
      </c>
      <c r="L815" t="n">
        <v>0</v>
      </c>
      <c r="M815" t="n">
        <v>0</v>
      </c>
      <c r="N815" t="n">
        <v>0</v>
      </c>
      <c r="O815" t="n">
        <v>0</v>
      </c>
      <c r="P815" t="n">
        <v>0</v>
      </c>
      <c r="Q815" t="n">
        <v>0</v>
      </c>
      <c r="R815" s="2" t="inlineStr"/>
    </row>
    <row r="816" ht="15" customHeight="1">
      <c r="A816" t="inlineStr">
        <is>
          <t>A 53541-2024</t>
        </is>
      </c>
      <c r="B816" s="1" t="n">
        <v>45614.63606481482</v>
      </c>
      <c r="C816" s="1" t="n">
        <v>45913</v>
      </c>
      <c r="D816" t="inlineStr">
        <is>
          <t>JÄMTLANDS LÄN</t>
        </is>
      </c>
      <c r="E816" t="inlineStr">
        <is>
          <t>KROKOM</t>
        </is>
      </c>
      <c r="G816" t="n">
        <v>0.5</v>
      </c>
      <c r="H816" t="n">
        <v>0</v>
      </c>
      <c r="I816" t="n">
        <v>0</v>
      </c>
      <c r="J816" t="n">
        <v>0</v>
      </c>
      <c r="K816" t="n">
        <v>0</v>
      </c>
      <c r="L816" t="n">
        <v>0</v>
      </c>
      <c r="M816" t="n">
        <v>0</v>
      </c>
      <c r="N816" t="n">
        <v>0</v>
      </c>
      <c r="O816" t="n">
        <v>0</v>
      </c>
      <c r="P816" t="n">
        <v>0</v>
      </c>
      <c r="Q816" t="n">
        <v>0</v>
      </c>
      <c r="R816" s="2" t="inlineStr"/>
    </row>
    <row r="817" ht="15" customHeight="1">
      <c r="A817" t="inlineStr">
        <is>
          <t>A 53544-2024</t>
        </is>
      </c>
      <c r="B817" s="1" t="n">
        <v>45614.63701388889</v>
      </c>
      <c r="C817" s="1" t="n">
        <v>45913</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15451-2021</t>
        </is>
      </c>
      <c r="B818" s="1" t="n">
        <v>44285</v>
      </c>
      <c r="C818" s="1" t="n">
        <v>45913</v>
      </c>
      <c r="D818" t="inlineStr">
        <is>
          <t>JÄMTLANDS LÄN</t>
        </is>
      </c>
      <c r="E818" t="inlineStr">
        <is>
          <t>KROKOM</t>
        </is>
      </c>
      <c r="G818" t="n">
        <v>6.7</v>
      </c>
      <c r="H818" t="n">
        <v>0</v>
      </c>
      <c r="I818" t="n">
        <v>0</v>
      </c>
      <c r="J818" t="n">
        <v>0</v>
      </c>
      <c r="K818" t="n">
        <v>0</v>
      </c>
      <c r="L818" t="n">
        <v>0</v>
      </c>
      <c r="M818" t="n">
        <v>0</v>
      </c>
      <c r="N818" t="n">
        <v>0</v>
      </c>
      <c r="O818" t="n">
        <v>0</v>
      </c>
      <c r="P818" t="n">
        <v>0</v>
      </c>
      <c r="Q818" t="n">
        <v>0</v>
      </c>
      <c r="R818" s="2" t="inlineStr"/>
    </row>
    <row r="819" ht="15" customHeight="1">
      <c r="A819" t="inlineStr">
        <is>
          <t>A 34801-2023</t>
        </is>
      </c>
      <c r="B819" s="1" t="n">
        <v>45140</v>
      </c>
      <c r="C819" s="1" t="n">
        <v>45913</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26721-2023</t>
        </is>
      </c>
      <c r="B820" s="1" t="n">
        <v>45090</v>
      </c>
      <c r="C820" s="1" t="n">
        <v>45913</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25775-2024</t>
        </is>
      </c>
      <c r="B821" s="1" t="n">
        <v>45466.62116898148</v>
      </c>
      <c r="C821" s="1" t="n">
        <v>45913</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60122-2024</t>
        </is>
      </c>
      <c r="B822" s="1" t="n">
        <v>45639</v>
      </c>
      <c r="C822" s="1" t="n">
        <v>45913</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60172-2024</t>
        </is>
      </c>
      <c r="B823" s="1" t="n">
        <v>45642.6366087963</v>
      </c>
      <c r="C823" s="1" t="n">
        <v>45913</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23601-2021</t>
        </is>
      </c>
      <c r="B824" s="1" t="n">
        <v>44334</v>
      </c>
      <c r="C824" s="1" t="n">
        <v>45913</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6066-2025</t>
        </is>
      </c>
      <c r="B825" s="1" t="n">
        <v>45696.3440162037</v>
      </c>
      <c r="C825" s="1" t="n">
        <v>45913</v>
      </c>
      <c r="D825" t="inlineStr">
        <is>
          <t>JÄMTLANDS LÄN</t>
        </is>
      </c>
      <c r="E825" t="inlineStr">
        <is>
          <t>KROKOM</t>
        </is>
      </c>
      <c r="G825" t="n">
        <v>5.3</v>
      </c>
      <c r="H825" t="n">
        <v>0</v>
      </c>
      <c r="I825" t="n">
        <v>0</v>
      </c>
      <c r="J825" t="n">
        <v>0</v>
      </c>
      <c r="K825" t="n">
        <v>0</v>
      </c>
      <c r="L825" t="n">
        <v>0</v>
      </c>
      <c r="M825" t="n">
        <v>0</v>
      </c>
      <c r="N825" t="n">
        <v>0</v>
      </c>
      <c r="O825" t="n">
        <v>0</v>
      </c>
      <c r="P825" t="n">
        <v>0</v>
      </c>
      <c r="Q825" t="n">
        <v>0</v>
      </c>
      <c r="R825" s="2" t="inlineStr"/>
    </row>
    <row r="826" ht="15" customHeight="1">
      <c r="A826" t="inlineStr">
        <is>
          <t>A 59619-2024</t>
        </is>
      </c>
      <c r="B826" s="1" t="n">
        <v>45638.81375</v>
      </c>
      <c r="C826" s="1" t="n">
        <v>45913</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8168-2025</t>
        </is>
      </c>
      <c r="B827" s="1" t="n">
        <v>45708</v>
      </c>
      <c r="C827" s="1" t="n">
        <v>45913</v>
      </c>
      <c r="D827" t="inlineStr">
        <is>
          <t>JÄMTLANDS LÄN</t>
        </is>
      </c>
      <c r="E827" t="inlineStr">
        <is>
          <t>KROKOM</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15885-2023</t>
        </is>
      </c>
      <c r="B828" s="1" t="n">
        <v>45022</v>
      </c>
      <c r="C828" s="1" t="n">
        <v>45913</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23139-2021</t>
        </is>
      </c>
      <c r="B829" s="1" t="n">
        <v>44331</v>
      </c>
      <c r="C829" s="1" t="n">
        <v>45913</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5356-2025</t>
        </is>
      </c>
      <c r="B830" s="1" t="n">
        <v>45692</v>
      </c>
      <c r="C830" s="1" t="n">
        <v>45913</v>
      </c>
      <c r="D830" t="inlineStr">
        <is>
          <t>JÄMTLANDS LÄN</t>
        </is>
      </c>
      <c r="E830" t="inlineStr">
        <is>
          <t>KROKOM</t>
        </is>
      </c>
      <c r="F830" t="inlineStr">
        <is>
          <t>Övriga Aktiebolag</t>
        </is>
      </c>
      <c r="G830" t="n">
        <v>2.2</v>
      </c>
      <c r="H830" t="n">
        <v>0</v>
      </c>
      <c r="I830" t="n">
        <v>0</v>
      </c>
      <c r="J830" t="n">
        <v>0</v>
      </c>
      <c r="K830" t="n">
        <v>0</v>
      </c>
      <c r="L830" t="n">
        <v>0</v>
      </c>
      <c r="M830" t="n">
        <v>0</v>
      </c>
      <c r="N830" t="n">
        <v>0</v>
      </c>
      <c r="O830" t="n">
        <v>0</v>
      </c>
      <c r="P830" t="n">
        <v>0</v>
      </c>
      <c r="Q830" t="n">
        <v>0</v>
      </c>
      <c r="R830" s="2" t="inlineStr"/>
    </row>
    <row r="831" ht="15" customHeight="1">
      <c r="A831" t="inlineStr">
        <is>
          <t>A 5680-2025</t>
        </is>
      </c>
      <c r="B831" s="1" t="n">
        <v>45694.34268518518</v>
      </c>
      <c r="C831" s="1" t="n">
        <v>45913</v>
      </c>
      <c r="D831" t="inlineStr">
        <is>
          <t>JÄMTLANDS LÄN</t>
        </is>
      </c>
      <c r="E831" t="inlineStr">
        <is>
          <t>KROKOM</t>
        </is>
      </c>
      <c r="F831" t="inlineStr">
        <is>
          <t>Övriga Aktiebolag</t>
        </is>
      </c>
      <c r="G831" t="n">
        <v>48.4</v>
      </c>
      <c r="H831" t="n">
        <v>0</v>
      </c>
      <c r="I831" t="n">
        <v>0</v>
      </c>
      <c r="J831" t="n">
        <v>0</v>
      </c>
      <c r="K831" t="n">
        <v>0</v>
      </c>
      <c r="L831" t="n">
        <v>0</v>
      </c>
      <c r="M831" t="n">
        <v>0</v>
      </c>
      <c r="N831" t="n">
        <v>0</v>
      </c>
      <c r="O831" t="n">
        <v>0</v>
      </c>
      <c r="P831" t="n">
        <v>0</v>
      </c>
      <c r="Q831" t="n">
        <v>0</v>
      </c>
      <c r="R831" s="2" t="inlineStr"/>
    </row>
    <row r="832" ht="15" customHeight="1">
      <c r="A832" t="inlineStr">
        <is>
          <t>A 60102-2023</t>
        </is>
      </c>
      <c r="B832" s="1" t="n">
        <v>45257</v>
      </c>
      <c r="C832" s="1" t="n">
        <v>45913</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7763-2024</t>
        </is>
      </c>
      <c r="B833" s="1" t="n">
        <v>45348</v>
      </c>
      <c r="C833" s="1" t="n">
        <v>45913</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37886-2025</t>
        </is>
      </c>
      <c r="B834" s="1" t="n">
        <v>45881.51081018519</v>
      </c>
      <c r="C834" s="1" t="n">
        <v>45913</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47850-2023</t>
        </is>
      </c>
      <c r="B835" s="1" t="n">
        <v>45204.40770833333</v>
      </c>
      <c r="C835" s="1" t="n">
        <v>45913</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26184-2024</t>
        </is>
      </c>
      <c r="B836" s="1" t="n">
        <v>45467</v>
      </c>
      <c r="C836" s="1" t="n">
        <v>45913</v>
      </c>
      <c r="D836" t="inlineStr">
        <is>
          <t>JÄMTLANDS LÄN</t>
        </is>
      </c>
      <c r="E836" t="inlineStr">
        <is>
          <t>KROKOM</t>
        </is>
      </c>
      <c r="G836" t="n">
        <v>65.7</v>
      </c>
      <c r="H836" t="n">
        <v>0</v>
      </c>
      <c r="I836" t="n">
        <v>0</v>
      </c>
      <c r="J836" t="n">
        <v>0</v>
      </c>
      <c r="K836" t="n">
        <v>0</v>
      </c>
      <c r="L836" t="n">
        <v>0</v>
      </c>
      <c r="M836" t="n">
        <v>0</v>
      </c>
      <c r="N836" t="n">
        <v>0</v>
      </c>
      <c r="O836" t="n">
        <v>0</v>
      </c>
      <c r="P836" t="n">
        <v>0</v>
      </c>
      <c r="Q836" t="n">
        <v>0</v>
      </c>
      <c r="R836" s="2" t="inlineStr"/>
    </row>
    <row r="837" ht="15" customHeight="1">
      <c r="A837" t="inlineStr">
        <is>
          <t>A 1473-2025</t>
        </is>
      </c>
      <c r="B837" s="1" t="n">
        <v>45670</v>
      </c>
      <c r="C837" s="1" t="n">
        <v>45913</v>
      </c>
      <c r="D837" t="inlineStr">
        <is>
          <t>JÄMTLANDS LÄN</t>
        </is>
      </c>
      <c r="E837" t="inlineStr">
        <is>
          <t>KROKOM</t>
        </is>
      </c>
      <c r="G837" t="n">
        <v>7.6</v>
      </c>
      <c r="H837" t="n">
        <v>0</v>
      </c>
      <c r="I837" t="n">
        <v>0</v>
      </c>
      <c r="J837" t="n">
        <v>0</v>
      </c>
      <c r="K837" t="n">
        <v>0</v>
      </c>
      <c r="L837" t="n">
        <v>0</v>
      </c>
      <c r="M837" t="n">
        <v>0</v>
      </c>
      <c r="N837" t="n">
        <v>0</v>
      </c>
      <c r="O837" t="n">
        <v>0</v>
      </c>
      <c r="P837" t="n">
        <v>0</v>
      </c>
      <c r="Q837" t="n">
        <v>0</v>
      </c>
      <c r="R837" s="2" t="inlineStr"/>
    </row>
    <row r="838" ht="15" customHeight="1">
      <c r="A838" t="inlineStr">
        <is>
          <t>A 53568-2024</t>
        </is>
      </c>
      <c r="B838" s="1" t="n">
        <v>45614.65925925926</v>
      </c>
      <c r="C838" s="1" t="n">
        <v>45913</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33480-2024</t>
        </is>
      </c>
      <c r="B839" s="1" t="n">
        <v>45519.60965277778</v>
      </c>
      <c r="C839" s="1" t="n">
        <v>45913</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58482-2024</t>
        </is>
      </c>
      <c r="B840" s="1" t="n">
        <v>45635</v>
      </c>
      <c r="C840" s="1" t="n">
        <v>45913</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42398-2024</t>
        </is>
      </c>
      <c r="B841" s="1" t="n">
        <v>45565.33152777778</v>
      </c>
      <c r="C841" s="1" t="n">
        <v>45913</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38416-2025</t>
        </is>
      </c>
      <c r="B842" s="1" t="n">
        <v>45883.61028935185</v>
      </c>
      <c r="C842" s="1" t="n">
        <v>45913</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33802-2021</t>
        </is>
      </c>
      <c r="B843" s="1" t="n">
        <v>44377</v>
      </c>
      <c r="C843" s="1" t="n">
        <v>45913</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9016-2025</t>
        </is>
      </c>
      <c r="B844" s="1" t="n">
        <v>45713.59163194444</v>
      </c>
      <c r="C844" s="1" t="n">
        <v>45913</v>
      </c>
      <c r="D844" t="inlineStr">
        <is>
          <t>JÄMTLANDS LÄN</t>
        </is>
      </c>
      <c r="E844" t="inlineStr">
        <is>
          <t>KROKOM</t>
        </is>
      </c>
      <c r="F844" t="inlineStr">
        <is>
          <t>Övriga Aktiebolag</t>
        </is>
      </c>
      <c r="G844" t="n">
        <v>19.3</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45913</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34720-2023</t>
        </is>
      </c>
      <c r="B846" s="1" t="n">
        <v>45139</v>
      </c>
      <c r="C846" s="1" t="n">
        <v>45913</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33677-2025</t>
        </is>
      </c>
      <c r="B847" s="1" t="n">
        <v>45841.67834490741</v>
      </c>
      <c r="C847" s="1" t="n">
        <v>45913</v>
      </c>
      <c r="D847" t="inlineStr">
        <is>
          <t>JÄMTLANDS LÄN</t>
        </is>
      </c>
      <c r="E847" t="inlineStr">
        <is>
          <t>KROKOM</t>
        </is>
      </c>
      <c r="F847" t="inlineStr">
        <is>
          <t>SCA</t>
        </is>
      </c>
      <c r="G847" t="n">
        <v>13.7</v>
      </c>
      <c r="H847" t="n">
        <v>0</v>
      </c>
      <c r="I847" t="n">
        <v>0</v>
      </c>
      <c r="J847" t="n">
        <v>0</v>
      </c>
      <c r="K847" t="n">
        <v>0</v>
      </c>
      <c r="L847" t="n">
        <v>0</v>
      </c>
      <c r="M847" t="n">
        <v>0</v>
      </c>
      <c r="N847" t="n">
        <v>0</v>
      </c>
      <c r="O847" t="n">
        <v>0</v>
      </c>
      <c r="P847" t="n">
        <v>0</v>
      </c>
      <c r="Q847" t="n">
        <v>0</v>
      </c>
      <c r="R847" s="2" t="inlineStr"/>
    </row>
    <row r="848" ht="15" customHeight="1">
      <c r="A848" t="inlineStr">
        <is>
          <t>A 44154-2024</t>
        </is>
      </c>
      <c r="B848" s="1" t="n">
        <v>45572</v>
      </c>
      <c r="C848" s="1" t="n">
        <v>45913</v>
      </c>
      <c r="D848" t="inlineStr">
        <is>
          <t>JÄMTLANDS LÄN</t>
        </is>
      </c>
      <c r="E848" t="inlineStr">
        <is>
          <t>KROKOM</t>
        </is>
      </c>
      <c r="F848" t="inlineStr">
        <is>
          <t>SCA</t>
        </is>
      </c>
      <c r="G848" t="n">
        <v>28.9</v>
      </c>
      <c r="H848" t="n">
        <v>0</v>
      </c>
      <c r="I848" t="n">
        <v>0</v>
      </c>
      <c r="J848" t="n">
        <v>0</v>
      </c>
      <c r="K848" t="n">
        <v>0</v>
      </c>
      <c r="L848" t="n">
        <v>0</v>
      </c>
      <c r="M848" t="n">
        <v>0</v>
      </c>
      <c r="N848" t="n">
        <v>0</v>
      </c>
      <c r="O848" t="n">
        <v>0</v>
      </c>
      <c r="P848" t="n">
        <v>0</v>
      </c>
      <c r="Q848" t="n">
        <v>0</v>
      </c>
      <c r="R848" s="2" t="inlineStr"/>
    </row>
    <row r="849" ht="15" customHeight="1">
      <c r="A849" t="inlineStr">
        <is>
          <t>A 31905-2021</t>
        </is>
      </c>
      <c r="B849" s="1" t="n">
        <v>44370</v>
      </c>
      <c r="C849" s="1" t="n">
        <v>45913</v>
      </c>
      <c r="D849" t="inlineStr">
        <is>
          <t>JÄMTLANDS LÄN</t>
        </is>
      </c>
      <c r="E849" t="inlineStr">
        <is>
          <t>KROKOM</t>
        </is>
      </c>
      <c r="G849" t="n">
        <v>12.9</v>
      </c>
      <c r="H849" t="n">
        <v>0</v>
      </c>
      <c r="I849" t="n">
        <v>0</v>
      </c>
      <c r="J849" t="n">
        <v>0</v>
      </c>
      <c r="K849" t="n">
        <v>0</v>
      </c>
      <c r="L849" t="n">
        <v>0</v>
      </c>
      <c r="M849" t="n">
        <v>0</v>
      </c>
      <c r="N849" t="n">
        <v>0</v>
      </c>
      <c r="O849" t="n">
        <v>0</v>
      </c>
      <c r="P849" t="n">
        <v>0</v>
      </c>
      <c r="Q849" t="n">
        <v>0</v>
      </c>
      <c r="R849" s="2" t="inlineStr"/>
    </row>
    <row r="850" ht="15" customHeight="1">
      <c r="A850" t="inlineStr">
        <is>
          <t>A 42369-2021</t>
        </is>
      </c>
      <c r="B850" s="1" t="n">
        <v>44427</v>
      </c>
      <c r="C850" s="1" t="n">
        <v>45913</v>
      </c>
      <c r="D850" t="inlineStr">
        <is>
          <t>JÄMTLANDS LÄN</t>
        </is>
      </c>
      <c r="E850" t="inlineStr">
        <is>
          <t>KROKOM</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33777-2025</t>
        </is>
      </c>
      <c r="B851" s="1" t="n">
        <v>45842.39587962963</v>
      </c>
      <c r="C851" s="1" t="n">
        <v>45913</v>
      </c>
      <c r="D851" t="inlineStr">
        <is>
          <t>JÄMTLANDS LÄN</t>
        </is>
      </c>
      <c r="E851" t="inlineStr">
        <is>
          <t>KROKOM</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33779-2025</t>
        </is>
      </c>
      <c r="B852" s="1" t="n">
        <v>45842.40013888889</v>
      </c>
      <c r="C852" s="1" t="n">
        <v>45913</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41142-2023</t>
        </is>
      </c>
      <c r="B853" s="1" t="n">
        <v>45173</v>
      </c>
      <c r="C853" s="1" t="n">
        <v>45913</v>
      </c>
      <c r="D853" t="inlineStr">
        <is>
          <t>JÄMTLANDS LÄN</t>
        </is>
      </c>
      <c r="E853" t="inlineStr">
        <is>
          <t>KROKOM</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5798-2025</t>
        </is>
      </c>
      <c r="B854" s="1" t="n">
        <v>45694.65905092593</v>
      </c>
      <c r="C854" s="1" t="n">
        <v>45913</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9025-2025</t>
        </is>
      </c>
      <c r="B855" s="1" t="n">
        <v>45713.59952546296</v>
      </c>
      <c r="C855" s="1" t="n">
        <v>45913</v>
      </c>
      <c r="D855" t="inlineStr">
        <is>
          <t>JÄMTLANDS LÄN</t>
        </is>
      </c>
      <c r="E855" t="inlineStr">
        <is>
          <t>KROKOM</t>
        </is>
      </c>
      <c r="F855" t="inlineStr">
        <is>
          <t>Övriga Aktiebolag</t>
        </is>
      </c>
      <c r="G855" t="n">
        <v>28.4</v>
      </c>
      <c r="H855" t="n">
        <v>0</v>
      </c>
      <c r="I855" t="n">
        <v>0</v>
      </c>
      <c r="J855" t="n">
        <v>0</v>
      </c>
      <c r="K855" t="n">
        <v>0</v>
      </c>
      <c r="L855" t="n">
        <v>0</v>
      </c>
      <c r="M855" t="n">
        <v>0</v>
      </c>
      <c r="N855" t="n">
        <v>0</v>
      </c>
      <c r="O855" t="n">
        <v>0</v>
      </c>
      <c r="P855" t="n">
        <v>0</v>
      </c>
      <c r="Q855" t="n">
        <v>0</v>
      </c>
      <c r="R855" s="2" t="inlineStr"/>
    </row>
    <row r="856" ht="15" customHeight="1">
      <c r="A856" t="inlineStr">
        <is>
          <t>A 72064-2021</t>
        </is>
      </c>
      <c r="B856" s="1" t="n">
        <v>44544.49326388889</v>
      </c>
      <c r="C856" s="1" t="n">
        <v>45913</v>
      </c>
      <c r="D856" t="inlineStr">
        <is>
          <t>JÄMTLANDS LÄN</t>
        </is>
      </c>
      <c r="E856" t="inlineStr">
        <is>
          <t>KROKOM</t>
        </is>
      </c>
      <c r="G856" t="n">
        <v>18.7</v>
      </c>
      <c r="H856" t="n">
        <v>0</v>
      </c>
      <c r="I856" t="n">
        <v>0</v>
      </c>
      <c r="J856" t="n">
        <v>0</v>
      </c>
      <c r="K856" t="n">
        <v>0</v>
      </c>
      <c r="L856" t="n">
        <v>0</v>
      </c>
      <c r="M856" t="n">
        <v>0</v>
      </c>
      <c r="N856" t="n">
        <v>0</v>
      </c>
      <c r="O856" t="n">
        <v>0</v>
      </c>
      <c r="P856" t="n">
        <v>0</v>
      </c>
      <c r="Q856" t="n">
        <v>0</v>
      </c>
      <c r="R856" s="2" t="inlineStr"/>
    </row>
    <row r="857" ht="15" customHeight="1">
      <c r="A857" t="inlineStr">
        <is>
          <t>A 61966-2024</t>
        </is>
      </c>
      <c r="B857" s="1" t="n">
        <v>45653.57240740741</v>
      </c>
      <c r="C857" s="1" t="n">
        <v>45913</v>
      </c>
      <c r="D857" t="inlineStr">
        <is>
          <t>JÄMTLANDS LÄN</t>
        </is>
      </c>
      <c r="E857" t="inlineStr">
        <is>
          <t>KROKOM</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38253-2025</t>
        </is>
      </c>
      <c r="B858" s="1" t="n">
        <v>45883.37883101852</v>
      </c>
      <c r="C858" s="1" t="n">
        <v>45913</v>
      </c>
      <c r="D858" t="inlineStr">
        <is>
          <t>JÄMTLANDS LÄN</t>
        </is>
      </c>
      <c r="E858" t="inlineStr">
        <is>
          <t>KROKOM</t>
        </is>
      </c>
      <c r="G858" t="n">
        <v>5.8</v>
      </c>
      <c r="H858" t="n">
        <v>0</v>
      </c>
      <c r="I858" t="n">
        <v>0</v>
      </c>
      <c r="J858" t="n">
        <v>0</v>
      </c>
      <c r="K858" t="n">
        <v>0</v>
      </c>
      <c r="L858" t="n">
        <v>0</v>
      </c>
      <c r="M858" t="n">
        <v>0</v>
      </c>
      <c r="N858" t="n">
        <v>0</v>
      </c>
      <c r="O858" t="n">
        <v>0</v>
      </c>
      <c r="P858" t="n">
        <v>0</v>
      </c>
      <c r="Q858" t="n">
        <v>0</v>
      </c>
      <c r="R858" s="2" t="inlineStr"/>
    </row>
    <row r="859" ht="15" customHeight="1">
      <c r="A859" t="inlineStr">
        <is>
          <t>A 5378-2025</t>
        </is>
      </c>
      <c r="B859" s="1" t="n">
        <v>45692.60364583333</v>
      </c>
      <c r="C859" s="1" t="n">
        <v>45913</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8167-2025</t>
        </is>
      </c>
      <c r="B860" s="1" t="n">
        <v>45708</v>
      </c>
      <c r="C860" s="1" t="n">
        <v>45913</v>
      </c>
      <c r="D860" t="inlineStr">
        <is>
          <t>JÄMTLANDS LÄN</t>
        </is>
      </c>
      <c r="E860" t="inlineStr">
        <is>
          <t>KROKOM</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7079-2025</t>
        </is>
      </c>
      <c r="B861" s="1" t="n">
        <v>45701</v>
      </c>
      <c r="C861" s="1" t="n">
        <v>45913</v>
      </c>
      <c r="D861" t="inlineStr">
        <is>
          <t>JÄMTLANDS LÄN</t>
        </is>
      </c>
      <c r="E861" t="inlineStr">
        <is>
          <t>KROKOM</t>
        </is>
      </c>
      <c r="F861" t="inlineStr">
        <is>
          <t>SCA</t>
        </is>
      </c>
      <c r="G861" t="n">
        <v>7.4</v>
      </c>
      <c r="H861" t="n">
        <v>0</v>
      </c>
      <c r="I861" t="n">
        <v>0</v>
      </c>
      <c r="J861" t="n">
        <v>0</v>
      </c>
      <c r="K861" t="n">
        <v>0</v>
      </c>
      <c r="L861" t="n">
        <v>0</v>
      </c>
      <c r="M861" t="n">
        <v>0</v>
      </c>
      <c r="N861" t="n">
        <v>0</v>
      </c>
      <c r="O861" t="n">
        <v>0</v>
      </c>
      <c r="P861" t="n">
        <v>0</v>
      </c>
      <c r="Q861" t="n">
        <v>0</v>
      </c>
      <c r="R861" s="2" t="inlineStr"/>
    </row>
    <row r="862" ht="15" customHeight="1">
      <c r="A862" t="inlineStr">
        <is>
          <t>A 9023-2025</t>
        </is>
      </c>
      <c r="B862" s="1" t="n">
        <v>45713.59741898148</v>
      </c>
      <c r="C862" s="1" t="n">
        <v>45913</v>
      </c>
      <c r="D862" t="inlineStr">
        <is>
          <t>JÄMTLANDS LÄN</t>
        </is>
      </c>
      <c r="E862" t="inlineStr">
        <is>
          <t>KROKOM</t>
        </is>
      </c>
      <c r="F862" t="inlineStr">
        <is>
          <t>Övriga Aktiebolag</t>
        </is>
      </c>
      <c r="G862" t="n">
        <v>16.8</v>
      </c>
      <c r="H862" t="n">
        <v>0</v>
      </c>
      <c r="I862" t="n">
        <v>0</v>
      </c>
      <c r="J862" t="n">
        <v>0</v>
      </c>
      <c r="K862" t="n">
        <v>0</v>
      </c>
      <c r="L862" t="n">
        <v>0</v>
      </c>
      <c r="M862" t="n">
        <v>0</v>
      </c>
      <c r="N862" t="n">
        <v>0</v>
      </c>
      <c r="O862" t="n">
        <v>0</v>
      </c>
      <c r="P862" t="n">
        <v>0</v>
      </c>
      <c r="Q862" t="n">
        <v>0</v>
      </c>
      <c r="R862" s="2" t="inlineStr"/>
    </row>
    <row r="863" ht="15" customHeight="1">
      <c r="A863" t="inlineStr">
        <is>
          <t>A 30158-2022</t>
        </is>
      </c>
      <c r="B863" s="1" t="n">
        <v>44757</v>
      </c>
      <c r="C863" s="1" t="n">
        <v>45913</v>
      </c>
      <c r="D863" t="inlineStr">
        <is>
          <t>JÄMTLANDS LÄN</t>
        </is>
      </c>
      <c r="E863" t="inlineStr">
        <is>
          <t>KROKOM</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23507-2024</t>
        </is>
      </c>
      <c r="B864" s="1" t="n">
        <v>45453</v>
      </c>
      <c r="C864" s="1" t="n">
        <v>45913</v>
      </c>
      <c r="D864" t="inlineStr">
        <is>
          <t>JÄMTLANDS LÄN</t>
        </is>
      </c>
      <c r="E864" t="inlineStr">
        <is>
          <t>KROKOM</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45913</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4570-2025</t>
        </is>
      </c>
      <c r="B866" s="1" t="n">
        <v>45687</v>
      </c>
      <c r="C866" s="1" t="n">
        <v>45913</v>
      </c>
      <c r="D866" t="inlineStr">
        <is>
          <t>JÄMTLANDS LÄN</t>
        </is>
      </c>
      <c r="E866" t="inlineStr">
        <is>
          <t>KROKOM</t>
        </is>
      </c>
      <c r="G866" t="n">
        <v>4.6</v>
      </c>
      <c r="H866" t="n">
        <v>0</v>
      </c>
      <c r="I866" t="n">
        <v>0</v>
      </c>
      <c r="J866" t="n">
        <v>0</v>
      </c>
      <c r="K866" t="n">
        <v>0</v>
      </c>
      <c r="L866" t="n">
        <v>0</v>
      </c>
      <c r="M866" t="n">
        <v>0</v>
      </c>
      <c r="N866" t="n">
        <v>0</v>
      </c>
      <c r="O866" t="n">
        <v>0</v>
      </c>
      <c r="P866" t="n">
        <v>0</v>
      </c>
      <c r="Q866" t="n">
        <v>0</v>
      </c>
      <c r="R866" s="2" t="inlineStr"/>
    </row>
    <row r="867" ht="15" customHeight="1">
      <c r="A867" t="inlineStr">
        <is>
          <t>A 33451-2025</t>
        </is>
      </c>
      <c r="B867" s="1" t="n">
        <v>45841.46925925926</v>
      </c>
      <c r="C867" s="1" t="n">
        <v>45913</v>
      </c>
      <c r="D867" t="inlineStr">
        <is>
          <t>JÄMTLANDS LÄN</t>
        </is>
      </c>
      <c r="E867" t="inlineStr">
        <is>
          <t>KROKOM</t>
        </is>
      </c>
      <c r="F867" t="inlineStr">
        <is>
          <t>SCA</t>
        </is>
      </c>
      <c r="G867" t="n">
        <v>17.5</v>
      </c>
      <c r="H867" t="n">
        <v>0</v>
      </c>
      <c r="I867" t="n">
        <v>0</v>
      </c>
      <c r="J867" t="n">
        <v>0</v>
      </c>
      <c r="K867" t="n">
        <v>0</v>
      </c>
      <c r="L867" t="n">
        <v>0</v>
      </c>
      <c r="M867" t="n">
        <v>0</v>
      </c>
      <c r="N867" t="n">
        <v>0</v>
      </c>
      <c r="O867" t="n">
        <v>0</v>
      </c>
      <c r="P867" t="n">
        <v>0</v>
      </c>
      <c r="Q867" t="n">
        <v>0</v>
      </c>
      <c r="R867" s="2" t="inlineStr"/>
    </row>
    <row r="868" ht="15" customHeight="1">
      <c r="A868" t="inlineStr">
        <is>
          <t>A 15761-2025</t>
        </is>
      </c>
      <c r="B868" s="1" t="n">
        <v>45748.57269675926</v>
      </c>
      <c r="C868" s="1" t="n">
        <v>45913</v>
      </c>
      <c r="D868" t="inlineStr">
        <is>
          <t>JÄMTLANDS LÄN</t>
        </is>
      </c>
      <c r="E868" t="inlineStr">
        <is>
          <t>KROKOM</t>
        </is>
      </c>
      <c r="G868" t="n">
        <v>48.1</v>
      </c>
      <c r="H868" t="n">
        <v>0</v>
      </c>
      <c r="I868" t="n">
        <v>0</v>
      </c>
      <c r="J868" t="n">
        <v>0</v>
      </c>
      <c r="K868" t="n">
        <v>0</v>
      </c>
      <c r="L868" t="n">
        <v>0</v>
      </c>
      <c r="M868" t="n">
        <v>0</v>
      </c>
      <c r="N868" t="n">
        <v>0</v>
      </c>
      <c r="O868" t="n">
        <v>0</v>
      </c>
      <c r="P868" t="n">
        <v>0</v>
      </c>
      <c r="Q868" t="n">
        <v>0</v>
      </c>
      <c r="R868" s="2" t="inlineStr"/>
    </row>
    <row r="869" ht="15" customHeight="1">
      <c r="A869" t="inlineStr">
        <is>
          <t>A 61742-2024</t>
        </is>
      </c>
      <c r="B869" s="1" t="n">
        <v>45649.38149305555</v>
      </c>
      <c r="C869" s="1" t="n">
        <v>45913</v>
      </c>
      <c r="D869" t="inlineStr">
        <is>
          <t>JÄMTLANDS LÄN</t>
        </is>
      </c>
      <c r="E869" t="inlineStr">
        <is>
          <t>KROKOM</t>
        </is>
      </c>
      <c r="G869" t="n">
        <v>13.3</v>
      </c>
      <c r="H869" t="n">
        <v>0</v>
      </c>
      <c r="I869" t="n">
        <v>0</v>
      </c>
      <c r="J869" t="n">
        <v>0</v>
      </c>
      <c r="K869" t="n">
        <v>0</v>
      </c>
      <c r="L869" t="n">
        <v>0</v>
      </c>
      <c r="M869" t="n">
        <v>0</v>
      </c>
      <c r="N869" t="n">
        <v>0</v>
      </c>
      <c r="O869" t="n">
        <v>0</v>
      </c>
      <c r="P869" t="n">
        <v>0</v>
      </c>
      <c r="Q869" t="n">
        <v>0</v>
      </c>
      <c r="R869" s="2" t="inlineStr"/>
    </row>
    <row r="870" ht="15" customHeight="1">
      <c r="A870" t="inlineStr">
        <is>
          <t>A 18841-2025</t>
        </is>
      </c>
      <c r="B870" s="1" t="n">
        <v>45764.40834490741</v>
      </c>
      <c r="C870" s="1" t="n">
        <v>45913</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9963-2025</t>
        </is>
      </c>
      <c r="B871" s="1" t="n">
        <v>45719.37307870371</v>
      </c>
      <c r="C871" s="1" t="n">
        <v>45913</v>
      </c>
      <c r="D871" t="inlineStr">
        <is>
          <t>JÄMTLANDS LÄN</t>
        </is>
      </c>
      <c r="E871" t="inlineStr">
        <is>
          <t>KROKOM</t>
        </is>
      </c>
      <c r="F871" t="inlineStr">
        <is>
          <t>Övriga Aktiebolag</t>
        </is>
      </c>
      <c r="G871" t="n">
        <v>3.7</v>
      </c>
      <c r="H871" t="n">
        <v>0</v>
      </c>
      <c r="I871" t="n">
        <v>0</v>
      </c>
      <c r="J871" t="n">
        <v>0</v>
      </c>
      <c r="K871" t="n">
        <v>0</v>
      </c>
      <c r="L871" t="n">
        <v>0</v>
      </c>
      <c r="M871" t="n">
        <v>0</v>
      </c>
      <c r="N871" t="n">
        <v>0</v>
      </c>
      <c r="O871" t="n">
        <v>0</v>
      </c>
      <c r="P871" t="n">
        <v>0</v>
      </c>
      <c r="Q871" t="n">
        <v>0</v>
      </c>
      <c r="R871" s="2" t="inlineStr"/>
    </row>
    <row r="872" ht="15" customHeight="1">
      <c r="A872" t="inlineStr">
        <is>
          <t>A 34289-2021</t>
        </is>
      </c>
      <c r="B872" s="1" t="n">
        <v>44379.59675925926</v>
      </c>
      <c r="C872" s="1" t="n">
        <v>45913</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17840-2025</t>
        </is>
      </c>
      <c r="B873" s="1" t="n">
        <v>45758.58943287037</v>
      </c>
      <c r="C873" s="1" t="n">
        <v>45913</v>
      </c>
      <c r="D873" t="inlineStr">
        <is>
          <t>JÄMTLANDS LÄN</t>
        </is>
      </c>
      <c r="E873" t="inlineStr">
        <is>
          <t>KROKOM</t>
        </is>
      </c>
      <c r="F873" t="inlineStr">
        <is>
          <t>Övriga Aktiebolag</t>
        </is>
      </c>
      <c r="G873" t="n">
        <v>6.7</v>
      </c>
      <c r="H873" t="n">
        <v>0</v>
      </c>
      <c r="I873" t="n">
        <v>0</v>
      </c>
      <c r="J873" t="n">
        <v>0</v>
      </c>
      <c r="K873" t="n">
        <v>0</v>
      </c>
      <c r="L873" t="n">
        <v>0</v>
      </c>
      <c r="M873" t="n">
        <v>0</v>
      </c>
      <c r="N873" t="n">
        <v>0</v>
      </c>
      <c r="O873" t="n">
        <v>0</v>
      </c>
      <c r="P873" t="n">
        <v>0</v>
      </c>
      <c r="Q873" t="n">
        <v>0</v>
      </c>
      <c r="R873" s="2" t="inlineStr"/>
    </row>
    <row r="874" ht="15" customHeight="1">
      <c r="A874" t="inlineStr">
        <is>
          <t>A 1477-2025</t>
        </is>
      </c>
      <c r="B874" s="1" t="n">
        <v>45670</v>
      </c>
      <c r="C874" s="1" t="n">
        <v>45913</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25428-2022</t>
        </is>
      </c>
      <c r="B875" s="1" t="n">
        <v>44732</v>
      </c>
      <c r="C875" s="1" t="n">
        <v>45913</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57149-2023</t>
        </is>
      </c>
      <c r="B876" s="1" t="n">
        <v>45245</v>
      </c>
      <c r="C876" s="1" t="n">
        <v>45913</v>
      </c>
      <c r="D876" t="inlineStr">
        <is>
          <t>JÄMTLANDS LÄN</t>
        </is>
      </c>
      <c r="E876" t="inlineStr">
        <is>
          <t>KROKOM</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45913</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33915-2025</t>
        </is>
      </c>
      <c r="B878" s="1" t="n">
        <v>45842.6099537037</v>
      </c>
      <c r="C878" s="1" t="n">
        <v>45913</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6185-2025</t>
        </is>
      </c>
      <c r="B879" s="1" t="n">
        <v>45698.45653935185</v>
      </c>
      <c r="C879" s="1" t="n">
        <v>45913</v>
      </c>
      <c r="D879" t="inlineStr">
        <is>
          <t>JÄMTLANDS LÄN</t>
        </is>
      </c>
      <c r="E879" t="inlineStr">
        <is>
          <t>KROKOM</t>
        </is>
      </c>
      <c r="G879" t="n">
        <v>14.7</v>
      </c>
      <c r="H879" t="n">
        <v>0</v>
      </c>
      <c r="I879" t="n">
        <v>0</v>
      </c>
      <c r="J879" t="n">
        <v>0</v>
      </c>
      <c r="K879" t="n">
        <v>0</v>
      </c>
      <c r="L879" t="n">
        <v>0</v>
      </c>
      <c r="M879" t="n">
        <v>0</v>
      </c>
      <c r="N879" t="n">
        <v>0</v>
      </c>
      <c r="O879" t="n">
        <v>0</v>
      </c>
      <c r="P879" t="n">
        <v>0</v>
      </c>
      <c r="Q879" t="n">
        <v>0</v>
      </c>
      <c r="R879" s="2" t="inlineStr"/>
    </row>
    <row r="880" ht="15" customHeight="1">
      <c r="A880" t="inlineStr">
        <is>
          <t>A 33418-2025</t>
        </is>
      </c>
      <c r="B880" s="1" t="n">
        <v>45841.43987268519</v>
      </c>
      <c r="C880" s="1" t="n">
        <v>45913</v>
      </c>
      <c r="D880" t="inlineStr">
        <is>
          <t>JÄMTLANDS LÄN</t>
        </is>
      </c>
      <c r="E880" t="inlineStr">
        <is>
          <t>KROKOM</t>
        </is>
      </c>
      <c r="G880" t="n">
        <v>3.9</v>
      </c>
      <c r="H880" t="n">
        <v>0</v>
      </c>
      <c r="I880" t="n">
        <v>0</v>
      </c>
      <c r="J880" t="n">
        <v>0</v>
      </c>
      <c r="K880" t="n">
        <v>0</v>
      </c>
      <c r="L880" t="n">
        <v>0</v>
      </c>
      <c r="M880" t="n">
        <v>0</v>
      </c>
      <c r="N880" t="n">
        <v>0</v>
      </c>
      <c r="O880" t="n">
        <v>0</v>
      </c>
      <c r="P880" t="n">
        <v>0</v>
      </c>
      <c r="Q880" t="n">
        <v>0</v>
      </c>
      <c r="R880" s="2" t="inlineStr"/>
    </row>
    <row r="881" ht="15" customHeight="1">
      <c r="A881" t="inlineStr">
        <is>
          <t>A 6042-2025</t>
        </is>
      </c>
      <c r="B881" s="1" t="n">
        <v>45695</v>
      </c>
      <c r="C881" s="1" t="n">
        <v>45913</v>
      </c>
      <c r="D881" t="inlineStr">
        <is>
          <t>JÄMTLANDS LÄN</t>
        </is>
      </c>
      <c r="E881" t="inlineStr">
        <is>
          <t>KROKOM</t>
        </is>
      </c>
      <c r="F881" t="inlineStr">
        <is>
          <t>Övriga Aktiebolag</t>
        </is>
      </c>
      <c r="G881" t="n">
        <v>8.9</v>
      </c>
      <c r="H881" t="n">
        <v>0</v>
      </c>
      <c r="I881" t="n">
        <v>0</v>
      </c>
      <c r="J881" t="n">
        <v>0</v>
      </c>
      <c r="K881" t="n">
        <v>0</v>
      </c>
      <c r="L881" t="n">
        <v>0</v>
      </c>
      <c r="M881" t="n">
        <v>0</v>
      </c>
      <c r="N881" t="n">
        <v>0</v>
      </c>
      <c r="O881" t="n">
        <v>0</v>
      </c>
      <c r="P881" t="n">
        <v>0</v>
      </c>
      <c r="Q881" t="n">
        <v>0</v>
      </c>
      <c r="R881" s="2" t="inlineStr"/>
    </row>
    <row r="882" ht="15" customHeight="1">
      <c r="A882" t="inlineStr">
        <is>
          <t>A 10581-2025</t>
        </is>
      </c>
      <c r="B882" s="1" t="n">
        <v>45721.54896990741</v>
      </c>
      <c r="C882" s="1" t="n">
        <v>45913</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10632-2025</t>
        </is>
      </c>
      <c r="B883" s="1" t="n">
        <v>45721</v>
      </c>
      <c r="C883" s="1" t="n">
        <v>45913</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47625-2023</t>
        </is>
      </c>
      <c r="B884" s="1" t="n">
        <v>45203</v>
      </c>
      <c r="C884" s="1" t="n">
        <v>45913</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5422-2021</t>
        </is>
      </c>
      <c r="B885" s="1" t="n">
        <v>44228</v>
      </c>
      <c r="C885" s="1" t="n">
        <v>45913</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58415-2024</t>
        </is>
      </c>
      <c r="B886" s="1" t="n">
        <v>45634.7925</v>
      </c>
      <c r="C886" s="1" t="n">
        <v>45913</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58416-2024</t>
        </is>
      </c>
      <c r="B887" s="1" t="n">
        <v>45634.79854166666</v>
      </c>
      <c r="C887" s="1" t="n">
        <v>45913</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52240-2024</t>
        </is>
      </c>
      <c r="B888" s="1" t="n">
        <v>45608.61923611111</v>
      </c>
      <c r="C888" s="1" t="n">
        <v>45913</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20742-2023</t>
        </is>
      </c>
      <c r="B889" s="1" t="n">
        <v>45055</v>
      </c>
      <c r="C889" s="1" t="n">
        <v>45913</v>
      </c>
      <c r="D889" t="inlineStr">
        <is>
          <t>JÄMTLANDS LÄN</t>
        </is>
      </c>
      <c r="E889" t="inlineStr">
        <is>
          <t>KROKOM</t>
        </is>
      </c>
      <c r="G889" t="n">
        <v>0.4</v>
      </c>
      <c r="H889" t="n">
        <v>0</v>
      </c>
      <c r="I889" t="n">
        <v>0</v>
      </c>
      <c r="J889" t="n">
        <v>0</v>
      </c>
      <c r="K889" t="n">
        <v>0</v>
      </c>
      <c r="L889" t="n">
        <v>0</v>
      </c>
      <c r="M889" t="n">
        <v>0</v>
      </c>
      <c r="N889" t="n">
        <v>0</v>
      </c>
      <c r="O889" t="n">
        <v>0</v>
      </c>
      <c r="P889" t="n">
        <v>0</v>
      </c>
      <c r="Q889" t="n">
        <v>0</v>
      </c>
      <c r="R889" s="2" t="inlineStr"/>
    </row>
    <row r="890" ht="15" customHeight="1">
      <c r="A890" t="inlineStr">
        <is>
          <t>A 50129-2024</t>
        </is>
      </c>
      <c r="B890" s="1" t="n">
        <v>45600.433125</v>
      </c>
      <c r="C890" s="1" t="n">
        <v>45913</v>
      </c>
      <c r="D890" t="inlineStr">
        <is>
          <t>JÄMTLANDS LÄN</t>
        </is>
      </c>
      <c r="E890" t="inlineStr">
        <is>
          <t>KROKOM</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6991-2025</t>
        </is>
      </c>
      <c r="B891" s="1" t="n">
        <v>45701.57363425926</v>
      </c>
      <c r="C891" s="1" t="n">
        <v>45913</v>
      </c>
      <c r="D891" t="inlineStr">
        <is>
          <t>JÄMTLANDS LÄN</t>
        </is>
      </c>
      <c r="E891" t="inlineStr">
        <is>
          <t>KROKOM</t>
        </is>
      </c>
      <c r="G891" t="n">
        <v>4.9</v>
      </c>
      <c r="H891" t="n">
        <v>0</v>
      </c>
      <c r="I891" t="n">
        <v>0</v>
      </c>
      <c r="J891" t="n">
        <v>0</v>
      </c>
      <c r="K891" t="n">
        <v>0</v>
      </c>
      <c r="L891" t="n">
        <v>0</v>
      </c>
      <c r="M891" t="n">
        <v>0</v>
      </c>
      <c r="N891" t="n">
        <v>0</v>
      </c>
      <c r="O891" t="n">
        <v>0</v>
      </c>
      <c r="P891" t="n">
        <v>0</v>
      </c>
      <c r="Q891" t="n">
        <v>0</v>
      </c>
      <c r="R891" s="2" t="inlineStr"/>
    </row>
    <row r="892" ht="15" customHeight="1">
      <c r="A892" t="inlineStr">
        <is>
          <t>A 18583-2025</t>
        </is>
      </c>
      <c r="B892" s="1" t="n">
        <v>45763.46918981482</v>
      </c>
      <c r="C892" s="1" t="n">
        <v>45913</v>
      </c>
      <c r="D892" t="inlineStr">
        <is>
          <t>JÄMTLANDS LÄN</t>
        </is>
      </c>
      <c r="E892" t="inlineStr">
        <is>
          <t>KROKOM</t>
        </is>
      </c>
      <c r="G892" t="n">
        <v>1.5</v>
      </c>
      <c r="H892" t="n">
        <v>0</v>
      </c>
      <c r="I892" t="n">
        <v>0</v>
      </c>
      <c r="J892" t="n">
        <v>0</v>
      </c>
      <c r="K892" t="n">
        <v>0</v>
      </c>
      <c r="L892" t="n">
        <v>0</v>
      </c>
      <c r="M892" t="n">
        <v>0</v>
      </c>
      <c r="N892" t="n">
        <v>0</v>
      </c>
      <c r="O892" t="n">
        <v>0</v>
      </c>
      <c r="P892" t="n">
        <v>0</v>
      </c>
      <c r="Q892" t="n">
        <v>0</v>
      </c>
      <c r="R892" s="2" t="inlineStr"/>
    </row>
    <row r="893" ht="15" customHeight="1">
      <c r="A893" t="inlineStr">
        <is>
          <t>A 14170-2024</t>
        </is>
      </c>
      <c r="B893" s="1" t="n">
        <v>45392.95844907407</v>
      </c>
      <c r="C893" s="1" t="n">
        <v>45913</v>
      </c>
      <c r="D893" t="inlineStr">
        <is>
          <t>JÄMTLANDS LÄN</t>
        </is>
      </c>
      <c r="E893" t="inlineStr">
        <is>
          <t>KROKOM</t>
        </is>
      </c>
      <c r="G893" t="n">
        <v>4.9</v>
      </c>
      <c r="H893" t="n">
        <v>0</v>
      </c>
      <c r="I893" t="n">
        <v>0</v>
      </c>
      <c r="J893" t="n">
        <v>0</v>
      </c>
      <c r="K893" t="n">
        <v>0</v>
      </c>
      <c r="L893" t="n">
        <v>0</v>
      </c>
      <c r="M893" t="n">
        <v>0</v>
      </c>
      <c r="N893" t="n">
        <v>0</v>
      </c>
      <c r="O893" t="n">
        <v>0</v>
      </c>
      <c r="P893" t="n">
        <v>0</v>
      </c>
      <c r="Q893" t="n">
        <v>0</v>
      </c>
      <c r="R893" s="2" t="inlineStr"/>
    </row>
    <row r="894" ht="15" customHeight="1">
      <c r="A894" t="inlineStr">
        <is>
          <t>A 14171-2024</t>
        </is>
      </c>
      <c r="B894" s="1" t="n">
        <v>45392</v>
      </c>
      <c r="C894" s="1" t="n">
        <v>45913</v>
      </c>
      <c r="D894" t="inlineStr">
        <is>
          <t>JÄMTLANDS LÄN</t>
        </is>
      </c>
      <c r="E894" t="inlineStr">
        <is>
          <t>KROKOM</t>
        </is>
      </c>
      <c r="G894" t="n">
        <v>5.9</v>
      </c>
      <c r="H894" t="n">
        <v>0</v>
      </c>
      <c r="I894" t="n">
        <v>0</v>
      </c>
      <c r="J894" t="n">
        <v>0</v>
      </c>
      <c r="K894" t="n">
        <v>0</v>
      </c>
      <c r="L894" t="n">
        <v>0</v>
      </c>
      <c r="M894" t="n">
        <v>0</v>
      </c>
      <c r="N894" t="n">
        <v>0</v>
      </c>
      <c r="O894" t="n">
        <v>0</v>
      </c>
      <c r="P894" t="n">
        <v>0</v>
      </c>
      <c r="Q894" t="n">
        <v>0</v>
      </c>
      <c r="R894" s="2" t="inlineStr"/>
    </row>
    <row r="895" ht="15" customHeight="1">
      <c r="A895" t="inlineStr">
        <is>
          <t>A 38789-2025</t>
        </is>
      </c>
      <c r="B895" s="1" t="n">
        <v>45887.44883101852</v>
      </c>
      <c r="C895" s="1" t="n">
        <v>45913</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38894-2025</t>
        </is>
      </c>
      <c r="B896" s="1" t="n">
        <v>45887.59064814815</v>
      </c>
      <c r="C896" s="1" t="n">
        <v>45913</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7391-2025</t>
        </is>
      </c>
      <c r="B897" s="1" t="n">
        <v>45705.33446759259</v>
      </c>
      <c r="C897" s="1" t="n">
        <v>45913</v>
      </c>
      <c r="D897" t="inlineStr">
        <is>
          <t>JÄMTLANDS LÄN</t>
        </is>
      </c>
      <c r="E897" t="inlineStr">
        <is>
          <t>KROKOM</t>
        </is>
      </c>
      <c r="F897" t="inlineStr">
        <is>
          <t>Övriga Aktiebolag</t>
        </is>
      </c>
      <c r="G897" t="n">
        <v>7.9</v>
      </c>
      <c r="H897" t="n">
        <v>0</v>
      </c>
      <c r="I897" t="n">
        <v>0</v>
      </c>
      <c r="J897" t="n">
        <v>0</v>
      </c>
      <c r="K897" t="n">
        <v>0</v>
      </c>
      <c r="L897" t="n">
        <v>0</v>
      </c>
      <c r="M897" t="n">
        <v>0</v>
      </c>
      <c r="N897" t="n">
        <v>0</v>
      </c>
      <c r="O897" t="n">
        <v>0</v>
      </c>
      <c r="P897" t="n">
        <v>0</v>
      </c>
      <c r="Q897" t="n">
        <v>0</v>
      </c>
      <c r="R897" s="2" t="inlineStr"/>
    </row>
    <row r="898" ht="15" customHeight="1">
      <c r="A898" t="inlineStr">
        <is>
          <t>A 55455-2022</t>
        </is>
      </c>
      <c r="B898" s="1" t="n">
        <v>44887</v>
      </c>
      <c r="C898" s="1" t="n">
        <v>45913</v>
      </c>
      <c r="D898" t="inlineStr">
        <is>
          <t>JÄMTLANDS LÄN</t>
        </is>
      </c>
      <c r="E898" t="inlineStr">
        <is>
          <t>KROKOM</t>
        </is>
      </c>
      <c r="F898" t="inlineStr">
        <is>
          <t>Övriga Aktiebolag</t>
        </is>
      </c>
      <c r="G898" t="n">
        <v>5.2</v>
      </c>
      <c r="H898" t="n">
        <v>0</v>
      </c>
      <c r="I898" t="n">
        <v>0</v>
      </c>
      <c r="J898" t="n">
        <v>0</v>
      </c>
      <c r="K898" t="n">
        <v>0</v>
      </c>
      <c r="L898" t="n">
        <v>0</v>
      </c>
      <c r="M898" t="n">
        <v>0</v>
      </c>
      <c r="N898" t="n">
        <v>0</v>
      </c>
      <c r="O898" t="n">
        <v>0</v>
      </c>
      <c r="P898" t="n">
        <v>0</v>
      </c>
      <c r="Q898" t="n">
        <v>0</v>
      </c>
      <c r="R898" s="2" t="inlineStr"/>
    </row>
    <row r="899" ht="15" customHeight="1">
      <c r="A899" t="inlineStr">
        <is>
          <t>A 23832-2021</t>
        </is>
      </c>
      <c r="B899" s="1" t="n">
        <v>44335</v>
      </c>
      <c r="C899" s="1" t="n">
        <v>45913</v>
      </c>
      <c r="D899" t="inlineStr">
        <is>
          <t>JÄMTLANDS LÄN</t>
        </is>
      </c>
      <c r="E899" t="inlineStr">
        <is>
          <t>KROKOM</t>
        </is>
      </c>
      <c r="G899" t="n">
        <v>20</v>
      </c>
      <c r="H899" t="n">
        <v>0</v>
      </c>
      <c r="I899" t="n">
        <v>0</v>
      </c>
      <c r="J899" t="n">
        <v>0</v>
      </c>
      <c r="K899" t="n">
        <v>0</v>
      </c>
      <c r="L899" t="n">
        <v>0</v>
      </c>
      <c r="M899" t="n">
        <v>0</v>
      </c>
      <c r="N899" t="n">
        <v>0</v>
      </c>
      <c r="O899" t="n">
        <v>0</v>
      </c>
      <c r="P899" t="n">
        <v>0</v>
      </c>
      <c r="Q899" t="n">
        <v>0</v>
      </c>
      <c r="R899" s="2" t="inlineStr"/>
    </row>
    <row r="900" ht="15" customHeight="1">
      <c r="A900" t="inlineStr">
        <is>
          <t>A 16343-2025</t>
        </is>
      </c>
      <c r="B900" s="1" t="n">
        <v>45751.37320601852</v>
      </c>
      <c r="C900" s="1" t="n">
        <v>45913</v>
      </c>
      <c r="D900" t="inlineStr">
        <is>
          <t>JÄMTLANDS LÄN</t>
        </is>
      </c>
      <c r="E900" t="inlineStr">
        <is>
          <t>KROKOM</t>
        </is>
      </c>
      <c r="G900" t="n">
        <v>1.7</v>
      </c>
      <c r="H900" t="n">
        <v>0</v>
      </c>
      <c r="I900" t="n">
        <v>0</v>
      </c>
      <c r="J900" t="n">
        <v>0</v>
      </c>
      <c r="K900" t="n">
        <v>0</v>
      </c>
      <c r="L900" t="n">
        <v>0</v>
      </c>
      <c r="M900" t="n">
        <v>0</v>
      </c>
      <c r="N900" t="n">
        <v>0</v>
      </c>
      <c r="O900" t="n">
        <v>0</v>
      </c>
      <c r="P900" t="n">
        <v>0</v>
      </c>
      <c r="Q900" t="n">
        <v>0</v>
      </c>
      <c r="R900" s="2" t="inlineStr"/>
    </row>
    <row r="901" ht="15" customHeight="1">
      <c r="A901" t="inlineStr">
        <is>
          <t>A 33945-2025</t>
        </is>
      </c>
      <c r="B901" s="1" t="n">
        <v>45842</v>
      </c>
      <c r="C901" s="1" t="n">
        <v>45913</v>
      </c>
      <c r="D901" t="inlineStr">
        <is>
          <t>JÄMTLANDS LÄN</t>
        </is>
      </c>
      <c r="E901" t="inlineStr">
        <is>
          <t>KROKOM</t>
        </is>
      </c>
      <c r="G901" t="n">
        <v>7</v>
      </c>
      <c r="H901" t="n">
        <v>0</v>
      </c>
      <c r="I901" t="n">
        <v>0</v>
      </c>
      <c r="J901" t="n">
        <v>0</v>
      </c>
      <c r="K901" t="n">
        <v>0</v>
      </c>
      <c r="L901" t="n">
        <v>0</v>
      </c>
      <c r="M901" t="n">
        <v>0</v>
      </c>
      <c r="N901" t="n">
        <v>0</v>
      </c>
      <c r="O901" t="n">
        <v>0</v>
      </c>
      <c r="P901" t="n">
        <v>0</v>
      </c>
      <c r="Q901" t="n">
        <v>0</v>
      </c>
      <c r="R901" s="2" t="inlineStr"/>
    </row>
    <row r="902" ht="15" customHeight="1">
      <c r="A902" t="inlineStr">
        <is>
          <t>A 52268-2022</t>
        </is>
      </c>
      <c r="B902" s="1" t="n">
        <v>44873</v>
      </c>
      <c r="C902" s="1" t="n">
        <v>45913</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c r="U902">
        <f>HYPERLINK("https://klasma.github.io/Logging_2309/knärot/A 52268-2022 karta knärot.png", "A 52268-2022")</f>
        <v/>
      </c>
      <c r="V902">
        <f>HYPERLINK("https://klasma.github.io/Logging_2309/klagomål/A 52268-2022 FSC-klagomål.docx", "A 52268-2022")</f>
        <v/>
      </c>
      <c r="W902">
        <f>HYPERLINK("https://klasma.github.io/Logging_2309/klagomålsmail/A 52268-2022 FSC-klagomål mail.docx", "A 52268-2022")</f>
        <v/>
      </c>
      <c r="X902">
        <f>HYPERLINK("https://klasma.github.io/Logging_2309/tillsyn/A 52268-2022 tillsynsbegäran.docx", "A 52268-2022")</f>
        <v/>
      </c>
      <c r="Y902">
        <f>HYPERLINK("https://klasma.github.io/Logging_2309/tillsynsmail/A 52268-2022 tillsynsbegäran mail.docx", "A 52268-2022")</f>
        <v/>
      </c>
    </row>
    <row r="903" ht="15" customHeight="1">
      <c r="A903" t="inlineStr">
        <is>
          <t>A 57726-2020</t>
        </is>
      </c>
      <c r="B903" s="1" t="n">
        <v>44140</v>
      </c>
      <c r="C903" s="1" t="n">
        <v>45913</v>
      </c>
      <c r="D903" t="inlineStr">
        <is>
          <t>JÄMTLANDS LÄN</t>
        </is>
      </c>
      <c r="E903" t="inlineStr">
        <is>
          <t>KROKOM</t>
        </is>
      </c>
      <c r="G903" t="n">
        <v>3.8</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45913</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61767-2024</t>
        </is>
      </c>
      <c r="B905" s="1" t="n">
        <v>45649.45143518518</v>
      </c>
      <c r="C905" s="1" t="n">
        <v>45913</v>
      </c>
      <c r="D905" t="inlineStr">
        <is>
          <t>JÄMTLANDS LÄN</t>
        </is>
      </c>
      <c r="E905" t="inlineStr">
        <is>
          <t>KROKOM</t>
        </is>
      </c>
      <c r="G905" t="n">
        <v>3.1</v>
      </c>
      <c r="H905" t="n">
        <v>0</v>
      </c>
      <c r="I905" t="n">
        <v>0</v>
      </c>
      <c r="J905" t="n">
        <v>0</v>
      </c>
      <c r="K905" t="n">
        <v>0</v>
      </c>
      <c r="L905" t="n">
        <v>0</v>
      </c>
      <c r="M905" t="n">
        <v>0</v>
      </c>
      <c r="N905" t="n">
        <v>0</v>
      </c>
      <c r="O905" t="n">
        <v>0</v>
      </c>
      <c r="P905" t="n">
        <v>0</v>
      </c>
      <c r="Q905" t="n">
        <v>0</v>
      </c>
      <c r="R905" s="2" t="inlineStr"/>
    </row>
    <row r="906" ht="15" customHeight="1">
      <c r="A906" t="inlineStr">
        <is>
          <t>A 23214-2024</t>
        </is>
      </c>
      <c r="B906" s="1" t="n">
        <v>45452.55271990741</v>
      </c>
      <c r="C906" s="1" t="n">
        <v>45913</v>
      </c>
      <c r="D906" t="inlineStr">
        <is>
          <t>JÄMTLANDS LÄN</t>
        </is>
      </c>
      <c r="E906" t="inlineStr">
        <is>
          <t>KROKOM</t>
        </is>
      </c>
      <c r="F906" t="inlineStr">
        <is>
          <t>Övriga Aktiebolag</t>
        </is>
      </c>
      <c r="G906" t="n">
        <v>0.4</v>
      </c>
      <c r="H906" t="n">
        <v>0</v>
      </c>
      <c r="I906" t="n">
        <v>0</v>
      </c>
      <c r="J906" t="n">
        <v>0</v>
      </c>
      <c r="K906" t="n">
        <v>0</v>
      </c>
      <c r="L906" t="n">
        <v>0</v>
      </c>
      <c r="M906" t="n">
        <v>0</v>
      </c>
      <c r="N906" t="n">
        <v>0</v>
      </c>
      <c r="O906" t="n">
        <v>0</v>
      </c>
      <c r="P906" t="n">
        <v>0</v>
      </c>
      <c r="Q906" t="n">
        <v>0</v>
      </c>
      <c r="R906" s="2" t="inlineStr"/>
    </row>
    <row r="907" ht="15" customHeight="1">
      <c r="A907" t="inlineStr">
        <is>
          <t>A 50177-2021</t>
        </is>
      </c>
      <c r="B907" s="1" t="n">
        <v>44456</v>
      </c>
      <c r="C907" s="1" t="n">
        <v>45913</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15209-2025</t>
        </is>
      </c>
      <c r="B908" s="1" t="n">
        <v>45744</v>
      </c>
      <c r="C908" s="1" t="n">
        <v>45913</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14234-2025</t>
        </is>
      </c>
      <c r="B909" s="1" t="n">
        <v>45740.60405092593</v>
      </c>
      <c r="C909" s="1" t="n">
        <v>45913</v>
      </c>
      <c r="D909" t="inlineStr">
        <is>
          <t>JÄMTLANDS LÄN</t>
        </is>
      </c>
      <c r="E909" t="inlineStr">
        <is>
          <t>KROKOM</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38885-2025</t>
        </is>
      </c>
      <c r="B910" s="1" t="n">
        <v>45887.58372685185</v>
      </c>
      <c r="C910" s="1" t="n">
        <v>45913</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44901.54615740741</v>
      </c>
      <c r="C911" s="1" t="n">
        <v>45913</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39206-2025</t>
        </is>
      </c>
      <c r="B912" s="1" t="n">
        <v>45888.72766203704</v>
      </c>
      <c r="C912" s="1" t="n">
        <v>45913</v>
      </c>
      <c r="D912" t="inlineStr">
        <is>
          <t>JÄMTLANDS LÄN</t>
        </is>
      </c>
      <c r="E912" t="inlineStr">
        <is>
          <t>KROKOM</t>
        </is>
      </c>
      <c r="F912" t="inlineStr">
        <is>
          <t>Kyrkan</t>
        </is>
      </c>
      <c r="G912" t="n">
        <v>4.7</v>
      </c>
      <c r="H912" t="n">
        <v>0</v>
      </c>
      <c r="I912" t="n">
        <v>0</v>
      </c>
      <c r="J912" t="n">
        <v>0</v>
      </c>
      <c r="K912" t="n">
        <v>0</v>
      </c>
      <c r="L912" t="n">
        <v>0</v>
      </c>
      <c r="M912" t="n">
        <v>0</v>
      </c>
      <c r="N912" t="n">
        <v>0</v>
      </c>
      <c r="O912" t="n">
        <v>0</v>
      </c>
      <c r="P912" t="n">
        <v>0</v>
      </c>
      <c r="Q912" t="n">
        <v>0</v>
      </c>
      <c r="R912" s="2" t="inlineStr"/>
    </row>
    <row r="913" ht="15" customHeight="1">
      <c r="A913" t="inlineStr">
        <is>
          <t>A 16548-2025</t>
        </is>
      </c>
      <c r="B913" s="1" t="n">
        <v>45751.6877662037</v>
      </c>
      <c r="C913" s="1" t="n">
        <v>45913</v>
      </c>
      <c r="D913" t="inlineStr">
        <is>
          <t>JÄMTLANDS LÄN</t>
        </is>
      </c>
      <c r="E913" t="inlineStr">
        <is>
          <t>KROKOM</t>
        </is>
      </c>
      <c r="F913" t="inlineStr">
        <is>
          <t>Övriga Aktiebolag</t>
        </is>
      </c>
      <c r="G913" t="n">
        <v>10.9</v>
      </c>
      <c r="H913" t="n">
        <v>0</v>
      </c>
      <c r="I913" t="n">
        <v>0</v>
      </c>
      <c r="J913" t="n">
        <v>0</v>
      </c>
      <c r="K913" t="n">
        <v>0</v>
      </c>
      <c r="L913" t="n">
        <v>0</v>
      </c>
      <c r="M913" t="n">
        <v>0</v>
      </c>
      <c r="N913" t="n">
        <v>0</v>
      </c>
      <c r="O913" t="n">
        <v>0</v>
      </c>
      <c r="P913" t="n">
        <v>0</v>
      </c>
      <c r="Q913" t="n">
        <v>0</v>
      </c>
      <c r="R913" s="2" t="inlineStr"/>
    </row>
    <row r="914" ht="15" customHeight="1">
      <c r="A914" t="inlineStr">
        <is>
          <t>A 16278-2025</t>
        </is>
      </c>
      <c r="B914" s="1" t="n">
        <v>45751.28243055556</v>
      </c>
      <c r="C914" s="1" t="n">
        <v>45913</v>
      </c>
      <c r="D914" t="inlineStr">
        <is>
          <t>JÄMTLANDS LÄN</t>
        </is>
      </c>
      <c r="E914" t="inlineStr">
        <is>
          <t>KROKOM</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56596-2020</t>
        </is>
      </c>
      <c r="B915" s="1" t="n">
        <v>44133</v>
      </c>
      <c r="C915" s="1" t="n">
        <v>45913</v>
      </c>
      <c r="D915" t="inlineStr">
        <is>
          <t>JÄMTLANDS LÄN</t>
        </is>
      </c>
      <c r="E915" t="inlineStr">
        <is>
          <t>KROKOM</t>
        </is>
      </c>
      <c r="G915" t="n">
        <v>7.2</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45887.55252314815</v>
      </c>
      <c r="C916" s="1" t="n">
        <v>45913</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14233-2025</t>
        </is>
      </c>
      <c r="B917" s="1" t="n">
        <v>45740.60347222222</v>
      </c>
      <c r="C917" s="1" t="n">
        <v>45913</v>
      </c>
      <c r="D917" t="inlineStr">
        <is>
          <t>JÄMTLANDS LÄN</t>
        </is>
      </c>
      <c r="E917" t="inlineStr">
        <is>
          <t>KROKOM</t>
        </is>
      </c>
      <c r="F917" t="inlineStr">
        <is>
          <t>Övriga statliga verk och myndigheter</t>
        </is>
      </c>
      <c r="G917" t="n">
        <v>2.5</v>
      </c>
      <c r="H917" t="n">
        <v>0</v>
      </c>
      <c r="I917" t="n">
        <v>0</v>
      </c>
      <c r="J917" t="n">
        <v>0</v>
      </c>
      <c r="K917" t="n">
        <v>0</v>
      </c>
      <c r="L917" t="n">
        <v>0</v>
      </c>
      <c r="M917" t="n">
        <v>0</v>
      </c>
      <c r="N917" t="n">
        <v>0</v>
      </c>
      <c r="O917" t="n">
        <v>0</v>
      </c>
      <c r="P917" t="n">
        <v>0</v>
      </c>
      <c r="Q917" t="n">
        <v>0</v>
      </c>
      <c r="R917" s="2" t="inlineStr"/>
    </row>
    <row r="918" ht="15" customHeight="1">
      <c r="A918" t="inlineStr">
        <is>
          <t>A 33925-2025</t>
        </is>
      </c>
      <c r="B918" s="1" t="n">
        <v>45842</v>
      </c>
      <c r="C918" s="1" t="n">
        <v>45913</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5935-2025</t>
        </is>
      </c>
      <c r="B919" s="1" t="n">
        <v>45695.45013888889</v>
      </c>
      <c r="C919" s="1" t="n">
        <v>45913</v>
      </c>
      <c r="D919" t="inlineStr">
        <is>
          <t>JÄMTLANDS LÄN</t>
        </is>
      </c>
      <c r="E919" t="inlineStr">
        <is>
          <t>KROKOM</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39205-2025</t>
        </is>
      </c>
      <c r="B920" s="1" t="n">
        <v>45888.72445601852</v>
      </c>
      <c r="C920" s="1" t="n">
        <v>45913</v>
      </c>
      <c r="D920" t="inlineStr">
        <is>
          <t>JÄMTLANDS LÄN</t>
        </is>
      </c>
      <c r="E920" t="inlineStr">
        <is>
          <t>KROKOM</t>
        </is>
      </c>
      <c r="F920" t="inlineStr">
        <is>
          <t>Kyrkan</t>
        </is>
      </c>
      <c r="G920" t="n">
        <v>20.6</v>
      </c>
      <c r="H920" t="n">
        <v>0</v>
      </c>
      <c r="I920" t="n">
        <v>0</v>
      </c>
      <c r="J920" t="n">
        <v>0</v>
      </c>
      <c r="K920" t="n">
        <v>0</v>
      </c>
      <c r="L920" t="n">
        <v>0</v>
      </c>
      <c r="M920" t="n">
        <v>0</v>
      </c>
      <c r="N920" t="n">
        <v>0</v>
      </c>
      <c r="O920" t="n">
        <v>0</v>
      </c>
      <c r="P920" t="n">
        <v>0</v>
      </c>
      <c r="Q920" t="n">
        <v>0</v>
      </c>
      <c r="R920" s="2" t="inlineStr"/>
    </row>
    <row r="921" ht="15" customHeight="1">
      <c r="A921" t="inlineStr">
        <is>
          <t>A 15876-2025</t>
        </is>
      </c>
      <c r="B921" s="1" t="n">
        <v>45749.38379629629</v>
      </c>
      <c r="C921" s="1" t="n">
        <v>45913</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12188-2024</t>
        </is>
      </c>
      <c r="B922" s="1" t="n">
        <v>45377</v>
      </c>
      <c r="C922" s="1" t="n">
        <v>45913</v>
      </c>
      <c r="D922" t="inlineStr">
        <is>
          <t>JÄMTLANDS LÄN</t>
        </is>
      </c>
      <c r="E922" t="inlineStr">
        <is>
          <t>KROKOM</t>
        </is>
      </c>
      <c r="G922" t="n">
        <v>7.9</v>
      </c>
      <c r="H922" t="n">
        <v>0</v>
      </c>
      <c r="I922" t="n">
        <v>0</v>
      </c>
      <c r="J922" t="n">
        <v>0</v>
      </c>
      <c r="K922" t="n">
        <v>0</v>
      </c>
      <c r="L922" t="n">
        <v>0</v>
      </c>
      <c r="M922" t="n">
        <v>0</v>
      </c>
      <c r="N922" t="n">
        <v>0</v>
      </c>
      <c r="O922" t="n">
        <v>0</v>
      </c>
      <c r="P922" t="n">
        <v>0</v>
      </c>
      <c r="Q922" t="n">
        <v>0</v>
      </c>
      <c r="R922" s="2" t="inlineStr"/>
    </row>
    <row r="923" ht="15" customHeight="1">
      <c r="A923" t="inlineStr">
        <is>
          <t>A 37346-2025</t>
        </is>
      </c>
      <c r="B923" s="1" t="n">
        <v>45876</v>
      </c>
      <c r="C923" s="1" t="n">
        <v>45913</v>
      </c>
      <c r="D923" t="inlineStr">
        <is>
          <t>JÄMTLANDS LÄN</t>
        </is>
      </c>
      <c r="E923" t="inlineStr">
        <is>
          <t>KROKOM</t>
        </is>
      </c>
      <c r="G923" t="n">
        <v>5</v>
      </c>
      <c r="H923" t="n">
        <v>0</v>
      </c>
      <c r="I923" t="n">
        <v>0</v>
      </c>
      <c r="J923" t="n">
        <v>0</v>
      </c>
      <c r="K923" t="n">
        <v>0</v>
      </c>
      <c r="L923" t="n">
        <v>0</v>
      </c>
      <c r="M923" t="n">
        <v>0</v>
      </c>
      <c r="N923" t="n">
        <v>0</v>
      </c>
      <c r="O923" t="n">
        <v>0</v>
      </c>
      <c r="P923" t="n">
        <v>0</v>
      </c>
      <c r="Q923" t="n">
        <v>0</v>
      </c>
      <c r="R923" s="2" t="inlineStr"/>
    </row>
    <row r="924" ht="15" customHeight="1">
      <c r="A924" t="inlineStr">
        <is>
          <t>A 41497-2024</t>
        </is>
      </c>
      <c r="B924" s="1" t="n">
        <v>45560.45841435185</v>
      </c>
      <c r="C924" s="1" t="n">
        <v>45913</v>
      </c>
      <c r="D924" t="inlineStr">
        <is>
          <t>JÄMTLANDS LÄN</t>
        </is>
      </c>
      <c r="E924" t="inlineStr">
        <is>
          <t>KROKOM</t>
        </is>
      </c>
      <c r="F924" t="inlineStr">
        <is>
          <t>Övriga Aktiebolag</t>
        </is>
      </c>
      <c r="G924" t="n">
        <v>2.4</v>
      </c>
      <c r="H924" t="n">
        <v>0</v>
      </c>
      <c r="I924" t="n">
        <v>0</v>
      </c>
      <c r="J924" t="n">
        <v>0</v>
      </c>
      <c r="K924" t="n">
        <v>0</v>
      </c>
      <c r="L924" t="n">
        <v>0</v>
      </c>
      <c r="M924" t="n">
        <v>0</v>
      </c>
      <c r="N924" t="n">
        <v>0</v>
      </c>
      <c r="O924" t="n">
        <v>0</v>
      </c>
      <c r="P924" t="n">
        <v>0</v>
      </c>
      <c r="Q924" t="n">
        <v>0</v>
      </c>
      <c r="R924" s="2" t="inlineStr"/>
    </row>
    <row r="925" ht="15" customHeight="1">
      <c r="A925" t="inlineStr">
        <is>
          <t>A 34701-2025</t>
        </is>
      </c>
      <c r="B925" s="1" t="n">
        <v>45848.48070601852</v>
      </c>
      <c r="C925" s="1" t="n">
        <v>45913</v>
      </c>
      <c r="D925" t="inlineStr">
        <is>
          <t>JÄMTLANDS LÄN</t>
        </is>
      </c>
      <c r="E925" t="inlineStr">
        <is>
          <t>KROKOM</t>
        </is>
      </c>
      <c r="G925" t="n">
        <v>0.5</v>
      </c>
      <c r="H925" t="n">
        <v>0</v>
      </c>
      <c r="I925" t="n">
        <v>0</v>
      </c>
      <c r="J925" t="n">
        <v>0</v>
      </c>
      <c r="K925" t="n">
        <v>0</v>
      </c>
      <c r="L925" t="n">
        <v>0</v>
      </c>
      <c r="M925" t="n">
        <v>0</v>
      </c>
      <c r="N925" t="n">
        <v>0</v>
      </c>
      <c r="O925" t="n">
        <v>0</v>
      </c>
      <c r="P925" t="n">
        <v>0</v>
      </c>
      <c r="Q925" t="n">
        <v>0</v>
      </c>
      <c r="R925" s="2" t="inlineStr"/>
    </row>
    <row r="926" ht="15" customHeight="1">
      <c r="A926" t="inlineStr">
        <is>
          <t>A 60680-2023</t>
        </is>
      </c>
      <c r="B926" s="1" t="n">
        <v>45260</v>
      </c>
      <c r="C926" s="1" t="n">
        <v>45913</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71572-2021</t>
        </is>
      </c>
      <c r="B927" s="1" t="n">
        <v>44540</v>
      </c>
      <c r="C927" s="1" t="n">
        <v>45913</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34698-2025</t>
        </is>
      </c>
      <c r="B928" s="1" t="n">
        <v>45848</v>
      </c>
      <c r="C928" s="1" t="n">
        <v>45913</v>
      </c>
      <c r="D928" t="inlineStr">
        <is>
          <t>JÄMTLANDS LÄN</t>
        </is>
      </c>
      <c r="E928" t="inlineStr">
        <is>
          <t>KROKOM</t>
        </is>
      </c>
      <c r="G928" t="n">
        <v>7.9</v>
      </c>
      <c r="H928" t="n">
        <v>0</v>
      </c>
      <c r="I928" t="n">
        <v>0</v>
      </c>
      <c r="J928" t="n">
        <v>0</v>
      </c>
      <c r="K928" t="n">
        <v>0</v>
      </c>
      <c r="L928" t="n">
        <v>0</v>
      </c>
      <c r="M928" t="n">
        <v>0</v>
      </c>
      <c r="N928" t="n">
        <v>0</v>
      </c>
      <c r="O928" t="n">
        <v>0</v>
      </c>
      <c r="P928" t="n">
        <v>0</v>
      </c>
      <c r="Q928" t="n">
        <v>0</v>
      </c>
      <c r="R928" s="2" t="inlineStr"/>
    </row>
    <row r="929" ht="15" customHeight="1">
      <c r="A929" t="inlineStr">
        <is>
          <t>A 46644-2022</t>
        </is>
      </c>
      <c r="B929" s="1" t="n">
        <v>44849.8044212963</v>
      </c>
      <c r="C929" s="1" t="n">
        <v>45913</v>
      </c>
      <c r="D929" t="inlineStr">
        <is>
          <t>JÄMTLANDS LÄN</t>
        </is>
      </c>
      <c r="E929" t="inlineStr">
        <is>
          <t>KROKOM</t>
        </is>
      </c>
      <c r="G929" t="n">
        <v>4.2</v>
      </c>
      <c r="H929" t="n">
        <v>0</v>
      </c>
      <c r="I929" t="n">
        <v>0</v>
      </c>
      <c r="J929" t="n">
        <v>0</v>
      </c>
      <c r="K929" t="n">
        <v>0</v>
      </c>
      <c r="L929" t="n">
        <v>0</v>
      </c>
      <c r="M929" t="n">
        <v>0</v>
      </c>
      <c r="N929" t="n">
        <v>0</v>
      </c>
      <c r="O929" t="n">
        <v>0</v>
      </c>
      <c r="P929" t="n">
        <v>0</v>
      </c>
      <c r="Q929" t="n">
        <v>0</v>
      </c>
      <c r="R929" s="2" t="inlineStr"/>
    </row>
    <row r="930" ht="15" customHeight="1">
      <c r="A930" t="inlineStr">
        <is>
          <t>A 41439-2024</t>
        </is>
      </c>
      <c r="B930" s="1" t="n">
        <v>45560.38056712963</v>
      </c>
      <c r="C930" s="1" t="n">
        <v>45913</v>
      </c>
      <c r="D930" t="inlineStr">
        <is>
          <t>JÄMTLANDS LÄN</t>
        </is>
      </c>
      <c r="E930" t="inlineStr">
        <is>
          <t>KROKOM</t>
        </is>
      </c>
      <c r="F930" t="inlineStr">
        <is>
          <t>Övriga Aktiebolag</t>
        </is>
      </c>
      <c r="G930" t="n">
        <v>9.1</v>
      </c>
      <c r="H930" t="n">
        <v>0</v>
      </c>
      <c r="I930" t="n">
        <v>0</v>
      </c>
      <c r="J930" t="n">
        <v>0</v>
      </c>
      <c r="K930" t="n">
        <v>0</v>
      </c>
      <c r="L930" t="n">
        <v>0</v>
      </c>
      <c r="M930" t="n">
        <v>0</v>
      </c>
      <c r="N930" t="n">
        <v>0</v>
      </c>
      <c r="O930" t="n">
        <v>0</v>
      </c>
      <c r="P930" t="n">
        <v>0</v>
      </c>
      <c r="Q930" t="n">
        <v>0</v>
      </c>
      <c r="R930" s="2" t="inlineStr"/>
    </row>
    <row r="931" ht="15" customHeight="1">
      <c r="A931" t="inlineStr">
        <is>
          <t>A 34535-2025</t>
        </is>
      </c>
      <c r="B931" s="1" t="n">
        <v>45847.51106481482</v>
      </c>
      <c r="C931" s="1" t="n">
        <v>45913</v>
      </c>
      <c r="D931" t="inlineStr">
        <is>
          <t>JÄMTLANDS LÄN</t>
        </is>
      </c>
      <c r="E931" t="inlineStr">
        <is>
          <t>KROKOM</t>
        </is>
      </c>
      <c r="G931" t="n">
        <v>2</v>
      </c>
      <c r="H931" t="n">
        <v>0</v>
      </c>
      <c r="I931" t="n">
        <v>0</v>
      </c>
      <c r="J931" t="n">
        <v>0</v>
      </c>
      <c r="K931" t="n">
        <v>0</v>
      </c>
      <c r="L931" t="n">
        <v>0</v>
      </c>
      <c r="M931" t="n">
        <v>0</v>
      </c>
      <c r="N931" t="n">
        <v>0</v>
      </c>
      <c r="O931" t="n">
        <v>0</v>
      </c>
      <c r="P931" t="n">
        <v>0</v>
      </c>
      <c r="Q931" t="n">
        <v>0</v>
      </c>
      <c r="R931" s="2" t="inlineStr"/>
    </row>
    <row r="932" ht="15" customHeight="1">
      <c r="A932" t="inlineStr">
        <is>
          <t>A 34608-2025</t>
        </is>
      </c>
      <c r="B932" s="1" t="n">
        <v>45847.65717592592</v>
      </c>
      <c r="C932" s="1" t="n">
        <v>45913</v>
      </c>
      <c r="D932" t="inlineStr">
        <is>
          <t>JÄMTLANDS LÄN</t>
        </is>
      </c>
      <c r="E932" t="inlineStr">
        <is>
          <t>KROKOM</t>
        </is>
      </c>
      <c r="F932" t="inlineStr">
        <is>
          <t>SCA</t>
        </is>
      </c>
      <c r="G932" t="n">
        <v>7.6</v>
      </c>
      <c r="H932" t="n">
        <v>0</v>
      </c>
      <c r="I932" t="n">
        <v>0</v>
      </c>
      <c r="J932" t="n">
        <v>0</v>
      </c>
      <c r="K932" t="n">
        <v>0</v>
      </c>
      <c r="L932" t="n">
        <v>0</v>
      </c>
      <c r="M932" t="n">
        <v>0</v>
      </c>
      <c r="N932" t="n">
        <v>0</v>
      </c>
      <c r="O932" t="n">
        <v>0</v>
      </c>
      <c r="P932" t="n">
        <v>0</v>
      </c>
      <c r="Q932" t="n">
        <v>0</v>
      </c>
      <c r="R932" s="2" t="inlineStr"/>
    </row>
    <row r="933" ht="15" customHeight="1">
      <c r="A933" t="inlineStr">
        <is>
          <t>A 39271-2025</t>
        </is>
      </c>
      <c r="B933" s="1" t="n">
        <v>45889.38626157407</v>
      </c>
      <c r="C933" s="1" t="n">
        <v>45913</v>
      </c>
      <c r="D933" t="inlineStr">
        <is>
          <t>JÄMTLANDS LÄN</t>
        </is>
      </c>
      <c r="E933" t="inlineStr">
        <is>
          <t>KROKOM</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4369-2025</t>
        </is>
      </c>
      <c r="B934" s="1" t="n">
        <v>45686.35247685185</v>
      </c>
      <c r="C934" s="1" t="n">
        <v>45913</v>
      </c>
      <c r="D934" t="inlineStr">
        <is>
          <t>JÄMTLANDS LÄN</t>
        </is>
      </c>
      <c r="E934" t="inlineStr">
        <is>
          <t>KROKOM</t>
        </is>
      </c>
      <c r="F934" t="inlineStr">
        <is>
          <t>SCA</t>
        </is>
      </c>
      <c r="G934" t="n">
        <v>45.4</v>
      </c>
      <c r="H934" t="n">
        <v>0</v>
      </c>
      <c r="I934" t="n">
        <v>0</v>
      </c>
      <c r="J934" t="n">
        <v>0</v>
      </c>
      <c r="K934" t="n">
        <v>0</v>
      </c>
      <c r="L934" t="n">
        <v>0</v>
      </c>
      <c r="M934" t="n">
        <v>0</v>
      </c>
      <c r="N934" t="n">
        <v>0</v>
      </c>
      <c r="O934" t="n">
        <v>0</v>
      </c>
      <c r="P934" t="n">
        <v>0</v>
      </c>
      <c r="Q934" t="n">
        <v>0</v>
      </c>
      <c r="R934" s="2" t="inlineStr"/>
    </row>
    <row r="935" ht="15" customHeight="1">
      <c r="A935" t="inlineStr">
        <is>
          <t>A 39265-2025</t>
        </is>
      </c>
      <c r="B935" s="1" t="n">
        <v>45889.37520833333</v>
      </c>
      <c r="C935" s="1" t="n">
        <v>45913</v>
      </c>
      <c r="D935" t="inlineStr">
        <is>
          <t>JÄMTLANDS LÄN</t>
        </is>
      </c>
      <c r="E935" t="inlineStr">
        <is>
          <t>KROKOM</t>
        </is>
      </c>
      <c r="F935" t="inlineStr">
        <is>
          <t>Övriga Aktiebolag</t>
        </is>
      </c>
      <c r="G935" t="n">
        <v>3.9</v>
      </c>
      <c r="H935" t="n">
        <v>0</v>
      </c>
      <c r="I935" t="n">
        <v>0</v>
      </c>
      <c r="J935" t="n">
        <v>0</v>
      </c>
      <c r="K935" t="n">
        <v>0</v>
      </c>
      <c r="L935" t="n">
        <v>0</v>
      </c>
      <c r="M935" t="n">
        <v>0</v>
      </c>
      <c r="N935" t="n">
        <v>0</v>
      </c>
      <c r="O935" t="n">
        <v>0</v>
      </c>
      <c r="P935" t="n">
        <v>0</v>
      </c>
      <c r="Q935" t="n">
        <v>0</v>
      </c>
      <c r="R935" s="2" t="inlineStr"/>
    </row>
    <row r="936" ht="15" customHeight="1">
      <c r="A936" t="inlineStr">
        <is>
          <t>A 34516-2025</t>
        </is>
      </c>
      <c r="B936" s="1" t="n">
        <v>45847.46462962963</v>
      </c>
      <c r="C936" s="1" t="n">
        <v>45913</v>
      </c>
      <c r="D936" t="inlineStr">
        <is>
          <t>JÄMTLANDS LÄN</t>
        </is>
      </c>
      <c r="E936" t="inlineStr">
        <is>
          <t>KROKOM</t>
        </is>
      </c>
      <c r="G936" t="n">
        <v>4</v>
      </c>
      <c r="H936" t="n">
        <v>0</v>
      </c>
      <c r="I936" t="n">
        <v>0</v>
      </c>
      <c r="J936" t="n">
        <v>0</v>
      </c>
      <c r="K936" t="n">
        <v>0</v>
      </c>
      <c r="L936" t="n">
        <v>0</v>
      </c>
      <c r="M936" t="n">
        <v>0</v>
      </c>
      <c r="N936" t="n">
        <v>0</v>
      </c>
      <c r="O936" t="n">
        <v>0</v>
      </c>
      <c r="P936" t="n">
        <v>0</v>
      </c>
      <c r="Q936" t="n">
        <v>0</v>
      </c>
      <c r="R936" s="2" t="inlineStr"/>
    </row>
    <row r="937" ht="15" customHeight="1">
      <c r="A937" t="inlineStr">
        <is>
          <t>A 34737-2025</t>
        </is>
      </c>
      <c r="B937" s="1" t="n">
        <v>45848.60371527778</v>
      </c>
      <c r="C937" s="1" t="n">
        <v>45913</v>
      </c>
      <c r="D937" t="inlineStr">
        <is>
          <t>JÄMTLANDS LÄN</t>
        </is>
      </c>
      <c r="E937" t="inlineStr">
        <is>
          <t>KROKOM</t>
        </is>
      </c>
      <c r="G937" t="n">
        <v>7.5</v>
      </c>
      <c r="H937" t="n">
        <v>0</v>
      </c>
      <c r="I937" t="n">
        <v>0</v>
      </c>
      <c r="J937" t="n">
        <v>0</v>
      </c>
      <c r="K937" t="n">
        <v>0</v>
      </c>
      <c r="L937" t="n">
        <v>0</v>
      </c>
      <c r="M937" t="n">
        <v>0</v>
      </c>
      <c r="N937" t="n">
        <v>0</v>
      </c>
      <c r="O937" t="n">
        <v>0</v>
      </c>
      <c r="P937" t="n">
        <v>0</v>
      </c>
      <c r="Q937" t="n">
        <v>0</v>
      </c>
      <c r="R937" s="2" t="inlineStr"/>
    </row>
    <row r="938" ht="15" customHeight="1">
      <c r="A938" t="inlineStr">
        <is>
          <t>A 18826-2023</t>
        </is>
      </c>
      <c r="B938" s="1" t="n">
        <v>45042</v>
      </c>
      <c r="C938" s="1" t="n">
        <v>45913</v>
      </c>
      <c r="D938" t="inlineStr">
        <is>
          <t>JÄMTLANDS LÄN</t>
        </is>
      </c>
      <c r="E938" t="inlineStr">
        <is>
          <t>KROKOM</t>
        </is>
      </c>
      <c r="G938" t="n">
        <v>17.1</v>
      </c>
      <c r="H938" t="n">
        <v>0</v>
      </c>
      <c r="I938" t="n">
        <v>0</v>
      </c>
      <c r="J938" t="n">
        <v>0</v>
      </c>
      <c r="K938" t="n">
        <v>0</v>
      </c>
      <c r="L938" t="n">
        <v>0</v>
      </c>
      <c r="M938" t="n">
        <v>0</v>
      </c>
      <c r="N938" t="n">
        <v>0</v>
      </c>
      <c r="O938" t="n">
        <v>0</v>
      </c>
      <c r="P938" t="n">
        <v>0</v>
      </c>
      <c r="Q938" t="n">
        <v>0</v>
      </c>
      <c r="R938" s="2" t="inlineStr"/>
    </row>
    <row r="939" ht="15" customHeight="1">
      <c r="A939" t="inlineStr">
        <is>
          <t>A 34872-2025</t>
        </is>
      </c>
      <c r="B939" s="1" t="n">
        <v>45849.4525462963</v>
      </c>
      <c r="C939" s="1" t="n">
        <v>45913</v>
      </c>
      <c r="D939" t="inlineStr">
        <is>
          <t>JÄMTLANDS LÄN</t>
        </is>
      </c>
      <c r="E939" t="inlineStr">
        <is>
          <t>KROKOM</t>
        </is>
      </c>
      <c r="G939" t="n">
        <v>1.9</v>
      </c>
      <c r="H939" t="n">
        <v>0</v>
      </c>
      <c r="I939" t="n">
        <v>0</v>
      </c>
      <c r="J939" t="n">
        <v>0</v>
      </c>
      <c r="K939" t="n">
        <v>0</v>
      </c>
      <c r="L939" t="n">
        <v>0</v>
      </c>
      <c r="M939" t="n">
        <v>0</v>
      </c>
      <c r="N939" t="n">
        <v>0</v>
      </c>
      <c r="O939" t="n">
        <v>0</v>
      </c>
      <c r="P939" t="n">
        <v>0</v>
      </c>
      <c r="Q939" t="n">
        <v>0</v>
      </c>
      <c r="R939" s="2" t="inlineStr"/>
    </row>
    <row r="940" ht="15" customHeight="1">
      <c r="A940" t="inlineStr">
        <is>
          <t>A 884-2021</t>
        </is>
      </c>
      <c r="B940" s="1" t="n">
        <v>44206</v>
      </c>
      <c r="C940" s="1" t="n">
        <v>45913</v>
      </c>
      <c r="D940" t="inlineStr">
        <is>
          <t>JÄMTLANDS LÄN</t>
        </is>
      </c>
      <c r="E940" t="inlineStr">
        <is>
          <t>KROKOM</t>
        </is>
      </c>
      <c r="G940" t="n">
        <v>0.2</v>
      </c>
      <c r="H940" t="n">
        <v>0</v>
      </c>
      <c r="I940" t="n">
        <v>0</v>
      </c>
      <c r="J940" t="n">
        <v>0</v>
      </c>
      <c r="K940" t="n">
        <v>0</v>
      </c>
      <c r="L940" t="n">
        <v>0</v>
      </c>
      <c r="M940" t="n">
        <v>0</v>
      </c>
      <c r="N940" t="n">
        <v>0</v>
      </c>
      <c r="O940" t="n">
        <v>0</v>
      </c>
      <c r="P940" t="n">
        <v>0</v>
      </c>
      <c r="Q940" t="n">
        <v>0</v>
      </c>
      <c r="R940" s="2" t="inlineStr"/>
    </row>
    <row r="941" ht="15" customHeight="1">
      <c r="A941" t="inlineStr">
        <is>
          <t>A 34829-2025</t>
        </is>
      </c>
      <c r="B941" s="1" t="n">
        <v>45849.3859837963</v>
      </c>
      <c r="C941" s="1" t="n">
        <v>45913</v>
      </c>
      <c r="D941" t="inlineStr">
        <is>
          <t>JÄMTLANDS LÄN</t>
        </is>
      </c>
      <c r="E941" t="inlineStr">
        <is>
          <t>KROKOM</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30728-2022</t>
        </is>
      </c>
      <c r="B942" s="1" t="n">
        <v>44764</v>
      </c>
      <c r="C942" s="1" t="n">
        <v>45913</v>
      </c>
      <c r="D942" t="inlineStr">
        <is>
          <t>JÄMTLANDS LÄN</t>
        </is>
      </c>
      <c r="E942" t="inlineStr">
        <is>
          <t>KROKOM</t>
        </is>
      </c>
      <c r="G942" t="n">
        <v>6.4</v>
      </c>
      <c r="H942" t="n">
        <v>0</v>
      </c>
      <c r="I942" t="n">
        <v>0</v>
      </c>
      <c r="J942" t="n">
        <v>0</v>
      </c>
      <c r="K942" t="n">
        <v>0</v>
      </c>
      <c r="L942" t="n">
        <v>0</v>
      </c>
      <c r="M942" t="n">
        <v>0</v>
      </c>
      <c r="N942" t="n">
        <v>0</v>
      </c>
      <c r="O942" t="n">
        <v>0</v>
      </c>
      <c r="P942" t="n">
        <v>0</v>
      </c>
      <c r="Q942" t="n">
        <v>0</v>
      </c>
      <c r="R942" s="2" t="inlineStr"/>
    </row>
    <row r="943" ht="15" customHeight="1">
      <c r="A943" t="inlineStr">
        <is>
          <t>A 30729-2022</t>
        </is>
      </c>
      <c r="B943" s="1" t="n">
        <v>44764</v>
      </c>
      <c r="C943" s="1" t="n">
        <v>45913</v>
      </c>
      <c r="D943" t="inlineStr">
        <is>
          <t>JÄMTLANDS LÄN</t>
        </is>
      </c>
      <c r="E943" t="inlineStr">
        <is>
          <t>KROKOM</t>
        </is>
      </c>
      <c r="G943" t="n">
        <v>2.5</v>
      </c>
      <c r="H943" t="n">
        <v>0</v>
      </c>
      <c r="I943" t="n">
        <v>0</v>
      </c>
      <c r="J943" t="n">
        <v>0</v>
      </c>
      <c r="K943" t="n">
        <v>0</v>
      </c>
      <c r="L943" t="n">
        <v>0</v>
      </c>
      <c r="M943" t="n">
        <v>0</v>
      </c>
      <c r="N943" t="n">
        <v>0</v>
      </c>
      <c r="O943" t="n">
        <v>0</v>
      </c>
      <c r="P943" t="n">
        <v>0</v>
      </c>
      <c r="Q943" t="n">
        <v>0</v>
      </c>
      <c r="R943" s="2" t="inlineStr"/>
    </row>
    <row r="944" ht="15" customHeight="1">
      <c r="A944" t="inlineStr">
        <is>
          <t>A 57459-2024</t>
        </is>
      </c>
      <c r="B944" s="1" t="n">
        <v>45630</v>
      </c>
      <c r="C944" s="1" t="n">
        <v>45913</v>
      </c>
      <c r="D944" t="inlineStr">
        <is>
          <t>JÄMTLANDS LÄN</t>
        </is>
      </c>
      <c r="E944" t="inlineStr">
        <is>
          <t>KROKOM</t>
        </is>
      </c>
      <c r="G944" t="n">
        <v>19.2</v>
      </c>
      <c r="H944" t="n">
        <v>0</v>
      </c>
      <c r="I944" t="n">
        <v>0</v>
      </c>
      <c r="J944" t="n">
        <v>0</v>
      </c>
      <c r="K944" t="n">
        <v>0</v>
      </c>
      <c r="L944" t="n">
        <v>0</v>
      </c>
      <c r="M944" t="n">
        <v>0</v>
      </c>
      <c r="N944" t="n">
        <v>0</v>
      </c>
      <c r="O944" t="n">
        <v>0</v>
      </c>
      <c r="P944" t="n">
        <v>0</v>
      </c>
      <c r="Q944" t="n">
        <v>0</v>
      </c>
      <c r="R944" s="2" t="inlineStr"/>
    </row>
    <row r="945" ht="15" customHeight="1">
      <c r="A945" t="inlineStr">
        <is>
          <t>A 53771-2022</t>
        </is>
      </c>
      <c r="B945" s="1" t="n">
        <v>44875</v>
      </c>
      <c r="C945" s="1" t="n">
        <v>45913</v>
      </c>
      <c r="D945" t="inlineStr">
        <is>
          <t>JÄMTLANDS LÄN</t>
        </is>
      </c>
      <c r="E945" t="inlineStr">
        <is>
          <t>KROKOM</t>
        </is>
      </c>
      <c r="G945" t="n">
        <v>8.1</v>
      </c>
      <c r="H945" t="n">
        <v>0</v>
      </c>
      <c r="I945" t="n">
        <v>0</v>
      </c>
      <c r="J945" t="n">
        <v>0</v>
      </c>
      <c r="K945" t="n">
        <v>0</v>
      </c>
      <c r="L945" t="n">
        <v>0</v>
      </c>
      <c r="M945" t="n">
        <v>0</v>
      </c>
      <c r="N945" t="n">
        <v>0</v>
      </c>
      <c r="O945" t="n">
        <v>0</v>
      </c>
      <c r="P945" t="n">
        <v>0</v>
      </c>
      <c r="Q945" t="n">
        <v>0</v>
      </c>
      <c r="R945" s="2" t="inlineStr"/>
    </row>
    <row r="946" ht="15" customHeight="1">
      <c r="A946" t="inlineStr">
        <is>
          <t>A 7630-2023</t>
        </is>
      </c>
      <c r="B946" s="1" t="n">
        <v>44972.55690972223</v>
      </c>
      <c r="C946" s="1" t="n">
        <v>45913</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40180-2025</t>
        </is>
      </c>
      <c r="B947" s="1" t="n">
        <v>45894.63693287037</v>
      </c>
      <c r="C947" s="1" t="n">
        <v>45913</v>
      </c>
      <c r="D947" t="inlineStr">
        <is>
          <t>JÄMTLANDS LÄN</t>
        </is>
      </c>
      <c r="E947" t="inlineStr">
        <is>
          <t>KROKOM</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2062-2021</t>
        </is>
      </c>
      <c r="B948" s="1" t="n">
        <v>44211</v>
      </c>
      <c r="C948" s="1" t="n">
        <v>45913</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27899-2025</t>
        </is>
      </c>
      <c r="B949" s="1" t="n">
        <v>45817</v>
      </c>
      <c r="C949" s="1" t="n">
        <v>45913</v>
      </c>
      <c r="D949" t="inlineStr">
        <is>
          <t>JÄMTLANDS LÄN</t>
        </is>
      </c>
      <c r="E949" t="inlineStr">
        <is>
          <t>KROKOM</t>
        </is>
      </c>
      <c r="G949" t="n">
        <v>16.4</v>
      </c>
      <c r="H949" t="n">
        <v>0</v>
      </c>
      <c r="I949" t="n">
        <v>0</v>
      </c>
      <c r="J949" t="n">
        <v>0</v>
      </c>
      <c r="K949" t="n">
        <v>0</v>
      </c>
      <c r="L949" t="n">
        <v>0</v>
      </c>
      <c r="M949" t="n">
        <v>0</v>
      </c>
      <c r="N949" t="n">
        <v>0</v>
      </c>
      <c r="O949" t="n">
        <v>0</v>
      </c>
      <c r="P949" t="n">
        <v>0</v>
      </c>
      <c r="Q949" t="n">
        <v>0</v>
      </c>
      <c r="R949" s="2" t="inlineStr"/>
    </row>
    <row r="950" ht="15" customHeight="1">
      <c r="A950" t="inlineStr">
        <is>
          <t>A 26414-2024</t>
        </is>
      </c>
      <c r="B950" s="1" t="n">
        <v>45469</v>
      </c>
      <c r="C950" s="1" t="n">
        <v>45913</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40283-2025</t>
        </is>
      </c>
      <c r="B951" s="1" t="n">
        <v>45895.36994212963</v>
      </c>
      <c r="C951" s="1" t="n">
        <v>45913</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45913</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35354-2025</t>
        </is>
      </c>
      <c r="B953" s="1" t="n">
        <v>45854.65378472222</v>
      </c>
      <c r="C953" s="1" t="n">
        <v>45913</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40394-2024</t>
        </is>
      </c>
      <c r="B954" s="1" t="n">
        <v>45555.43584490741</v>
      </c>
      <c r="C954" s="1" t="n">
        <v>45913</v>
      </c>
      <c r="D954" t="inlineStr">
        <is>
          <t>JÄMTLANDS LÄN</t>
        </is>
      </c>
      <c r="E954" t="inlineStr">
        <is>
          <t>KROKOM</t>
        </is>
      </c>
      <c r="G954" t="n">
        <v>4</v>
      </c>
      <c r="H954" t="n">
        <v>0</v>
      </c>
      <c r="I954" t="n">
        <v>0</v>
      </c>
      <c r="J954" t="n">
        <v>0</v>
      </c>
      <c r="K954" t="n">
        <v>0</v>
      </c>
      <c r="L954" t="n">
        <v>0</v>
      </c>
      <c r="M954" t="n">
        <v>0</v>
      </c>
      <c r="N954" t="n">
        <v>0</v>
      </c>
      <c r="O954" t="n">
        <v>0</v>
      </c>
      <c r="P954" t="n">
        <v>0</v>
      </c>
      <c r="Q954" t="n">
        <v>0</v>
      </c>
      <c r="R954" s="2" t="inlineStr"/>
    </row>
    <row r="955" ht="15" customHeight="1">
      <c r="A955" t="inlineStr">
        <is>
          <t>A 35238-2025</t>
        </is>
      </c>
      <c r="B955" s="1" t="n">
        <v>45853.6156712963</v>
      </c>
      <c r="C955" s="1" t="n">
        <v>45913</v>
      </c>
      <c r="D955" t="inlineStr">
        <is>
          <t>JÄMTLANDS LÄN</t>
        </is>
      </c>
      <c r="E955" t="inlineStr">
        <is>
          <t>KROKOM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29379-2024</t>
        </is>
      </c>
      <c r="B956" s="1" t="n">
        <v>45483</v>
      </c>
      <c r="C956" s="1" t="n">
        <v>45913</v>
      </c>
      <c r="D956" t="inlineStr">
        <is>
          <t>JÄMTLANDS LÄN</t>
        </is>
      </c>
      <c r="E956" t="inlineStr">
        <is>
          <t>KROKOM</t>
        </is>
      </c>
      <c r="G956" t="n">
        <v>2.6</v>
      </c>
      <c r="H956" t="n">
        <v>0</v>
      </c>
      <c r="I956" t="n">
        <v>0</v>
      </c>
      <c r="J956" t="n">
        <v>0</v>
      </c>
      <c r="K956" t="n">
        <v>0</v>
      </c>
      <c r="L956" t="n">
        <v>0</v>
      </c>
      <c r="M956" t="n">
        <v>0</v>
      </c>
      <c r="N956" t="n">
        <v>0</v>
      </c>
      <c r="O956" t="n">
        <v>0</v>
      </c>
      <c r="P956" t="n">
        <v>0</v>
      </c>
      <c r="Q956" t="n">
        <v>0</v>
      </c>
      <c r="R956" s="2" t="inlineStr"/>
    </row>
    <row r="957" ht="15" customHeight="1">
      <c r="A957" t="inlineStr">
        <is>
          <t>A 35359-2025</t>
        </is>
      </c>
      <c r="B957" s="1" t="n">
        <v>45854.66518518519</v>
      </c>
      <c r="C957" s="1" t="n">
        <v>45913</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11056-2025</t>
        </is>
      </c>
      <c r="B958" s="1" t="n">
        <v>45723.50841435185</v>
      </c>
      <c r="C958" s="1" t="n">
        <v>45913</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35460-2025</t>
        </is>
      </c>
      <c r="B959" s="1" t="n">
        <v>45855.61193287037</v>
      </c>
      <c r="C959" s="1" t="n">
        <v>45913</v>
      </c>
      <c r="D959" t="inlineStr">
        <is>
          <t>JÄMTLANDS LÄN</t>
        </is>
      </c>
      <c r="E959" t="inlineStr">
        <is>
          <t>KROKOM</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40806-2025</t>
        </is>
      </c>
      <c r="B960" s="1" t="n">
        <v>45897.46832175926</v>
      </c>
      <c r="C960" s="1" t="n">
        <v>45913</v>
      </c>
      <c r="D960" t="inlineStr">
        <is>
          <t>JÄMTLANDS LÄN</t>
        </is>
      </c>
      <c r="E960" t="inlineStr">
        <is>
          <t>KROKOM</t>
        </is>
      </c>
      <c r="G960" t="n">
        <v>3.6</v>
      </c>
      <c r="H960" t="n">
        <v>0</v>
      </c>
      <c r="I960" t="n">
        <v>0</v>
      </c>
      <c r="J960" t="n">
        <v>0</v>
      </c>
      <c r="K960" t="n">
        <v>0</v>
      </c>
      <c r="L960" t="n">
        <v>0</v>
      </c>
      <c r="M960" t="n">
        <v>0</v>
      </c>
      <c r="N960" t="n">
        <v>0</v>
      </c>
      <c r="O960" t="n">
        <v>0</v>
      </c>
      <c r="P960" t="n">
        <v>0</v>
      </c>
      <c r="Q960" t="n">
        <v>0</v>
      </c>
      <c r="R960" s="2" t="inlineStr"/>
    </row>
    <row r="961" ht="15" customHeight="1">
      <c r="A961" t="inlineStr">
        <is>
          <t>A 50270-2023</t>
        </is>
      </c>
      <c r="B961" s="1" t="n">
        <v>45216.3965625</v>
      </c>
      <c r="C961" s="1" t="n">
        <v>45913</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57514-2023</t>
        </is>
      </c>
      <c r="B962" s="1" t="n">
        <v>45246</v>
      </c>
      <c r="C962" s="1" t="n">
        <v>45913</v>
      </c>
      <c r="D962" t="inlineStr">
        <is>
          <t>JÄMTLANDS LÄN</t>
        </is>
      </c>
      <c r="E962" t="inlineStr">
        <is>
          <t>KROKOM</t>
        </is>
      </c>
      <c r="G962" t="n">
        <v>5.2</v>
      </c>
      <c r="H962" t="n">
        <v>0</v>
      </c>
      <c r="I962" t="n">
        <v>0</v>
      </c>
      <c r="J962" t="n">
        <v>0</v>
      </c>
      <c r="K962" t="n">
        <v>0</v>
      </c>
      <c r="L962" t="n">
        <v>0</v>
      </c>
      <c r="M962" t="n">
        <v>0</v>
      </c>
      <c r="N962" t="n">
        <v>0</v>
      </c>
      <c r="O962" t="n">
        <v>0</v>
      </c>
      <c r="P962" t="n">
        <v>0</v>
      </c>
      <c r="Q962" t="n">
        <v>0</v>
      </c>
      <c r="R962" s="2" t="inlineStr"/>
    </row>
    <row r="963" ht="15" customHeight="1">
      <c r="A963" t="inlineStr">
        <is>
          <t>A 65236-2023</t>
        </is>
      </c>
      <c r="B963" s="1" t="n">
        <v>45289</v>
      </c>
      <c r="C963" s="1" t="n">
        <v>45913</v>
      </c>
      <c r="D963" t="inlineStr">
        <is>
          <t>JÄMTLANDS LÄN</t>
        </is>
      </c>
      <c r="E963" t="inlineStr">
        <is>
          <t>KROKOM</t>
        </is>
      </c>
      <c r="G963" t="n">
        <v>0.1</v>
      </c>
      <c r="H963" t="n">
        <v>0</v>
      </c>
      <c r="I963" t="n">
        <v>0</v>
      </c>
      <c r="J963" t="n">
        <v>0</v>
      </c>
      <c r="K963" t="n">
        <v>0</v>
      </c>
      <c r="L963" t="n">
        <v>0</v>
      </c>
      <c r="M963" t="n">
        <v>0</v>
      </c>
      <c r="N963" t="n">
        <v>0</v>
      </c>
      <c r="O963" t="n">
        <v>0</v>
      </c>
      <c r="P963" t="n">
        <v>0</v>
      </c>
      <c r="Q963" t="n">
        <v>0</v>
      </c>
      <c r="R963" s="2" t="inlineStr"/>
    </row>
    <row r="964" ht="15" customHeight="1">
      <c r="A964" t="inlineStr">
        <is>
          <t>A 12471-2024</t>
        </is>
      </c>
      <c r="B964" s="1" t="n">
        <v>45378</v>
      </c>
      <c r="C964" s="1" t="n">
        <v>45913</v>
      </c>
      <c r="D964" t="inlineStr">
        <is>
          <t>JÄMTLANDS LÄN</t>
        </is>
      </c>
      <c r="E964" t="inlineStr">
        <is>
          <t>KROKOM</t>
        </is>
      </c>
      <c r="G964" t="n">
        <v>20.2</v>
      </c>
      <c r="H964" t="n">
        <v>0</v>
      </c>
      <c r="I964" t="n">
        <v>0</v>
      </c>
      <c r="J964" t="n">
        <v>0</v>
      </c>
      <c r="K964" t="n">
        <v>0</v>
      </c>
      <c r="L964" t="n">
        <v>0</v>
      </c>
      <c r="M964" t="n">
        <v>0</v>
      </c>
      <c r="N964" t="n">
        <v>0</v>
      </c>
      <c r="O964" t="n">
        <v>0</v>
      </c>
      <c r="P964" t="n">
        <v>0</v>
      </c>
      <c r="Q964" t="n">
        <v>0</v>
      </c>
      <c r="R964" s="2" t="inlineStr"/>
    </row>
    <row r="965" ht="15" customHeight="1">
      <c r="A965" t="inlineStr">
        <is>
          <t>A 53055-2023</t>
        </is>
      </c>
      <c r="B965" s="1" t="n">
        <v>45226</v>
      </c>
      <c r="C965" s="1" t="n">
        <v>45913</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59778-2020</t>
        </is>
      </c>
      <c r="B966" s="1" t="n">
        <v>44148</v>
      </c>
      <c r="C966" s="1" t="n">
        <v>45913</v>
      </c>
      <c r="D966" t="inlineStr">
        <is>
          <t>JÄMTLANDS LÄN</t>
        </is>
      </c>
      <c r="E966" t="inlineStr">
        <is>
          <t>KROKOM</t>
        </is>
      </c>
      <c r="G966" t="n">
        <v>39.3</v>
      </c>
      <c r="H966" t="n">
        <v>0</v>
      </c>
      <c r="I966" t="n">
        <v>0</v>
      </c>
      <c r="J966" t="n">
        <v>0</v>
      </c>
      <c r="K966" t="n">
        <v>0</v>
      </c>
      <c r="L966" t="n">
        <v>0</v>
      </c>
      <c r="M966" t="n">
        <v>0</v>
      </c>
      <c r="N966" t="n">
        <v>0</v>
      </c>
      <c r="O966" t="n">
        <v>0</v>
      </c>
      <c r="P966" t="n">
        <v>0</v>
      </c>
      <c r="Q966" t="n">
        <v>0</v>
      </c>
      <c r="R966" s="2" t="inlineStr"/>
    </row>
    <row r="967" ht="15" customHeight="1">
      <c r="A967" t="inlineStr">
        <is>
          <t>A 41971-2024</t>
        </is>
      </c>
      <c r="B967" s="1" t="n">
        <v>45561.61509259259</v>
      </c>
      <c r="C967" s="1" t="n">
        <v>45913</v>
      </c>
      <c r="D967" t="inlineStr">
        <is>
          <t>JÄMTLANDS LÄN</t>
        </is>
      </c>
      <c r="E967" t="inlineStr">
        <is>
          <t>KROKOM</t>
        </is>
      </c>
      <c r="G967" t="n">
        <v>5.5</v>
      </c>
      <c r="H967" t="n">
        <v>0</v>
      </c>
      <c r="I967" t="n">
        <v>0</v>
      </c>
      <c r="J967" t="n">
        <v>0</v>
      </c>
      <c r="K967" t="n">
        <v>0</v>
      </c>
      <c r="L967" t="n">
        <v>0</v>
      </c>
      <c r="M967" t="n">
        <v>0</v>
      </c>
      <c r="N967" t="n">
        <v>0</v>
      </c>
      <c r="O967" t="n">
        <v>0</v>
      </c>
      <c r="P967" t="n">
        <v>0</v>
      </c>
      <c r="Q967" t="n">
        <v>0</v>
      </c>
      <c r="R967" s="2" t="inlineStr"/>
    </row>
    <row r="968" ht="15" customHeight="1">
      <c r="A968" t="inlineStr">
        <is>
          <t>A 41290-2025</t>
        </is>
      </c>
      <c r="B968" s="1" t="n">
        <v>45898.64267361111</v>
      </c>
      <c r="C968" s="1" t="n">
        <v>45913</v>
      </c>
      <c r="D968" t="inlineStr">
        <is>
          <t>JÄMTLANDS LÄN</t>
        </is>
      </c>
      <c r="E968" t="inlineStr">
        <is>
          <t>KROKOM</t>
        </is>
      </c>
      <c r="G968" t="n">
        <v>17.1</v>
      </c>
      <c r="H968" t="n">
        <v>0</v>
      </c>
      <c r="I968" t="n">
        <v>0</v>
      </c>
      <c r="J968" t="n">
        <v>0</v>
      </c>
      <c r="K968" t="n">
        <v>0</v>
      </c>
      <c r="L968" t="n">
        <v>0</v>
      </c>
      <c r="M968" t="n">
        <v>0</v>
      </c>
      <c r="N968" t="n">
        <v>0</v>
      </c>
      <c r="O968" t="n">
        <v>0</v>
      </c>
      <c r="P968" t="n">
        <v>0</v>
      </c>
      <c r="Q968" t="n">
        <v>0</v>
      </c>
      <c r="R968" s="2" t="inlineStr"/>
    </row>
    <row r="969" ht="15" customHeight="1">
      <c r="A969" t="inlineStr">
        <is>
          <t>A 40796-2025</t>
        </is>
      </c>
      <c r="B969" s="1" t="n">
        <v>45897.44951388889</v>
      </c>
      <c r="C969" s="1" t="n">
        <v>45913</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40800-2025</t>
        </is>
      </c>
      <c r="B970" s="1" t="n">
        <v>45897.45311342592</v>
      </c>
      <c r="C970" s="1" t="n">
        <v>45913</v>
      </c>
      <c r="D970" t="inlineStr">
        <is>
          <t>JÄMTLANDS LÄN</t>
        </is>
      </c>
      <c r="E970" t="inlineStr">
        <is>
          <t>KROKOM</t>
        </is>
      </c>
      <c r="G970" t="n">
        <v>5.8</v>
      </c>
      <c r="H970" t="n">
        <v>0</v>
      </c>
      <c r="I970" t="n">
        <v>0</v>
      </c>
      <c r="J970" t="n">
        <v>0</v>
      </c>
      <c r="K970" t="n">
        <v>0</v>
      </c>
      <c r="L970" t="n">
        <v>0</v>
      </c>
      <c r="M970" t="n">
        <v>0</v>
      </c>
      <c r="N970" t="n">
        <v>0</v>
      </c>
      <c r="O970" t="n">
        <v>0</v>
      </c>
      <c r="P970" t="n">
        <v>0</v>
      </c>
      <c r="Q970" t="n">
        <v>0</v>
      </c>
      <c r="R970" s="2" t="inlineStr"/>
    </row>
    <row r="971" ht="15" customHeight="1">
      <c r="A971" t="inlineStr">
        <is>
          <t>A 40822-2025</t>
        </is>
      </c>
      <c r="B971" s="1" t="n">
        <v>45897.49424768519</v>
      </c>
      <c r="C971" s="1" t="n">
        <v>45913</v>
      </c>
      <c r="D971" t="inlineStr">
        <is>
          <t>JÄMTLANDS LÄN</t>
        </is>
      </c>
      <c r="E971" t="inlineStr">
        <is>
          <t>KROKOM</t>
        </is>
      </c>
      <c r="G971" t="n">
        <v>3.8</v>
      </c>
      <c r="H971" t="n">
        <v>0</v>
      </c>
      <c r="I971" t="n">
        <v>0</v>
      </c>
      <c r="J971" t="n">
        <v>0</v>
      </c>
      <c r="K971" t="n">
        <v>0</v>
      </c>
      <c r="L971" t="n">
        <v>0</v>
      </c>
      <c r="M971" t="n">
        <v>0</v>
      </c>
      <c r="N971" t="n">
        <v>0</v>
      </c>
      <c r="O971" t="n">
        <v>0</v>
      </c>
      <c r="P971" t="n">
        <v>0</v>
      </c>
      <c r="Q971" t="n">
        <v>0</v>
      </c>
      <c r="R971" s="2" t="inlineStr"/>
    </row>
    <row r="972" ht="15" customHeight="1">
      <c r="A972" t="inlineStr">
        <is>
          <t>A 17591-2023</t>
        </is>
      </c>
      <c r="B972" s="1" t="n">
        <v>45036</v>
      </c>
      <c r="C972" s="1" t="n">
        <v>45913</v>
      </c>
      <c r="D972" t="inlineStr">
        <is>
          <t>JÄMTLANDS LÄN</t>
        </is>
      </c>
      <c r="E972" t="inlineStr">
        <is>
          <t>KROKOM</t>
        </is>
      </c>
      <c r="G972" t="n">
        <v>8.4</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45913</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50951-2024</t>
        </is>
      </c>
      <c r="B974" s="1" t="n">
        <v>45603.28460648148</v>
      </c>
      <c r="C974" s="1" t="n">
        <v>45913</v>
      </c>
      <c r="D974" t="inlineStr">
        <is>
          <t>JÄMTLANDS LÄN</t>
        </is>
      </c>
      <c r="E974" t="inlineStr">
        <is>
          <t>KROKOM</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8868-2025</t>
        </is>
      </c>
      <c r="B975" s="1" t="n">
        <v>45713.36836805556</v>
      </c>
      <c r="C975" s="1" t="n">
        <v>45913</v>
      </c>
      <c r="D975" t="inlineStr">
        <is>
          <t>JÄMTLANDS LÄN</t>
        </is>
      </c>
      <c r="E975" t="inlineStr">
        <is>
          <t>KROKOM</t>
        </is>
      </c>
      <c r="F975" t="inlineStr">
        <is>
          <t>Övriga Aktiebolag</t>
        </is>
      </c>
      <c r="G975" t="n">
        <v>4.2</v>
      </c>
      <c r="H975" t="n">
        <v>0</v>
      </c>
      <c r="I975" t="n">
        <v>0</v>
      </c>
      <c r="J975" t="n">
        <v>0</v>
      </c>
      <c r="K975" t="n">
        <v>0</v>
      </c>
      <c r="L975" t="n">
        <v>0</v>
      </c>
      <c r="M975" t="n">
        <v>0</v>
      </c>
      <c r="N975" t="n">
        <v>0</v>
      </c>
      <c r="O975" t="n">
        <v>0</v>
      </c>
      <c r="P975" t="n">
        <v>0</v>
      </c>
      <c r="Q975" t="n">
        <v>0</v>
      </c>
      <c r="R975" s="2" t="inlineStr"/>
    </row>
    <row r="976" ht="15" customHeight="1">
      <c r="A976" t="inlineStr">
        <is>
          <t>A 41425-2025</t>
        </is>
      </c>
      <c r="B976" s="1" t="n">
        <v>45901.38590277778</v>
      </c>
      <c r="C976" s="1" t="n">
        <v>45913</v>
      </c>
      <c r="D976" t="inlineStr">
        <is>
          <t>JÄMTLANDS LÄN</t>
        </is>
      </c>
      <c r="E976" t="inlineStr">
        <is>
          <t>KROKOM</t>
        </is>
      </c>
      <c r="G976" t="n">
        <v>2.9</v>
      </c>
      <c r="H976" t="n">
        <v>0</v>
      </c>
      <c r="I976" t="n">
        <v>0</v>
      </c>
      <c r="J976" t="n">
        <v>0</v>
      </c>
      <c r="K976" t="n">
        <v>0</v>
      </c>
      <c r="L976" t="n">
        <v>0</v>
      </c>
      <c r="M976" t="n">
        <v>0</v>
      </c>
      <c r="N976" t="n">
        <v>0</v>
      </c>
      <c r="O976" t="n">
        <v>0</v>
      </c>
      <c r="P976" t="n">
        <v>0</v>
      </c>
      <c r="Q976" t="n">
        <v>0</v>
      </c>
      <c r="R976" s="2" t="inlineStr"/>
    </row>
    <row r="977" ht="15" customHeight="1">
      <c r="A977" t="inlineStr">
        <is>
          <t>A 52666-2024</t>
        </is>
      </c>
      <c r="B977" s="1" t="n">
        <v>45610.36561342593</v>
      </c>
      <c r="C977" s="1" t="n">
        <v>45913</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35778-2025</t>
        </is>
      </c>
      <c r="B978" s="1" t="n">
        <v>45860</v>
      </c>
      <c r="C978" s="1" t="n">
        <v>45913</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53916-2023</t>
        </is>
      </c>
      <c r="B979" s="1" t="n">
        <v>45231</v>
      </c>
      <c r="C979" s="1" t="n">
        <v>45913</v>
      </c>
      <c r="D979" t="inlineStr">
        <is>
          <t>JÄMTLANDS LÄN</t>
        </is>
      </c>
      <c r="E979" t="inlineStr">
        <is>
          <t>KROKOM</t>
        </is>
      </c>
      <c r="G979" t="n">
        <v>7.3</v>
      </c>
      <c r="H979" t="n">
        <v>0</v>
      </c>
      <c r="I979" t="n">
        <v>0</v>
      </c>
      <c r="J979" t="n">
        <v>0</v>
      </c>
      <c r="K979" t="n">
        <v>0</v>
      </c>
      <c r="L979" t="n">
        <v>0</v>
      </c>
      <c r="M979" t="n">
        <v>0</v>
      </c>
      <c r="N979" t="n">
        <v>0</v>
      </c>
      <c r="O979" t="n">
        <v>0</v>
      </c>
      <c r="P979" t="n">
        <v>0</v>
      </c>
      <c r="Q979" t="n">
        <v>0</v>
      </c>
      <c r="R979" s="2" t="inlineStr"/>
    </row>
    <row r="980" ht="15" customHeight="1">
      <c r="A980" t="inlineStr">
        <is>
          <t>A 21663-2025</t>
        </is>
      </c>
      <c r="B980" s="1" t="n">
        <v>45783</v>
      </c>
      <c r="C980" s="1" t="n">
        <v>45913</v>
      </c>
      <c r="D980" t="inlineStr">
        <is>
          <t>JÄMTLANDS LÄN</t>
        </is>
      </c>
      <c r="E980" t="inlineStr">
        <is>
          <t>KROKOM</t>
        </is>
      </c>
      <c r="G980" t="n">
        <v>5.2</v>
      </c>
      <c r="H980" t="n">
        <v>0</v>
      </c>
      <c r="I980" t="n">
        <v>0</v>
      </c>
      <c r="J980" t="n">
        <v>0</v>
      </c>
      <c r="K980" t="n">
        <v>0</v>
      </c>
      <c r="L980" t="n">
        <v>0</v>
      </c>
      <c r="M980" t="n">
        <v>0</v>
      </c>
      <c r="N980" t="n">
        <v>0</v>
      </c>
      <c r="O980" t="n">
        <v>0</v>
      </c>
      <c r="P980" t="n">
        <v>0</v>
      </c>
      <c r="Q980" t="n">
        <v>0</v>
      </c>
      <c r="R980" s="2" t="inlineStr"/>
    </row>
    <row r="981" ht="15" customHeight="1">
      <c r="A981" t="inlineStr">
        <is>
          <t>A 47723-2024</t>
        </is>
      </c>
      <c r="B981" s="1" t="n">
        <v>45588</v>
      </c>
      <c r="C981" s="1" t="n">
        <v>45913</v>
      </c>
      <c r="D981" t="inlineStr">
        <is>
          <t>JÄMTLANDS LÄN</t>
        </is>
      </c>
      <c r="E981" t="inlineStr">
        <is>
          <t>KROKOM</t>
        </is>
      </c>
      <c r="G981" t="n">
        <v>1.6</v>
      </c>
      <c r="H981" t="n">
        <v>0</v>
      </c>
      <c r="I981" t="n">
        <v>0</v>
      </c>
      <c r="J981" t="n">
        <v>0</v>
      </c>
      <c r="K981" t="n">
        <v>0</v>
      </c>
      <c r="L981" t="n">
        <v>0</v>
      </c>
      <c r="M981" t="n">
        <v>0</v>
      </c>
      <c r="N981" t="n">
        <v>0</v>
      </c>
      <c r="O981" t="n">
        <v>0</v>
      </c>
      <c r="P981" t="n">
        <v>0</v>
      </c>
      <c r="Q981" t="n">
        <v>0</v>
      </c>
      <c r="R981" s="2" t="inlineStr"/>
    </row>
    <row r="982" ht="15" customHeight="1">
      <c r="A982" t="inlineStr">
        <is>
          <t>A 34794-2022</t>
        </is>
      </c>
      <c r="B982" s="1" t="n">
        <v>44795</v>
      </c>
      <c r="C982" s="1" t="n">
        <v>45913</v>
      </c>
      <c r="D982" t="inlineStr">
        <is>
          <t>JÄMTLANDS LÄN</t>
        </is>
      </c>
      <c r="E982" t="inlineStr">
        <is>
          <t>KROKOM</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58390-2021</t>
        </is>
      </c>
      <c r="B983" s="1" t="n">
        <v>44488.47928240741</v>
      </c>
      <c r="C983" s="1" t="n">
        <v>45913</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42235-2025</t>
        </is>
      </c>
      <c r="B984" s="1" t="n">
        <v>45904.56144675926</v>
      </c>
      <c r="C984" s="1" t="n">
        <v>45913</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29224-2023</t>
        </is>
      </c>
      <c r="B985" s="1" t="n">
        <v>45097</v>
      </c>
      <c r="C985" s="1" t="n">
        <v>45913</v>
      </c>
      <c r="D985" t="inlineStr">
        <is>
          <t>JÄMTLANDS LÄN</t>
        </is>
      </c>
      <c r="E985" t="inlineStr">
        <is>
          <t>KROKOM</t>
        </is>
      </c>
      <c r="G985" t="n">
        <v>2.6</v>
      </c>
      <c r="H985" t="n">
        <v>0</v>
      </c>
      <c r="I985" t="n">
        <v>0</v>
      </c>
      <c r="J985" t="n">
        <v>0</v>
      </c>
      <c r="K985" t="n">
        <v>0</v>
      </c>
      <c r="L985" t="n">
        <v>0</v>
      </c>
      <c r="M985" t="n">
        <v>0</v>
      </c>
      <c r="N985" t="n">
        <v>0</v>
      </c>
      <c r="O985" t="n">
        <v>0</v>
      </c>
      <c r="P985" t="n">
        <v>0</v>
      </c>
      <c r="Q985" t="n">
        <v>0</v>
      </c>
      <c r="R985" s="2" t="inlineStr"/>
    </row>
    <row r="986" ht="15" customHeight="1">
      <c r="A986" t="inlineStr">
        <is>
          <t>A 52869-2023</t>
        </is>
      </c>
      <c r="B986" s="1" t="n">
        <v>45226</v>
      </c>
      <c r="C986" s="1" t="n">
        <v>45913</v>
      </c>
      <c r="D986" t="inlineStr">
        <is>
          <t>JÄMTLANDS LÄN</t>
        </is>
      </c>
      <c r="E986" t="inlineStr">
        <is>
          <t>KROKOM</t>
        </is>
      </c>
      <c r="G986" t="n">
        <v>0</v>
      </c>
      <c r="H986" t="n">
        <v>0</v>
      </c>
      <c r="I986" t="n">
        <v>0</v>
      </c>
      <c r="J986" t="n">
        <v>0</v>
      </c>
      <c r="K986" t="n">
        <v>0</v>
      </c>
      <c r="L986" t="n">
        <v>0</v>
      </c>
      <c r="M986" t="n">
        <v>0</v>
      </c>
      <c r="N986" t="n">
        <v>0</v>
      </c>
      <c r="O986" t="n">
        <v>0</v>
      </c>
      <c r="P986" t="n">
        <v>0</v>
      </c>
      <c r="Q986" t="n">
        <v>0</v>
      </c>
      <c r="R986" s="2" t="inlineStr"/>
    </row>
    <row r="987" ht="15" customHeight="1">
      <c r="A987" t="inlineStr">
        <is>
          <t>A 5722-2023</t>
        </is>
      </c>
      <c r="B987" s="1" t="n">
        <v>44961</v>
      </c>
      <c r="C987" s="1" t="n">
        <v>45913</v>
      </c>
      <c r="D987" t="inlineStr">
        <is>
          <t>JÄMTLANDS LÄN</t>
        </is>
      </c>
      <c r="E987" t="inlineStr">
        <is>
          <t>KROKOM</t>
        </is>
      </c>
      <c r="G987" t="n">
        <v>12.3</v>
      </c>
      <c r="H987" t="n">
        <v>0</v>
      </c>
      <c r="I987" t="n">
        <v>0</v>
      </c>
      <c r="J987" t="n">
        <v>0</v>
      </c>
      <c r="K987" t="n">
        <v>0</v>
      </c>
      <c r="L987" t="n">
        <v>0</v>
      </c>
      <c r="M987" t="n">
        <v>0</v>
      </c>
      <c r="N987" t="n">
        <v>0</v>
      </c>
      <c r="O987" t="n">
        <v>0</v>
      </c>
      <c r="P987" t="n">
        <v>0</v>
      </c>
      <c r="Q987" t="n">
        <v>0</v>
      </c>
      <c r="R987" s="2" t="inlineStr"/>
    </row>
    <row r="988" ht="15" customHeight="1">
      <c r="A988" t="inlineStr">
        <is>
          <t>A 35864-2025</t>
        </is>
      </c>
      <c r="B988" s="1" t="n">
        <v>45861.6841087963</v>
      </c>
      <c r="C988" s="1" t="n">
        <v>45913</v>
      </c>
      <c r="D988" t="inlineStr">
        <is>
          <t>JÄMTLANDS LÄN</t>
        </is>
      </c>
      <c r="E988" t="inlineStr">
        <is>
          <t>KROKOM</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42231-2025</t>
        </is>
      </c>
      <c r="B989" s="1" t="n">
        <v>45904.55565972222</v>
      </c>
      <c r="C989" s="1" t="n">
        <v>45913</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36567-2021</t>
        </is>
      </c>
      <c r="B990" s="1" t="n">
        <v>44391</v>
      </c>
      <c r="C990" s="1" t="n">
        <v>45913</v>
      </c>
      <c r="D990" t="inlineStr">
        <is>
          <t>JÄMTLANDS LÄN</t>
        </is>
      </c>
      <c r="E990" t="inlineStr">
        <is>
          <t>KROKOM</t>
        </is>
      </c>
      <c r="G990" t="n">
        <v>3.5</v>
      </c>
      <c r="H990" t="n">
        <v>0</v>
      </c>
      <c r="I990" t="n">
        <v>0</v>
      </c>
      <c r="J990" t="n">
        <v>0</v>
      </c>
      <c r="K990" t="n">
        <v>0</v>
      </c>
      <c r="L990" t="n">
        <v>0</v>
      </c>
      <c r="M990" t="n">
        <v>0</v>
      </c>
      <c r="N990" t="n">
        <v>0</v>
      </c>
      <c r="O990" t="n">
        <v>0</v>
      </c>
      <c r="P990" t="n">
        <v>0</v>
      </c>
      <c r="Q990" t="n">
        <v>0</v>
      </c>
      <c r="R990" s="2" t="inlineStr"/>
    </row>
    <row r="991" ht="15" customHeight="1">
      <c r="A991" t="inlineStr">
        <is>
          <t>A 35875-2025</t>
        </is>
      </c>
      <c r="B991" s="1" t="n">
        <v>45862.34668981482</v>
      </c>
      <c r="C991" s="1" t="n">
        <v>45913</v>
      </c>
      <c r="D991" t="inlineStr">
        <is>
          <t>JÄMTLANDS LÄN</t>
        </is>
      </c>
      <c r="E991" t="inlineStr">
        <is>
          <t>KROKOM</t>
        </is>
      </c>
      <c r="F991" t="inlineStr">
        <is>
          <t>Övriga Aktiebolag</t>
        </is>
      </c>
      <c r="G991" t="n">
        <v>14.9</v>
      </c>
      <c r="H991" t="n">
        <v>0</v>
      </c>
      <c r="I991" t="n">
        <v>0</v>
      </c>
      <c r="J991" t="n">
        <v>0</v>
      </c>
      <c r="K991" t="n">
        <v>0</v>
      </c>
      <c r="L991" t="n">
        <v>0</v>
      </c>
      <c r="M991" t="n">
        <v>0</v>
      </c>
      <c r="N991" t="n">
        <v>0</v>
      </c>
      <c r="O991" t="n">
        <v>0</v>
      </c>
      <c r="P991" t="n">
        <v>0</v>
      </c>
      <c r="Q991" t="n">
        <v>0</v>
      </c>
      <c r="R991" s="2" t="inlineStr"/>
    </row>
    <row r="992" ht="15" customHeight="1">
      <c r="A992" t="inlineStr">
        <is>
          <t>A 23539-2024</t>
        </is>
      </c>
      <c r="B992" s="1" t="n">
        <v>45453.95237268518</v>
      </c>
      <c r="C992" s="1" t="n">
        <v>45913</v>
      </c>
      <c r="D992" t="inlineStr">
        <is>
          <t>JÄMTLANDS LÄN</t>
        </is>
      </c>
      <c r="E992" t="inlineStr">
        <is>
          <t>KROKOM</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29936-2023</t>
        </is>
      </c>
      <c r="B993" s="1" t="n">
        <v>45107</v>
      </c>
      <c r="C993" s="1" t="n">
        <v>45913</v>
      </c>
      <c r="D993" t="inlineStr">
        <is>
          <t>JÄMTLANDS LÄN</t>
        </is>
      </c>
      <c r="E993" t="inlineStr">
        <is>
          <t>KROKOM</t>
        </is>
      </c>
      <c r="G993" t="n">
        <v>77.40000000000001</v>
      </c>
      <c r="H993" t="n">
        <v>0</v>
      </c>
      <c r="I993" t="n">
        <v>0</v>
      </c>
      <c r="J993" t="n">
        <v>0</v>
      </c>
      <c r="K993" t="n">
        <v>0</v>
      </c>
      <c r="L993" t="n">
        <v>0</v>
      </c>
      <c r="M993" t="n">
        <v>0</v>
      </c>
      <c r="N993" t="n">
        <v>0</v>
      </c>
      <c r="O993" t="n">
        <v>0</v>
      </c>
      <c r="P993" t="n">
        <v>0</v>
      </c>
      <c r="Q993" t="n">
        <v>0</v>
      </c>
      <c r="R993" s="2" t="inlineStr"/>
    </row>
    <row r="994" ht="15" customHeight="1">
      <c r="A994" t="inlineStr">
        <is>
          <t>A 55043-2024</t>
        </is>
      </c>
      <c r="B994" s="1" t="n">
        <v>45621</v>
      </c>
      <c r="C994" s="1" t="n">
        <v>45913</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21617-2025</t>
        </is>
      </c>
      <c r="B995" s="1" t="n">
        <v>45783</v>
      </c>
      <c r="C995" s="1" t="n">
        <v>45913</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60173-2024</t>
        </is>
      </c>
      <c r="B996" s="1" t="n">
        <v>45642.63666666667</v>
      </c>
      <c r="C996" s="1" t="n">
        <v>45913</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42445-2025</t>
        </is>
      </c>
      <c r="B997" s="1" t="n">
        <v>45905.4375</v>
      </c>
      <c r="C997" s="1" t="n">
        <v>45913</v>
      </c>
      <c r="D997" t="inlineStr">
        <is>
          <t>JÄMTLANDS LÄN</t>
        </is>
      </c>
      <c r="E997" t="inlineStr">
        <is>
          <t>KROKOM</t>
        </is>
      </c>
      <c r="G997" t="n">
        <v>2.8</v>
      </c>
      <c r="H997" t="n">
        <v>0</v>
      </c>
      <c r="I997" t="n">
        <v>0</v>
      </c>
      <c r="J997" t="n">
        <v>0</v>
      </c>
      <c r="K997" t="n">
        <v>0</v>
      </c>
      <c r="L997" t="n">
        <v>0</v>
      </c>
      <c r="M997" t="n">
        <v>0</v>
      </c>
      <c r="N997" t="n">
        <v>0</v>
      </c>
      <c r="O997" t="n">
        <v>0</v>
      </c>
      <c r="P997" t="n">
        <v>0</v>
      </c>
      <c r="Q997" t="n">
        <v>0</v>
      </c>
      <c r="R997" s="2" t="inlineStr"/>
    </row>
    <row r="998" ht="15" customHeight="1">
      <c r="A998" t="inlineStr">
        <is>
          <t>A 42427-2025</t>
        </is>
      </c>
      <c r="B998" s="1" t="n">
        <v>45905.4174537037</v>
      </c>
      <c r="C998" s="1" t="n">
        <v>45913</v>
      </c>
      <c r="D998" t="inlineStr">
        <is>
          <t>JÄMTLANDS LÄN</t>
        </is>
      </c>
      <c r="E998" t="inlineStr">
        <is>
          <t>KROKOM</t>
        </is>
      </c>
      <c r="G998" t="n">
        <v>5.3</v>
      </c>
      <c r="H998" t="n">
        <v>0</v>
      </c>
      <c r="I998" t="n">
        <v>0</v>
      </c>
      <c r="J998" t="n">
        <v>0</v>
      </c>
      <c r="K998" t="n">
        <v>0</v>
      </c>
      <c r="L998" t="n">
        <v>0</v>
      </c>
      <c r="M998" t="n">
        <v>0</v>
      </c>
      <c r="N998" t="n">
        <v>0</v>
      </c>
      <c r="O998" t="n">
        <v>0</v>
      </c>
      <c r="P998" t="n">
        <v>0</v>
      </c>
      <c r="Q998" t="n">
        <v>0</v>
      </c>
      <c r="R998" s="2" t="inlineStr"/>
    </row>
    <row r="999" ht="15" customHeight="1">
      <c r="A999" t="inlineStr">
        <is>
          <t>A 47060-2024</t>
        </is>
      </c>
      <c r="B999" s="1" t="n">
        <v>45586.46927083333</v>
      </c>
      <c r="C999" s="1" t="n">
        <v>45913</v>
      </c>
      <c r="D999" t="inlineStr">
        <is>
          <t>JÄMTLANDS LÄN</t>
        </is>
      </c>
      <c r="E999" t="inlineStr">
        <is>
          <t>KROKOM</t>
        </is>
      </c>
      <c r="G999" t="n">
        <v>2.9</v>
      </c>
      <c r="H999" t="n">
        <v>0</v>
      </c>
      <c r="I999" t="n">
        <v>0</v>
      </c>
      <c r="J999" t="n">
        <v>0</v>
      </c>
      <c r="K999" t="n">
        <v>0</v>
      </c>
      <c r="L999" t="n">
        <v>0</v>
      </c>
      <c r="M999" t="n">
        <v>0</v>
      </c>
      <c r="N999" t="n">
        <v>0</v>
      </c>
      <c r="O999" t="n">
        <v>0</v>
      </c>
      <c r="P999" t="n">
        <v>0</v>
      </c>
      <c r="Q999" t="n">
        <v>0</v>
      </c>
      <c r="R999" s="2" t="inlineStr"/>
    </row>
    <row r="1000" ht="15" customHeight="1">
      <c r="A1000" t="inlineStr">
        <is>
          <t>A 35985-2025</t>
        </is>
      </c>
      <c r="B1000" s="1" t="n">
        <v>45863.45778935185</v>
      </c>
      <c r="C1000" s="1" t="n">
        <v>45913</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42439-2023</t>
        </is>
      </c>
      <c r="B1001" s="1" t="n">
        <v>45180.6391087963</v>
      </c>
      <c r="C1001" s="1" t="n">
        <v>45913</v>
      </c>
      <c r="D1001" t="inlineStr">
        <is>
          <t>JÄMTLANDS LÄN</t>
        </is>
      </c>
      <c r="E1001" t="inlineStr">
        <is>
          <t>KROKOM</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42804-2025</t>
        </is>
      </c>
      <c r="B1002" s="1" t="n">
        <v>45908</v>
      </c>
      <c r="C1002" s="1" t="n">
        <v>45913</v>
      </c>
      <c r="D1002" t="inlineStr">
        <is>
          <t>JÄMTLANDS LÄN</t>
        </is>
      </c>
      <c r="E1002" t="inlineStr">
        <is>
          <t>KROKOM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51939-2024</t>
        </is>
      </c>
      <c r="B1003" s="1" t="n">
        <v>45607.63211805555</v>
      </c>
      <c r="C1003" s="1" t="n">
        <v>45913</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36044-2025</t>
        </is>
      </c>
      <c r="B1004" s="1" t="n">
        <v>45863</v>
      </c>
      <c r="C1004" s="1" t="n">
        <v>45913</v>
      </c>
      <c r="D1004" t="inlineStr">
        <is>
          <t>JÄMTLANDS LÄN</t>
        </is>
      </c>
      <c r="E1004" t="inlineStr">
        <is>
          <t>KROKOM</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36182-2025</t>
        </is>
      </c>
      <c r="B1005" s="1" t="n">
        <v>45867.41707175926</v>
      </c>
      <c r="C1005" s="1" t="n">
        <v>45913</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36209-2025</t>
        </is>
      </c>
      <c r="B1006" s="1" t="n">
        <v>45867.46560185185</v>
      </c>
      <c r="C1006" s="1" t="n">
        <v>45913</v>
      </c>
      <c r="D1006" t="inlineStr">
        <is>
          <t>JÄMTLANDS LÄN</t>
        </is>
      </c>
      <c r="E1006" t="inlineStr">
        <is>
          <t>KROKOM</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36491-2021</t>
        </is>
      </c>
      <c r="B1007" s="1" t="n">
        <v>44390</v>
      </c>
      <c r="C1007" s="1" t="n">
        <v>45913</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50881-2024</t>
        </is>
      </c>
      <c r="B1008" s="1" t="n">
        <v>45602.65599537037</v>
      </c>
      <c r="C1008" s="1" t="n">
        <v>45913</v>
      </c>
      <c r="D1008" t="inlineStr">
        <is>
          <t>JÄMTLANDS LÄN</t>
        </is>
      </c>
      <c r="E1008" t="inlineStr">
        <is>
          <t>KROKOM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46061-2023</t>
        </is>
      </c>
      <c r="B1009" s="1" t="n">
        <v>45190</v>
      </c>
      <c r="C1009" s="1" t="n">
        <v>45913</v>
      </c>
      <c r="D1009" t="inlineStr">
        <is>
          <t>JÄMTLANDS LÄN</t>
        </is>
      </c>
      <c r="E1009" t="inlineStr">
        <is>
          <t>KROKOM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19478-2023</t>
        </is>
      </c>
      <c r="B1010" s="1" t="n">
        <v>45050</v>
      </c>
      <c r="C1010" s="1" t="n">
        <v>45913</v>
      </c>
      <c r="D1010" t="inlineStr">
        <is>
          <t>JÄMTLANDS LÄN</t>
        </is>
      </c>
      <c r="E1010" t="inlineStr">
        <is>
          <t>KROKOM</t>
        </is>
      </c>
      <c r="F1010" t="inlineStr">
        <is>
          <t>Övriga Aktiebolag</t>
        </is>
      </c>
      <c r="G1010" t="n">
        <v>22.2</v>
      </c>
      <c r="H1010" t="n">
        <v>0</v>
      </c>
      <c r="I1010" t="n">
        <v>0</v>
      </c>
      <c r="J1010" t="n">
        <v>0</v>
      </c>
      <c r="K1010" t="n">
        <v>0</v>
      </c>
      <c r="L1010" t="n">
        <v>0</v>
      </c>
      <c r="M1010" t="n">
        <v>0</v>
      </c>
      <c r="N1010" t="n">
        <v>0</v>
      </c>
      <c r="O1010" t="n">
        <v>0</v>
      </c>
      <c r="P1010" t="n">
        <v>0</v>
      </c>
      <c r="Q1010" t="n">
        <v>0</v>
      </c>
      <c r="R1010" s="2" t="inlineStr"/>
    </row>
    <row r="1011" ht="15" customHeight="1">
      <c r="A1011" t="inlineStr">
        <is>
          <t>A 23319-2024</t>
        </is>
      </c>
      <c r="B1011" s="1" t="n">
        <v>45453.45515046296</v>
      </c>
      <c r="C1011" s="1" t="n">
        <v>45913</v>
      </c>
      <c r="D1011" t="inlineStr">
        <is>
          <t>JÄMTLANDS LÄN</t>
        </is>
      </c>
      <c r="E1011" t="inlineStr">
        <is>
          <t>KROKOM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20982-2023</t>
        </is>
      </c>
      <c r="B1012" s="1" t="n">
        <v>45056</v>
      </c>
      <c r="C1012" s="1" t="n">
        <v>45913</v>
      </c>
      <c r="D1012" t="inlineStr">
        <is>
          <t>JÄMTLANDS LÄN</t>
        </is>
      </c>
      <c r="E1012" t="inlineStr">
        <is>
          <t>KROKOM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36429-2025</t>
        </is>
      </c>
      <c r="B1013" s="1" t="n">
        <v>45869.34439814815</v>
      </c>
      <c r="C1013" s="1" t="n">
        <v>45913</v>
      </c>
      <c r="D1013" t="inlineStr">
        <is>
          <t>JÄMTLANDS LÄN</t>
        </is>
      </c>
      <c r="E1013" t="inlineStr">
        <is>
          <t>KROKOM</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43785-2025</t>
        </is>
      </c>
      <c r="B1014" s="1" t="n">
        <v>45912</v>
      </c>
      <c r="C1014" s="1" t="n">
        <v>45913</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43368-2025</t>
        </is>
      </c>
      <c r="B1015" s="1" t="n">
        <v>45911.34840277778</v>
      </c>
      <c r="C1015" s="1" t="n">
        <v>45913</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43371-2025</t>
        </is>
      </c>
      <c r="B1016" s="1" t="n">
        <v>45911.34892361111</v>
      </c>
      <c r="C1016" s="1" t="n">
        <v>45913</v>
      </c>
      <c r="D1016" t="inlineStr">
        <is>
          <t>JÄMTLANDS LÄN</t>
        </is>
      </c>
      <c r="E1016" t="inlineStr">
        <is>
          <t>KROKOM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12813-2023</t>
        </is>
      </c>
      <c r="B1017" s="1" t="n">
        <v>45000</v>
      </c>
      <c r="C1017" s="1" t="n">
        <v>45913</v>
      </c>
      <c r="D1017" t="inlineStr">
        <is>
          <t>JÄMTLANDS LÄN</t>
        </is>
      </c>
      <c r="E1017" t="inlineStr">
        <is>
          <t>KROKOM</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43373-2025</t>
        </is>
      </c>
      <c r="B1018" s="1" t="n">
        <v>45911.35024305555</v>
      </c>
      <c r="C1018" s="1" t="n">
        <v>45913</v>
      </c>
      <c r="D1018" t="inlineStr">
        <is>
          <t>JÄMTLANDS LÄN</t>
        </is>
      </c>
      <c r="E1018" t="inlineStr">
        <is>
          <t>KROKOM</t>
        </is>
      </c>
      <c r="G1018" t="n">
        <v>34.9</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45913</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45913</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45913</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45913</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45913</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45913</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45913</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45913</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45913</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45913</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45913</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45913</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45913</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45913</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45913</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45913</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45913</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45913</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45913</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45913</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45913</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45913</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45913</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45913</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45913</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45913</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45913</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45913</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45913</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45913</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45913</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45913</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45913</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45913</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45913</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45913</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45913</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45913</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45913</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45913</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45913</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45913</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45913</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45913</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45913</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45913</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15634-2025</t>
        </is>
      </c>
      <c r="B1065" s="1" t="n">
        <v>45748.37173611111</v>
      </c>
      <c r="C1065" s="1" t="n">
        <v>45913</v>
      </c>
      <c r="D1065" t="inlineStr">
        <is>
          <t>JÄMTLANDS LÄN</t>
        </is>
      </c>
      <c r="E1065" t="inlineStr">
        <is>
          <t>KROKOM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11193-2024</t>
        </is>
      </c>
      <c r="B1066" s="1" t="n">
        <v>45371</v>
      </c>
      <c r="C1066" s="1" t="n">
        <v>45913</v>
      </c>
      <c r="D1066" t="inlineStr">
        <is>
          <t>JÄMTLANDS LÄN</t>
        </is>
      </c>
      <c r="E1066" t="inlineStr">
        <is>
          <t>KROKOM</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6347-2023</t>
        </is>
      </c>
      <c r="B1067" s="1" t="n">
        <v>44965</v>
      </c>
      <c r="C1067" s="1" t="n">
        <v>45913</v>
      </c>
      <c r="D1067" t="inlineStr">
        <is>
          <t>JÄMTLANDS LÄN</t>
        </is>
      </c>
      <c r="E1067" t="inlineStr">
        <is>
          <t>KROKOM</t>
        </is>
      </c>
      <c r="F1067" t="inlineStr">
        <is>
          <t>Övriga Aktiebolag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62413-2023</t>
        </is>
      </c>
      <c r="B1068" s="1" t="n">
        <v>45266</v>
      </c>
      <c r="C1068" s="1" t="n">
        <v>45913</v>
      </c>
      <c r="D1068" t="inlineStr">
        <is>
          <t>JÄMTLANDS LÄN</t>
        </is>
      </c>
      <c r="E1068" t="inlineStr">
        <is>
          <t>KROKOM</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57259-2023</t>
        </is>
      </c>
      <c r="B1069" s="1" t="n">
        <v>45245</v>
      </c>
      <c r="C1069" s="1" t="n">
        <v>45913</v>
      </c>
      <c r="D1069" t="inlineStr">
        <is>
          <t>JÄMTLANDS LÄN</t>
        </is>
      </c>
      <c r="E1069" t="inlineStr">
        <is>
          <t>KROKOM</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5173-2025</t>
        </is>
      </c>
      <c r="B1070" s="1" t="n">
        <v>45691.61996527778</v>
      </c>
      <c r="C1070" s="1" t="n">
        <v>45913</v>
      </c>
      <c r="D1070" t="inlineStr">
        <is>
          <t>JÄMTLANDS LÄN</t>
        </is>
      </c>
      <c r="E1070" t="inlineStr">
        <is>
          <t>KROKOM</t>
        </is>
      </c>
      <c r="F1070" t="inlineStr">
        <is>
          <t>Kyrkan</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10532-2025</t>
        </is>
      </c>
      <c r="B1071" s="1" t="n">
        <v>45721.4546412037</v>
      </c>
      <c r="C1071" s="1" t="n">
        <v>45913</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22258-2024</t>
        </is>
      </c>
      <c r="B1072" s="1" t="n">
        <v>45446.47634259259</v>
      </c>
      <c r="C1072" s="1" t="n">
        <v>45913</v>
      </c>
      <c r="D1072" t="inlineStr">
        <is>
          <t>JÄMTLANDS LÄN</t>
        </is>
      </c>
      <c r="E1072" t="inlineStr">
        <is>
          <t>KROKOM</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29484-2024</t>
        </is>
      </c>
      <c r="B1073" s="1" t="n">
        <v>45484</v>
      </c>
      <c r="C1073" s="1" t="n">
        <v>45913</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34902-2024</t>
        </is>
      </c>
      <c r="B1074" s="1" t="n">
        <v>45527.39858796296</v>
      </c>
      <c r="C1074" s="1" t="n">
        <v>45913</v>
      </c>
      <c r="D1074" t="inlineStr">
        <is>
          <t>JÄMTLANDS LÄN</t>
        </is>
      </c>
      <c r="E1074" t="inlineStr">
        <is>
          <t>KROKOM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28780-2024</t>
        </is>
      </c>
      <c r="B1075" s="1" t="n">
        <v>45478.60708333334</v>
      </c>
      <c r="C1075" s="1" t="n">
        <v>45913</v>
      </c>
      <c r="D1075" t="inlineStr">
        <is>
          <t>JÄMTLANDS LÄN</t>
        </is>
      </c>
      <c r="E1075" t="inlineStr">
        <is>
          <t>KROKOM</t>
        </is>
      </c>
      <c r="G1075" t="n">
        <v>3.7</v>
      </c>
      <c r="H1075" t="n">
        <v>0</v>
      </c>
      <c r="I1075" t="n">
        <v>0</v>
      </c>
      <c r="J1075" t="n">
        <v>0</v>
      </c>
      <c r="K1075" t="n">
        <v>0</v>
      </c>
      <c r="L1075" t="n">
        <v>0</v>
      </c>
      <c r="M1075" t="n">
        <v>0</v>
      </c>
      <c r="N1075" t="n">
        <v>0</v>
      </c>
      <c r="O1075" t="n">
        <v>0</v>
      </c>
      <c r="P1075" t="n">
        <v>0</v>
      </c>
      <c r="Q1075" t="n">
        <v>0</v>
      </c>
      <c r="R1075" s="2" t="inlineStr"/>
    </row>
    <row r="1076">
      <c r="A1076" t="inlineStr">
        <is>
          <t>A 26693-2023</t>
        </is>
      </c>
      <c r="B1076" s="1" t="n">
        <v>45090</v>
      </c>
      <c r="C1076" s="1" t="n">
        <v>45913</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2025-09-13T08:54:59Z</dcterms:created>
  <dcterms:modified xmlns:dcterms="http://purl.org/dc/terms/" xmlns:xsi="http://www.w3.org/2001/XMLSchema-instance" xsi:type="dcterms:W3CDTF">2025-09-13T08:55:00Z</dcterms:modified>
</cp:coreProperties>
</file>