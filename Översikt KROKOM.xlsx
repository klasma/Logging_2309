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45723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45723</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45723</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45723</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45723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45723</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45723</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45723</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45723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45723</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45723</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45723</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45723</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45723</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45723</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45723</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45723</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45723</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45723</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45723</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45723</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45723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45723</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45723</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45723</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45723</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45723</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45723</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45723</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45723</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45723</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45723</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45723</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45723</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45723</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45723</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45723</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45723</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45723</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45723</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45723</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45723</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45723</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45723</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45723</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45723</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45723</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45723</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45723</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45723</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45723</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45723</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45723</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45723</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45723</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45723</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45723</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45723</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45723</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45723</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45723</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45723</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45723</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45723</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45723</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45723</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45723</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45723</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45723</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45723</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45723</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45723</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45723</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45723</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45723</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45723</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45723</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45723</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45723</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45723</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45723</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45723</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45723</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45723</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45723</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45723</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45723</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45723</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45723</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45723</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45723</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45723</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45723</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45723</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45723</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45723</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45723</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45723</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45723</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45723</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45723</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45723</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45723</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45723</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45723</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45723</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45723</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45723</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45723</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45723</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45723</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45723</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45723</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45723</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45723</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45723</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45723</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45723</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45723</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45723</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45723</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45723</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45723</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45723</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45723</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45723</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45723</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45723</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45723</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45723</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45723</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45723</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45723</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45723</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45723</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45723</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5073-2025</t>
        </is>
      </c>
      <c r="B138" s="1" t="n">
        <v>45691</v>
      </c>
      <c r="C138" s="1" t="n">
        <v>45723</v>
      </c>
      <c r="D138" t="inlineStr">
        <is>
          <t>JÄMTLANDS LÄN</t>
        </is>
      </c>
      <c r="E138" t="inlineStr">
        <is>
          <t>KROKOM</t>
        </is>
      </c>
      <c r="G138" t="n">
        <v>5.4</v>
      </c>
      <c r="H138" t="n">
        <v>3</v>
      </c>
      <c r="I138" t="n">
        <v>0</v>
      </c>
      <c r="J138" t="n">
        <v>3</v>
      </c>
      <c r="K138" t="n">
        <v>1</v>
      </c>
      <c r="L138" t="n">
        <v>0</v>
      </c>
      <c r="M138" t="n">
        <v>0</v>
      </c>
      <c r="N138" t="n">
        <v>0</v>
      </c>
      <c r="O138" t="n">
        <v>4</v>
      </c>
      <c r="P138" t="n">
        <v>1</v>
      </c>
      <c r="Q138" t="n">
        <v>5</v>
      </c>
      <c r="R138" s="2" t="inlineStr">
        <is>
          <t>Knärot
Garnlav
Granticka
Tretåig hackspett
Blåsippa</t>
        </is>
      </c>
      <c r="S138">
        <f>HYPERLINK("https://klasma.github.io/Logging_2309/artfynd/A 5073-2025 artfynd.xlsx", "A 5073-2025")</f>
        <v/>
      </c>
      <c r="T138">
        <f>HYPERLINK("https://klasma.github.io/Logging_2309/kartor/A 5073-2025 karta.png", "A 5073-2025")</f>
        <v/>
      </c>
      <c r="U138">
        <f>HYPERLINK("https://klasma.github.io/Logging_2309/knärot/A 5073-2025 karta knärot.png", "A 5073-2025")</f>
        <v/>
      </c>
      <c r="V138">
        <f>HYPERLINK("https://klasma.github.io/Logging_2309/klagomål/A 5073-2025 FSC-klagomål.docx", "A 5073-2025")</f>
        <v/>
      </c>
      <c r="W138">
        <f>HYPERLINK("https://klasma.github.io/Logging_2309/klagomålsmail/A 5073-2025 FSC-klagomål mail.docx", "A 5073-2025")</f>
        <v/>
      </c>
      <c r="X138">
        <f>HYPERLINK("https://klasma.github.io/Logging_2309/tillsyn/A 5073-2025 tillsynsbegäran.docx", "A 5073-2025")</f>
        <v/>
      </c>
      <c r="Y138">
        <f>HYPERLINK("https://klasma.github.io/Logging_2309/tillsynsmail/A 5073-2025 tillsynsbegäran mail.docx", "A 5073-2025")</f>
        <v/>
      </c>
      <c r="Z138">
        <f>HYPERLINK("https://klasma.github.io/Logging_2309/fåglar/A 5073-2025 prioriterade fågelarter.docx", "A 5073-2025")</f>
        <v/>
      </c>
    </row>
    <row r="139" ht="15" customHeight="1">
      <c r="A139" t="inlineStr">
        <is>
          <t>A 36192-2019</t>
        </is>
      </c>
      <c r="B139" s="1" t="n">
        <v>43669</v>
      </c>
      <c r="C139" s="1" t="n">
        <v>45723</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36192-2019 artfynd.xlsx", "A 36192-2019")</f>
        <v/>
      </c>
      <c r="T139">
        <f>HYPERLINK("https://klasma.github.io/Logging_2309/kartor/A 36192-2019 karta.png", "A 36192-2019")</f>
        <v/>
      </c>
      <c r="V139">
        <f>HYPERLINK("https://klasma.github.io/Logging_2309/klagomål/A 36192-2019 FSC-klagomål.docx", "A 36192-2019")</f>
        <v/>
      </c>
      <c r="W139">
        <f>HYPERLINK("https://klasma.github.io/Logging_2309/klagomålsmail/A 36192-2019 FSC-klagomål mail.docx", "A 36192-2019")</f>
        <v/>
      </c>
      <c r="X139">
        <f>HYPERLINK("https://klasma.github.io/Logging_2309/tillsyn/A 36192-2019 tillsynsbegäran.docx", "A 36192-2019")</f>
        <v/>
      </c>
      <c r="Y139">
        <f>HYPERLINK("https://klasma.github.io/Logging_2309/tillsynsmail/A 36192-2019 tillsynsbegäran mail.docx", "A 36192-2019")</f>
        <v/>
      </c>
      <c r="Z139">
        <f>HYPERLINK("https://klasma.github.io/Logging_2309/fåglar/A 36192-2019 prioriterade fågelarter.docx", "A 36192-2019")</f>
        <v/>
      </c>
    </row>
    <row r="140" ht="15" customHeight="1">
      <c r="A140" t="inlineStr">
        <is>
          <t>A 36209-2019</t>
        </is>
      </c>
      <c r="B140" s="1" t="n">
        <v>43669</v>
      </c>
      <c r="C140" s="1" t="n">
        <v>45723</v>
      </c>
      <c r="D140" t="inlineStr">
        <is>
          <t>JÄMTLANDS LÄN</t>
        </is>
      </c>
      <c r="E140" t="inlineStr">
        <is>
          <t>KROKOM</t>
        </is>
      </c>
      <c r="G140" t="n">
        <v>2.6</v>
      </c>
      <c r="H140" t="n">
        <v>3</v>
      </c>
      <c r="I140" t="n">
        <v>1</v>
      </c>
      <c r="J140" t="n">
        <v>1</v>
      </c>
      <c r="K140" t="n">
        <v>0</v>
      </c>
      <c r="L140" t="n">
        <v>0</v>
      </c>
      <c r="M140" t="n">
        <v>0</v>
      </c>
      <c r="N140" t="n">
        <v>0</v>
      </c>
      <c r="O140" t="n">
        <v>1</v>
      </c>
      <c r="P140" t="n">
        <v>0</v>
      </c>
      <c r="Q140" t="n">
        <v>4</v>
      </c>
      <c r="R140" s="2" t="inlineStr">
        <is>
          <t>Rosenfink
Svart trolldruva
Blåsippa
Gullviva</t>
        </is>
      </c>
      <c r="S140">
        <f>HYPERLINK("https://klasma.github.io/Logging_2309/artfynd/A 36209-2019 artfynd.xlsx", "A 36209-2019")</f>
        <v/>
      </c>
      <c r="T140">
        <f>HYPERLINK("https://klasma.github.io/Logging_2309/kartor/A 36209-2019 karta.png", "A 36209-2019")</f>
        <v/>
      </c>
      <c r="V140">
        <f>HYPERLINK("https://klasma.github.io/Logging_2309/klagomål/A 36209-2019 FSC-klagomål.docx", "A 36209-2019")</f>
        <v/>
      </c>
      <c r="W140">
        <f>HYPERLINK("https://klasma.github.io/Logging_2309/klagomålsmail/A 36209-2019 FSC-klagomål mail.docx", "A 36209-2019")</f>
        <v/>
      </c>
      <c r="X140">
        <f>HYPERLINK("https://klasma.github.io/Logging_2309/tillsyn/A 36209-2019 tillsynsbegäran.docx", "A 36209-2019")</f>
        <v/>
      </c>
      <c r="Y140">
        <f>HYPERLINK("https://klasma.github.io/Logging_2309/tillsynsmail/A 36209-2019 tillsynsbegäran mail.docx", "A 36209-2019")</f>
        <v/>
      </c>
      <c r="Z140">
        <f>HYPERLINK("https://klasma.github.io/Logging_2309/fåglar/A 36209-2019 prioriterade fågelarter.docx", "A 36209-2019")</f>
        <v/>
      </c>
    </row>
    <row r="141" ht="15" customHeight="1">
      <c r="A141" t="inlineStr">
        <is>
          <t>A 36377-2019</t>
        </is>
      </c>
      <c r="B141" s="1" t="n">
        <v>43670</v>
      </c>
      <c r="C141" s="1" t="n">
        <v>45723</v>
      </c>
      <c r="D141" t="inlineStr">
        <is>
          <t>JÄMTLANDS LÄN</t>
        </is>
      </c>
      <c r="E141" t="inlineStr">
        <is>
          <t>KROKOM</t>
        </is>
      </c>
      <c r="G141" t="n">
        <v>36.9</v>
      </c>
      <c r="H141" t="n">
        <v>0</v>
      </c>
      <c r="I141" t="n">
        <v>3</v>
      </c>
      <c r="J141" t="n">
        <v>1</v>
      </c>
      <c r="K141" t="n">
        <v>0</v>
      </c>
      <c r="L141" t="n">
        <v>0</v>
      </c>
      <c r="M141" t="n">
        <v>0</v>
      </c>
      <c r="N141" t="n">
        <v>0</v>
      </c>
      <c r="O141" t="n">
        <v>1</v>
      </c>
      <c r="P141" t="n">
        <v>0</v>
      </c>
      <c r="Q141" t="n">
        <v>4</v>
      </c>
      <c r="R141" s="2" t="inlineStr">
        <is>
          <t>Doftskinn
Dvärghäxört
Kambräken
Mörk husmossa</t>
        </is>
      </c>
      <c r="S141">
        <f>HYPERLINK("https://klasma.github.io/Logging_2309/artfynd/A 36377-2019 artfynd.xlsx", "A 36377-2019")</f>
        <v/>
      </c>
      <c r="T141">
        <f>HYPERLINK("https://klasma.github.io/Logging_2309/kartor/A 36377-2019 karta.png", "A 36377-2019")</f>
        <v/>
      </c>
      <c r="V141">
        <f>HYPERLINK("https://klasma.github.io/Logging_2309/klagomål/A 36377-2019 FSC-klagomål.docx", "A 36377-2019")</f>
        <v/>
      </c>
      <c r="W141">
        <f>HYPERLINK("https://klasma.github.io/Logging_2309/klagomålsmail/A 36377-2019 FSC-klagomål mail.docx", "A 36377-2019")</f>
        <v/>
      </c>
      <c r="X141">
        <f>HYPERLINK("https://klasma.github.io/Logging_2309/tillsyn/A 36377-2019 tillsynsbegäran.docx", "A 36377-2019")</f>
        <v/>
      </c>
      <c r="Y141">
        <f>HYPERLINK("https://klasma.github.io/Logging_2309/tillsynsmail/A 36377-2019 tillsynsbegäran mail.docx", "A 36377-2019")</f>
        <v/>
      </c>
    </row>
    <row r="142" ht="15" customHeight="1">
      <c r="A142" t="inlineStr">
        <is>
          <t>A 43202-2019</t>
        </is>
      </c>
      <c r="B142" s="1" t="n">
        <v>43705</v>
      </c>
      <c r="C142" s="1" t="n">
        <v>45723</v>
      </c>
      <c r="D142" t="inlineStr">
        <is>
          <t>JÄMTLANDS LÄN</t>
        </is>
      </c>
      <c r="E142" t="inlineStr">
        <is>
          <t>KROKOM</t>
        </is>
      </c>
      <c r="F142" t="inlineStr">
        <is>
          <t>SCA</t>
        </is>
      </c>
      <c r="G142" t="n">
        <v>4.3</v>
      </c>
      <c r="H142" t="n">
        <v>0</v>
      </c>
      <c r="I142" t="n">
        <v>1</v>
      </c>
      <c r="J142" t="n">
        <v>2</v>
      </c>
      <c r="K142" t="n">
        <v>1</v>
      </c>
      <c r="L142" t="n">
        <v>0</v>
      </c>
      <c r="M142" t="n">
        <v>0</v>
      </c>
      <c r="N142" t="n">
        <v>0</v>
      </c>
      <c r="O142" t="n">
        <v>3</v>
      </c>
      <c r="P142" t="n">
        <v>1</v>
      </c>
      <c r="Q142" t="n">
        <v>4</v>
      </c>
      <c r="R142" s="2" t="inlineStr">
        <is>
          <t>Gräddporing
Nordtagging
Vedtrappmossa
Luddlav</t>
        </is>
      </c>
      <c r="S142">
        <f>HYPERLINK("https://klasma.github.io/Logging_2309/artfynd/A 43202-2019 artfynd.xlsx", "A 43202-2019")</f>
        <v/>
      </c>
      <c r="T142">
        <f>HYPERLINK("https://klasma.github.io/Logging_2309/kartor/A 43202-2019 karta.png", "A 43202-2019")</f>
        <v/>
      </c>
      <c r="V142">
        <f>HYPERLINK("https://klasma.github.io/Logging_2309/klagomål/A 43202-2019 FSC-klagomål.docx", "A 43202-2019")</f>
        <v/>
      </c>
      <c r="W142">
        <f>HYPERLINK("https://klasma.github.io/Logging_2309/klagomålsmail/A 43202-2019 FSC-klagomål mail.docx", "A 43202-2019")</f>
        <v/>
      </c>
      <c r="X142">
        <f>HYPERLINK("https://klasma.github.io/Logging_2309/tillsyn/A 43202-2019 tillsynsbegäran.docx", "A 43202-2019")</f>
        <v/>
      </c>
      <c r="Y142">
        <f>HYPERLINK("https://klasma.github.io/Logging_2309/tillsynsmail/A 43202-2019 tillsynsbegäran mail.docx", "A 43202-2019")</f>
        <v/>
      </c>
    </row>
    <row r="143" ht="15" customHeight="1">
      <c r="A143" t="inlineStr">
        <is>
          <t>A 49140-2019</t>
        </is>
      </c>
      <c r="B143" s="1" t="n">
        <v>43731</v>
      </c>
      <c r="C143" s="1" t="n">
        <v>45723</v>
      </c>
      <c r="D143" t="inlineStr">
        <is>
          <t>JÄMTLANDS LÄN</t>
        </is>
      </c>
      <c r="E143" t="inlineStr">
        <is>
          <t>KROKOM</t>
        </is>
      </c>
      <c r="G143" t="n">
        <v>13.3</v>
      </c>
      <c r="H143" t="n">
        <v>1</v>
      </c>
      <c r="I143" t="n">
        <v>1</v>
      </c>
      <c r="J143" t="n">
        <v>3</v>
      </c>
      <c r="K143" t="n">
        <v>0</v>
      </c>
      <c r="L143" t="n">
        <v>0</v>
      </c>
      <c r="M143" t="n">
        <v>0</v>
      </c>
      <c r="N143" t="n">
        <v>0</v>
      </c>
      <c r="O143" t="n">
        <v>3</v>
      </c>
      <c r="P143" t="n">
        <v>0</v>
      </c>
      <c r="Q143" t="n">
        <v>4</v>
      </c>
      <c r="R143" s="2" t="inlineStr">
        <is>
          <t>Granticka
Skogshare
Tretåig hackspett
Trådticka</t>
        </is>
      </c>
      <c r="S143">
        <f>HYPERLINK("https://klasma.github.io/Logging_2309/artfynd/A 49140-2019 artfynd.xlsx", "A 49140-2019")</f>
        <v/>
      </c>
      <c r="T143">
        <f>HYPERLINK("https://klasma.github.io/Logging_2309/kartor/A 49140-2019 karta.png", "A 49140-2019")</f>
        <v/>
      </c>
      <c r="V143">
        <f>HYPERLINK("https://klasma.github.io/Logging_2309/klagomål/A 49140-2019 FSC-klagomål.docx", "A 49140-2019")</f>
        <v/>
      </c>
      <c r="W143">
        <f>HYPERLINK("https://klasma.github.io/Logging_2309/klagomålsmail/A 49140-2019 FSC-klagomål mail.docx", "A 49140-2019")</f>
        <v/>
      </c>
      <c r="X143">
        <f>HYPERLINK("https://klasma.github.io/Logging_2309/tillsyn/A 49140-2019 tillsynsbegäran.docx", "A 49140-2019")</f>
        <v/>
      </c>
      <c r="Y143">
        <f>HYPERLINK("https://klasma.github.io/Logging_2309/tillsynsmail/A 49140-2019 tillsynsbegäran mail.docx", "A 49140-2019")</f>
        <v/>
      </c>
      <c r="Z143">
        <f>HYPERLINK("https://klasma.github.io/Logging_2309/fåglar/A 49140-2019 prioriterade fågelarter.docx", "A 49140-2019")</f>
        <v/>
      </c>
    </row>
    <row r="144" ht="15" customHeight="1">
      <c r="A144" t="inlineStr">
        <is>
          <t>A 49169-2019</t>
        </is>
      </c>
      <c r="B144" s="1" t="n">
        <v>43731</v>
      </c>
      <c r="C144" s="1" t="n">
        <v>45723</v>
      </c>
      <c r="D144" t="inlineStr">
        <is>
          <t>JÄMTLANDS LÄN</t>
        </is>
      </c>
      <c r="E144" t="inlineStr">
        <is>
          <t>KROKOM</t>
        </is>
      </c>
      <c r="G144" t="n">
        <v>3.5</v>
      </c>
      <c r="H144" t="n">
        <v>1</v>
      </c>
      <c r="I144" t="n">
        <v>1</v>
      </c>
      <c r="J144" t="n">
        <v>3</v>
      </c>
      <c r="K144" t="n">
        <v>0</v>
      </c>
      <c r="L144" t="n">
        <v>0</v>
      </c>
      <c r="M144" t="n">
        <v>0</v>
      </c>
      <c r="N144" t="n">
        <v>0</v>
      </c>
      <c r="O144" t="n">
        <v>3</v>
      </c>
      <c r="P144" t="n">
        <v>0</v>
      </c>
      <c r="Q144" t="n">
        <v>4</v>
      </c>
      <c r="R144" s="2" t="inlineStr">
        <is>
          <t>Granticka
Tretåig hackspett
Ullticka
Trådticka</t>
        </is>
      </c>
      <c r="S144">
        <f>HYPERLINK("https://klasma.github.io/Logging_2309/artfynd/A 49169-2019 artfynd.xlsx", "A 49169-2019")</f>
        <v/>
      </c>
      <c r="T144">
        <f>HYPERLINK("https://klasma.github.io/Logging_2309/kartor/A 49169-2019 karta.png", "A 49169-2019")</f>
        <v/>
      </c>
      <c r="V144">
        <f>HYPERLINK("https://klasma.github.io/Logging_2309/klagomål/A 49169-2019 FSC-klagomål.docx", "A 49169-2019")</f>
        <v/>
      </c>
      <c r="W144">
        <f>HYPERLINK("https://klasma.github.io/Logging_2309/klagomålsmail/A 49169-2019 FSC-klagomål mail.docx", "A 49169-2019")</f>
        <v/>
      </c>
      <c r="X144">
        <f>HYPERLINK("https://klasma.github.io/Logging_2309/tillsyn/A 49169-2019 tillsynsbegäran.docx", "A 49169-2019")</f>
        <v/>
      </c>
      <c r="Y144">
        <f>HYPERLINK("https://klasma.github.io/Logging_2309/tillsynsmail/A 49169-2019 tillsynsbegäran mail.docx", "A 49169-2019")</f>
        <v/>
      </c>
      <c r="Z144">
        <f>HYPERLINK("https://klasma.github.io/Logging_2309/fåglar/A 49169-2019 prioriterade fågelarter.docx", "A 49169-2019")</f>
        <v/>
      </c>
    </row>
    <row r="145" ht="15" customHeight="1">
      <c r="A145" t="inlineStr">
        <is>
          <t>A 49097-2019</t>
        </is>
      </c>
      <c r="B145" s="1" t="n">
        <v>43731</v>
      </c>
      <c r="C145" s="1" t="n">
        <v>45723</v>
      </c>
      <c r="D145" t="inlineStr">
        <is>
          <t>JÄMTLANDS LÄN</t>
        </is>
      </c>
      <c r="E145" t="inlineStr">
        <is>
          <t>KROKOM</t>
        </is>
      </c>
      <c r="G145" t="n">
        <v>31.3</v>
      </c>
      <c r="H145" t="n">
        <v>0</v>
      </c>
      <c r="I145" t="n">
        <v>0</v>
      </c>
      <c r="J145" t="n">
        <v>4</v>
      </c>
      <c r="K145" t="n">
        <v>0</v>
      </c>
      <c r="L145" t="n">
        <v>0</v>
      </c>
      <c r="M145" t="n">
        <v>0</v>
      </c>
      <c r="N145" t="n">
        <v>0</v>
      </c>
      <c r="O145" t="n">
        <v>4</v>
      </c>
      <c r="P145" t="n">
        <v>0</v>
      </c>
      <c r="Q145" t="n">
        <v>4</v>
      </c>
      <c r="R145" s="2" t="inlineStr">
        <is>
          <t>Garnlav
Granticka
Gränsticka
Vitgrynig nållav</t>
        </is>
      </c>
      <c r="S145">
        <f>HYPERLINK("https://klasma.github.io/Logging_2309/artfynd/A 49097-2019 artfynd.xlsx", "A 49097-2019")</f>
        <v/>
      </c>
      <c r="T145">
        <f>HYPERLINK("https://klasma.github.io/Logging_2309/kartor/A 49097-2019 karta.png", "A 49097-2019")</f>
        <v/>
      </c>
      <c r="V145">
        <f>HYPERLINK("https://klasma.github.io/Logging_2309/klagomål/A 49097-2019 FSC-klagomål.docx", "A 49097-2019")</f>
        <v/>
      </c>
      <c r="W145">
        <f>HYPERLINK("https://klasma.github.io/Logging_2309/klagomålsmail/A 49097-2019 FSC-klagomål mail.docx", "A 49097-2019")</f>
        <v/>
      </c>
      <c r="X145">
        <f>HYPERLINK("https://klasma.github.io/Logging_2309/tillsyn/A 49097-2019 tillsynsbegäran.docx", "A 49097-2019")</f>
        <v/>
      </c>
      <c r="Y145">
        <f>HYPERLINK("https://klasma.github.io/Logging_2309/tillsynsmail/A 49097-2019 tillsynsbegäran mail.docx", "A 49097-2019")</f>
        <v/>
      </c>
    </row>
    <row r="146" ht="15" customHeight="1">
      <c r="A146" t="inlineStr">
        <is>
          <t>A 67215-2019</t>
        </is>
      </c>
      <c r="B146" s="1" t="n">
        <v>43811</v>
      </c>
      <c r="C146" s="1" t="n">
        <v>45723</v>
      </c>
      <c r="D146" t="inlineStr">
        <is>
          <t>JÄMTLANDS LÄN</t>
        </is>
      </c>
      <c r="E146" t="inlineStr">
        <is>
          <t>KROKOM</t>
        </is>
      </c>
      <c r="G146" t="n">
        <v>6.7</v>
      </c>
      <c r="H146" t="n">
        <v>0</v>
      </c>
      <c r="I146" t="n">
        <v>1</v>
      </c>
      <c r="J146" t="n">
        <v>2</v>
      </c>
      <c r="K146" t="n">
        <v>1</v>
      </c>
      <c r="L146" t="n">
        <v>0</v>
      </c>
      <c r="M146" t="n">
        <v>0</v>
      </c>
      <c r="N146" t="n">
        <v>0</v>
      </c>
      <c r="O146" t="n">
        <v>3</v>
      </c>
      <c r="P146" t="n">
        <v>1</v>
      </c>
      <c r="Q146" t="n">
        <v>4</v>
      </c>
      <c r="R146" s="2" t="inlineStr">
        <is>
          <t>Blåfotad fagerspindling
Garnlav
Liten svartspik
Svavelriska</t>
        </is>
      </c>
      <c r="S146">
        <f>HYPERLINK("https://klasma.github.io/Logging_2309/artfynd/A 67215-2019 artfynd.xlsx", "A 67215-2019")</f>
        <v/>
      </c>
      <c r="T146">
        <f>HYPERLINK("https://klasma.github.io/Logging_2309/kartor/A 67215-2019 karta.png", "A 67215-2019")</f>
        <v/>
      </c>
      <c r="V146">
        <f>HYPERLINK("https://klasma.github.io/Logging_2309/klagomål/A 67215-2019 FSC-klagomål.docx", "A 67215-2019")</f>
        <v/>
      </c>
      <c r="W146">
        <f>HYPERLINK("https://klasma.github.io/Logging_2309/klagomålsmail/A 67215-2019 FSC-klagomål mail.docx", "A 67215-2019")</f>
        <v/>
      </c>
      <c r="X146">
        <f>HYPERLINK("https://klasma.github.io/Logging_2309/tillsyn/A 67215-2019 tillsynsbegäran.docx", "A 67215-2019")</f>
        <v/>
      </c>
      <c r="Y146">
        <f>HYPERLINK("https://klasma.github.io/Logging_2309/tillsynsmail/A 67215-2019 tillsynsbegäran mail.docx", "A 67215-2019")</f>
        <v/>
      </c>
    </row>
    <row r="147" ht="15" customHeight="1">
      <c r="A147" t="inlineStr">
        <is>
          <t>A 68311-2019</t>
        </is>
      </c>
      <c r="B147" s="1" t="n">
        <v>43817</v>
      </c>
      <c r="C147" s="1" t="n">
        <v>45723</v>
      </c>
      <c r="D147" t="inlineStr">
        <is>
          <t>JÄMTLANDS LÄN</t>
        </is>
      </c>
      <c r="E147" t="inlineStr">
        <is>
          <t>KROKOM</t>
        </is>
      </c>
      <c r="F147" t="inlineStr">
        <is>
          <t>SCA</t>
        </is>
      </c>
      <c r="G147" t="n">
        <v>5.7</v>
      </c>
      <c r="H147" t="n">
        <v>0</v>
      </c>
      <c r="I147" t="n">
        <v>1</v>
      </c>
      <c r="J147" t="n">
        <v>3</v>
      </c>
      <c r="K147" t="n">
        <v>0</v>
      </c>
      <c r="L147" t="n">
        <v>0</v>
      </c>
      <c r="M147" t="n">
        <v>0</v>
      </c>
      <c r="N147" t="n">
        <v>0</v>
      </c>
      <c r="O147" t="n">
        <v>3</v>
      </c>
      <c r="P147" t="n">
        <v>0</v>
      </c>
      <c r="Q147" t="n">
        <v>4</v>
      </c>
      <c r="R147" s="2" t="inlineStr">
        <is>
          <t>Garnlav
Kolflarnlav
Vedskivlav
Norrlandslav</t>
        </is>
      </c>
      <c r="S147">
        <f>HYPERLINK("https://klasma.github.io/Logging_2309/artfynd/A 68311-2019 artfynd.xlsx", "A 68311-2019")</f>
        <v/>
      </c>
      <c r="T147">
        <f>HYPERLINK("https://klasma.github.io/Logging_2309/kartor/A 68311-2019 karta.png", "A 68311-2019")</f>
        <v/>
      </c>
      <c r="V147">
        <f>HYPERLINK("https://klasma.github.io/Logging_2309/klagomål/A 68311-2019 FSC-klagomål.docx", "A 68311-2019")</f>
        <v/>
      </c>
      <c r="W147">
        <f>HYPERLINK("https://klasma.github.io/Logging_2309/klagomålsmail/A 68311-2019 FSC-klagomål mail.docx", "A 68311-2019")</f>
        <v/>
      </c>
      <c r="X147">
        <f>HYPERLINK("https://klasma.github.io/Logging_2309/tillsyn/A 68311-2019 tillsynsbegäran.docx", "A 68311-2019")</f>
        <v/>
      </c>
      <c r="Y147">
        <f>HYPERLINK("https://klasma.github.io/Logging_2309/tillsynsmail/A 68311-2019 tillsynsbegäran mail.docx", "A 68311-2019")</f>
        <v/>
      </c>
    </row>
    <row r="148" ht="15" customHeight="1">
      <c r="A148" t="inlineStr">
        <is>
          <t>A 65901-2020</t>
        </is>
      </c>
      <c r="B148" s="1" t="n">
        <v>44174</v>
      </c>
      <c r="C148" s="1" t="n">
        <v>45723</v>
      </c>
      <c r="D148" t="inlineStr">
        <is>
          <t>JÄMTLANDS LÄN</t>
        </is>
      </c>
      <c r="E148" t="inlineStr">
        <is>
          <t>KROKOM</t>
        </is>
      </c>
      <c r="G148" t="n">
        <v>9.699999999999999</v>
      </c>
      <c r="H148" t="n">
        <v>0</v>
      </c>
      <c r="I148" t="n">
        <v>4</v>
      </c>
      <c r="J148" t="n">
        <v>0</v>
      </c>
      <c r="K148" t="n">
        <v>0</v>
      </c>
      <c r="L148" t="n">
        <v>0</v>
      </c>
      <c r="M148" t="n">
        <v>0</v>
      </c>
      <c r="N148" t="n">
        <v>0</v>
      </c>
      <c r="O148" t="n">
        <v>0</v>
      </c>
      <c r="P148" t="n">
        <v>0</v>
      </c>
      <c r="Q148" t="n">
        <v>4</v>
      </c>
      <c r="R148" s="2" t="inlineStr">
        <is>
          <t>Barrfagerspindling
Diskvaxskivling
Kryddspindling
Tibast</t>
        </is>
      </c>
      <c r="S148">
        <f>HYPERLINK("https://klasma.github.io/Logging_2309/artfynd/A 65901-2020 artfynd.xlsx", "A 65901-2020")</f>
        <v/>
      </c>
      <c r="T148">
        <f>HYPERLINK("https://klasma.github.io/Logging_2309/kartor/A 65901-2020 karta.png", "A 65901-2020")</f>
        <v/>
      </c>
      <c r="V148">
        <f>HYPERLINK("https://klasma.github.io/Logging_2309/klagomål/A 65901-2020 FSC-klagomål.docx", "A 65901-2020")</f>
        <v/>
      </c>
      <c r="W148">
        <f>HYPERLINK("https://klasma.github.io/Logging_2309/klagomålsmail/A 65901-2020 FSC-klagomål mail.docx", "A 65901-2020")</f>
        <v/>
      </c>
      <c r="X148">
        <f>HYPERLINK("https://klasma.github.io/Logging_2309/tillsyn/A 65901-2020 tillsynsbegäran.docx", "A 65901-2020")</f>
        <v/>
      </c>
      <c r="Y148">
        <f>HYPERLINK("https://klasma.github.io/Logging_2309/tillsynsmail/A 65901-2020 tillsynsbegäran mail.docx", "A 65901-2020")</f>
        <v/>
      </c>
    </row>
    <row r="149" ht="15" customHeight="1">
      <c r="A149" t="inlineStr">
        <is>
          <t>A 64302-2021</t>
        </is>
      </c>
      <c r="B149" s="1" t="n">
        <v>44510</v>
      </c>
      <c r="C149" s="1" t="n">
        <v>45723</v>
      </c>
      <c r="D149" t="inlineStr">
        <is>
          <t>JÄMTLANDS LÄN</t>
        </is>
      </c>
      <c r="E149" t="inlineStr">
        <is>
          <t>KROKOM</t>
        </is>
      </c>
      <c r="G149" t="n">
        <v>2.4</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HYPERLINK("https://klasma.github.io/Logging_2309/artfynd/A 64302-2021 artfynd.xlsx", "A 64302-2021")</f>
        <v/>
      </c>
      <c r="T149">
        <f>HYPERLINK("https://klasma.github.io/Logging_2309/kartor/A 64302-2021 karta.png", "A 64302-2021")</f>
        <v/>
      </c>
      <c r="V149">
        <f>HYPERLINK("https://klasma.github.io/Logging_2309/klagomål/A 64302-2021 FSC-klagomål.docx", "A 64302-2021")</f>
        <v/>
      </c>
      <c r="W149">
        <f>HYPERLINK("https://klasma.github.io/Logging_2309/klagomålsmail/A 64302-2021 FSC-klagomål mail.docx", "A 64302-2021")</f>
        <v/>
      </c>
      <c r="X149">
        <f>HYPERLINK("https://klasma.github.io/Logging_2309/tillsyn/A 64302-2021 tillsynsbegäran.docx", "A 64302-2021")</f>
        <v/>
      </c>
      <c r="Y149">
        <f>HYPERLINK("https://klasma.github.io/Logging_2309/tillsynsmail/A 64302-2021 tillsynsbegäran mail.docx", "A 64302-2021")</f>
        <v/>
      </c>
      <c r="Z149">
        <f>HYPERLINK("https://klasma.github.io/Logging_2309/fåglar/A 64302-2021 prioriterade fågelarter.docx", "A 64302-2021")</f>
        <v/>
      </c>
    </row>
    <row r="150" ht="15" customHeight="1">
      <c r="A150" t="inlineStr">
        <is>
          <t>A 73935-2021</t>
        </is>
      </c>
      <c r="B150" s="1" t="n">
        <v>44553</v>
      </c>
      <c r="C150" s="1" t="n">
        <v>45723</v>
      </c>
      <c r="D150" t="inlineStr">
        <is>
          <t>JÄMTLANDS LÄN</t>
        </is>
      </c>
      <c r="E150" t="inlineStr">
        <is>
          <t>KROKOM</t>
        </is>
      </c>
      <c r="G150" t="n">
        <v>391.3</v>
      </c>
      <c r="H150" t="n">
        <v>3</v>
      </c>
      <c r="I150" t="n">
        <v>0</v>
      </c>
      <c r="J150" t="n">
        <v>2</v>
      </c>
      <c r="K150" t="n">
        <v>0</v>
      </c>
      <c r="L150" t="n">
        <v>0</v>
      </c>
      <c r="M150" t="n">
        <v>0</v>
      </c>
      <c r="N150" t="n">
        <v>0</v>
      </c>
      <c r="O150" t="n">
        <v>2</v>
      </c>
      <c r="P150" t="n">
        <v>0</v>
      </c>
      <c r="Q150" t="n">
        <v>4</v>
      </c>
      <c r="R150" s="2" t="inlineStr">
        <is>
          <t>Doftskinn
Tretåig hackspett
Nattviol
Revlummer</t>
        </is>
      </c>
      <c r="S150">
        <f>HYPERLINK("https://klasma.github.io/Logging_2309/artfynd/A 73935-2021 artfynd.xlsx", "A 73935-2021")</f>
        <v/>
      </c>
      <c r="T150">
        <f>HYPERLINK("https://klasma.github.io/Logging_2309/kartor/A 73935-2021 karta.png", "A 73935-2021")</f>
        <v/>
      </c>
      <c r="V150">
        <f>HYPERLINK("https://klasma.github.io/Logging_2309/klagomål/A 73935-2021 FSC-klagomål.docx", "A 73935-2021")</f>
        <v/>
      </c>
      <c r="W150">
        <f>HYPERLINK("https://klasma.github.io/Logging_2309/klagomålsmail/A 73935-2021 FSC-klagomål mail.docx", "A 73935-2021")</f>
        <v/>
      </c>
      <c r="X150">
        <f>HYPERLINK("https://klasma.github.io/Logging_2309/tillsyn/A 73935-2021 tillsynsbegäran.docx", "A 73935-2021")</f>
        <v/>
      </c>
      <c r="Y150">
        <f>HYPERLINK("https://klasma.github.io/Logging_2309/tillsynsmail/A 73935-2021 tillsynsbegäran mail.docx", "A 73935-2021")</f>
        <v/>
      </c>
      <c r="Z150">
        <f>HYPERLINK("https://klasma.github.io/Logging_2309/fåglar/A 73935-2021 prioriterade fågelarter.docx", "A 73935-2021")</f>
        <v/>
      </c>
    </row>
    <row r="151" ht="15" customHeight="1">
      <c r="A151" t="inlineStr">
        <is>
          <t>A 23994-2022</t>
        </is>
      </c>
      <c r="B151" s="1" t="n">
        <v>44722</v>
      </c>
      <c r="C151" s="1" t="n">
        <v>45723</v>
      </c>
      <c r="D151" t="inlineStr">
        <is>
          <t>JÄMTLANDS LÄN</t>
        </is>
      </c>
      <c r="E151" t="inlineStr">
        <is>
          <t>KROKOM</t>
        </is>
      </c>
      <c r="F151" t="inlineStr">
        <is>
          <t>SCA</t>
        </is>
      </c>
      <c r="G151" t="n">
        <v>13.4</v>
      </c>
      <c r="H151" t="n">
        <v>0</v>
      </c>
      <c r="I151" t="n">
        <v>1</v>
      </c>
      <c r="J151" t="n">
        <v>3</v>
      </c>
      <c r="K151" t="n">
        <v>0</v>
      </c>
      <c r="L151" t="n">
        <v>0</v>
      </c>
      <c r="M151" t="n">
        <v>0</v>
      </c>
      <c r="N151" t="n">
        <v>0</v>
      </c>
      <c r="O151" t="n">
        <v>3</v>
      </c>
      <c r="P151" t="n">
        <v>0</v>
      </c>
      <c r="Q151" t="n">
        <v>4</v>
      </c>
      <c r="R151" s="2" t="inlineStr">
        <is>
          <t>Garnlav
Lunglav
Skrovellav
Korallblylav</t>
        </is>
      </c>
      <c r="S151">
        <f>HYPERLINK("https://klasma.github.io/Logging_2309/artfynd/A 23994-2022 artfynd.xlsx", "A 23994-2022")</f>
        <v/>
      </c>
      <c r="T151">
        <f>HYPERLINK("https://klasma.github.io/Logging_2309/kartor/A 23994-2022 karta.png", "A 23994-2022")</f>
        <v/>
      </c>
      <c r="V151">
        <f>HYPERLINK("https://klasma.github.io/Logging_2309/klagomål/A 23994-2022 FSC-klagomål.docx", "A 23994-2022")</f>
        <v/>
      </c>
      <c r="W151">
        <f>HYPERLINK("https://klasma.github.io/Logging_2309/klagomålsmail/A 23994-2022 FSC-klagomål mail.docx", "A 23994-2022")</f>
        <v/>
      </c>
      <c r="X151">
        <f>HYPERLINK("https://klasma.github.io/Logging_2309/tillsyn/A 23994-2022 tillsynsbegäran.docx", "A 23994-2022")</f>
        <v/>
      </c>
      <c r="Y151">
        <f>HYPERLINK("https://klasma.github.io/Logging_2309/tillsynsmail/A 23994-2022 tillsynsbegäran mail.docx", "A 23994-2022")</f>
        <v/>
      </c>
    </row>
    <row r="152" ht="15" customHeight="1">
      <c r="A152" t="inlineStr">
        <is>
          <t>A 25029-2022</t>
        </is>
      </c>
      <c r="B152" s="1" t="n">
        <v>44728</v>
      </c>
      <c r="C152" s="1" t="n">
        <v>45723</v>
      </c>
      <c r="D152" t="inlineStr">
        <is>
          <t>JÄMTLANDS LÄN</t>
        </is>
      </c>
      <c r="E152" t="inlineStr">
        <is>
          <t>KROKOM</t>
        </is>
      </c>
      <c r="F152" t="inlineStr">
        <is>
          <t>SCA</t>
        </is>
      </c>
      <c r="G152" t="n">
        <v>41.5</v>
      </c>
      <c r="H152" t="n">
        <v>3</v>
      </c>
      <c r="I152" t="n">
        <v>0</v>
      </c>
      <c r="J152" t="n">
        <v>2</v>
      </c>
      <c r="K152" t="n">
        <v>1</v>
      </c>
      <c r="L152" t="n">
        <v>0</v>
      </c>
      <c r="M152" t="n">
        <v>0</v>
      </c>
      <c r="N152" t="n">
        <v>0</v>
      </c>
      <c r="O152" t="n">
        <v>3</v>
      </c>
      <c r="P152" t="n">
        <v>1</v>
      </c>
      <c r="Q152" t="n">
        <v>4</v>
      </c>
      <c r="R152" s="2" t="inlineStr">
        <is>
          <t>Knärot
Skrovellav
Spillkråka
Fläcknycklar</t>
        </is>
      </c>
      <c r="S152">
        <f>HYPERLINK("https://klasma.github.io/Logging_2309/artfynd/A 25029-2022 artfynd.xlsx", "A 25029-2022")</f>
        <v/>
      </c>
      <c r="T152">
        <f>HYPERLINK("https://klasma.github.io/Logging_2309/kartor/A 25029-2022 karta.png", "A 25029-2022")</f>
        <v/>
      </c>
      <c r="U152">
        <f>HYPERLINK("https://klasma.github.io/Logging_2309/knärot/A 25029-2022 karta knärot.png", "A 25029-2022")</f>
        <v/>
      </c>
      <c r="V152">
        <f>HYPERLINK("https://klasma.github.io/Logging_2309/klagomål/A 25029-2022 FSC-klagomål.docx", "A 25029-2022")</f>
        <v/>
      </c>
      <c r="W152">
        <f>HYPERLINK("https://klasma.github.io/Logging_2309/klagomålsmail/A 25029-2022 FSC-klagomål mail.docx", "A 25029-2022")</f>
        <v/>
      </c>
      <c r="X152">
        <f>HYPERLINK("https://klasma.github.io/Logging_2309/tillsyn/A 25029-2022 tillsynsbegäran.docx", "A 25029-2022")</f>
        <v/>
      </c>
      <c r="Y152">
        <f>HYPERLINK("https://klasma.github.io/Logging_2309/tillsynsmail/A 25029-2022 tillsynsbegäran mail.docx", "A 25029-2022")</f>
        <v/>
      </c>
      <c r="Z152">
        <f>HYPERLINK("https://klasma.github.io/Logging_2309/fåglar/A 25029-2022 prioriterade fågelarter.docx", "A 25029-2022")</f>
        <v/>
      </c>
    </row>
    <row r="153" ht="15" customHeight="1">
      <c r="A153" t="inlineStr">
        <is>
          <t>A 53363-2022</t>
        </is>
      </c>
      <c r="B153" s="1" t="n">
        <v>44879</v>
      </c>
      <c r="C153" s="1" t="n">
        <v>45723</v>
      </c>
      <c r="D153" t="inlineStr">
        <is>
          <t>JÄMTLANDS LÄN</t>
        </is>
      </c>
      <c r="E153" t="inlineStr">
        <is>
          <t>KROKOM</t>
        </is>
      </c>
      <c r="F153" t="inlineStr">
        <is>
          <t>Kyrkan</t>
        </is>
      </c>
      <c r="G153" t="n">
        <v>13.3</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53363-2022 artfynd.xlsx", "A 53363-2022")</f>
        <v/>
      </c>
      <c r="T153">
        <f>HYPERLINK("https://klasma.github.io/Logging_2309/kartor/A 53363-2022 karta.png", "A 53363-2022")</f>
        <v/>
      </c>
      <c r="V153">
        <f>HYPERLINK("https://klasma.github.io/Logging_2309/klagomål/A 53363-2022 FSC-klagomål.docx", "A 53363-2022")</f>
        <v/>
      </c>
      <c r="W153">
        <f>HYPERLINK("https://klasma.github.io/Logging_2309/klagomålsmail/A 53363-2022 FSC-klagomål mail.docx", "A 53363-2022")</f>
        <v/>
      </c>
      <c r="X153">
        <f>HYPERLINK("https://klasma.github.io/Logging_2309/tillsyn/A 53363-2022 tillsynsbegäran.docx", "A 53363-2022")</f>
        <v/>
      </c>
      <c r="Y153">
        <f>HYPERLINK("https://klasma.github.io/Logging_2309/tillsynsmail/A 53363-2022 tillsynsbegäran mail.docx", "A 53363-2022")</f>
        <v/>
      </c>
      <c r="Z153">
        <f>HYPERLINK("https://klasma.github.io/Logging_2309/fåglar/A 53363-2022 prioriterade fågelarter.docx", "A 53363-2022")</f>
        <v/>
      </c>
    </row>
    <row r="154" ht="15" customHeight="1">
      <c r="A154" t="inlineStr">
        <is>
          <t>A 57295-2022</t>
        </is>
      </c>
      <c r="B154" s="1" t="n">
        <v>44895</v>
      </c>
      <c r="C154" s="1" t="n">
        <v>45723</v>
      </c>
      <c r="D154" t="inlineStr">
        <is>
          <t>JÄMTLANDS LÄN</t>
        </is>
      </c>
      <c r="E154" t="inlineStr">
        <is>
          <t>KROKOM</t>
        </is>
      </c>
      <c r="G154" t="n">
        <v>36.3</v>
      </c>
      <c r="H154" t="n">
        <v>2</v>
      </c>
      <c r="I154" t="n">
        <v>0</v>
      </c>
      <c r="J154" t="n">
        <v>3</v>
      </c>
      <c r="K154" t="n">
        <v>1</v>
      </c>
      <c r="L154" t="n">
        <v>0</v>
      </c>
      <c r="M154" t="n">
        <v>0</v>
      </c>
      <c r="N154" t="n">
        <v>0</v>
      </c>
      <c r="O154" t="n">
        <v>4</v>
      </c>
      <c r="P154" t="n">
        <v>1</v>
      </c>
      <c r="Q154" t="n">
        <v>4</v>
      </c>
      <c r="R154" s="2" t="inlineStr">
        <is>
          <t>Doftticka
Garnlav
Lunglav
Tretåig hackspett</t>
        </is>
      </c>
      <c r="S154">
        <f>HYPERLINK("https://klasma.github.io/Logging_2309/artfynd/A 57295-2022 artfynd.xlsx", "A 57295-2022")</f>
        <v/>
      </c>
      <c r="T154">
        <f>HYPERLINK("https://klasma.github.io/Logging_2309/kartor/A 57295-2022 karta.png", "A 57295-2022")</f>
        <v/>
      </c>
      <c r="V154">
        <f>HYPERLINK("https://klasma.github.io/Logging_2309/klagomål/A 57295-2022 FSC-klagomål.docx", "A 57295-2022")</f>
        <v/>
      </c>
      <c r="W154">
        <f>HYPERLINK("https://klasma.github.io/Logging_2309/klagomålsmail/A 57295-2022 FSC-klagomål mail.docx", "A 57295-2022")</f>
        <v/>
      </c>
      <c r="X154">
        <f>HYPERLINK("https://klasma.github.io/Logging_2309/tillsyn/A 57295-2022 tillsynsbegäran.docx", "A 57295-2022")</f>
        <v/>
      </c>
      <c r="Y154">
        <f>HYPERLINK("https://klasma.github.io/Logging_2309/tillsynsmail/A 57295-2022 tillsynsbegäran mail.docx", "A 57295-2022")</f>
        <v/>
      </c>
      <c r="Z154">
        <f>HYPERLINK("https://klasma.github.io/Logging_2309/fåglar/A 57295-2022 prioriterade fågelarter.docx", "A 57295-2022")</f>
        <v/>
      </c>
    </row>
    <row r="155" ht="15" customHeight="1">
      <c r="A155" t="inlineStr">
        <is>
          <t>A 60566-2022</t>
        </is>
      </c>
      <c r="B155" s="1" t="n">
        <v>44904</v>
      </c>
      <c r="C155" s="1" t="n">
        <v>45723</v>
      </c>
      <c r="D155" t="inlineStr">
        <is>
          <t>JÄMTLANDS LÄN</t>
        </is>
      </c>
      <c r="E155" t="inlineStr">
        <is>
          <t>KROKOM</t>
        </is>
      </c>
      <c r="G155" t="n">
        <v>7.1</v>
      </c>
      <c r="H155" t="n">
        <v>1</v>
      </c>
      <c r="I155" t="n">
        <v>0</v>
      </c>
      <c r="J155" t="n">
        <v>3</v>
      </c>
      <c r="K155" t="n">
        <v>1</v>
      </c>
      <c r="L155" t="n">
        <v>0</v>
      </c>
      <c r="M155" t="n">
        <v>0</v>
      </c>
      <c r="N155" t="n">
        <v>0</v>
      </c>
      <c r="O155" t="n">
        <v>4</v>
      </c>
      <c r="P155" t="n">
        <v>1</v>
      </c>
      <c r="Q155" t="n">
        <v>4</v>
      </c>
      <c r="R155" s="2" t="inlineStr">
        <is>
          <t>Fjällfotad fingersvamp
Lunglav
Småflikig brosklav
Talltita</t>
        </is>
      </c>
      <c r="S155">
        <f>HYPERLINK("https://klasma.github.io/Logging_2309/artfynd/A 60566-2022 artfynd.xlsx", "A 60566-2022")</f>
        <v/>
      </c>
      <c r="T155">
        <f>HYPERLINK("https://klasma.github.io/Logging_2309/kartor/A 60566-2022 karta.png", "A 60566-2022")</f>
        <v/>
      </c>
      <c r="V155">
        <f>HYPERLINK("https://klasma.github.io/Logging_2309/klagomål/A 60566-2022 FSC-klagomål.docx", "A 60566-2022")</f>
        <v/>
      </c>
      <c r="W155">
        <f>HYPERLINK("https://klasma.github.io/Logging_2309/klagomålsmail/A 60566-2022 FSC-klagomål mail.docx", "A 60566-2022")</f>
        <v/>
      </c>
      <c r="X155">
        <f>HYPERLINK("https://klasma.github.io/Logging_2309/tillsyn/A 60566-2022 tillsynsbegäran.docx", "A 60566-2022")</f>
        <v/>
      </c>
      <c r="Y155">
        <f>HYPERLINK("https://klasma.github.io/Logging_2309/tillsynsmail/A 60566-2022 tillsynsbegäran mail.docx", "A 60566-2022")</f>
        <v/>
      </c>
      <c r="Z155">
        <f>HYPERLINK("https://klasma.github.io/Logging_2309/fåglar/A 60566-2022 prioriterade fågelarter.docx", "A 60566-2022")</f>
        <v/>
      </c>
    </row>
    <row r="156" ht="15" customHeight="1">
      <c r="A156" t="inlineStr">
        <is>
          <t>A 6682-2023</t>
        </is>
      </c>
      <c r="B156" s="1" t="n">
        <v>44966</v>
      </c>
      <c r="C156" s="1" t="n">
        <v>45723</v>
      </c>
      <c r="D156" t="inlineStr">
        <is>
          <t>JÄMTLANDS LÄN</t>
        </is>
      </c>
      <c r="E156" t="inlineStr">
        <is>
          <t>KROKOM</t>
        </is>
      </c>
      <c r="G156" t="n">
        <v>22.8</v>
      </c>
      <c r="H156" t="n">
        <v>1</v>
      </c>
      <c r="I156" t="n">
        <v>0</v>
      </c>
      <c r="J156" t="n">
        <v>4</v>
      </c>
      <c r="K156" t="n">
        <v>0</v>
      </c>
      <c r="L156" t="n">
        <v>0</v>
      </c>
      <c r="M156" t="n">
        <v>0</v>
      </c>
      <c r="N156" t="n">
        <v>0</v>
      </c>
      <c r="O156" t="n">
        <v>4</v>
      </c>
      <c r="P156" t="n">
        <v>0</v>
      </c>
      <c r="Q156" t="n">
        <v>4</v>
      </c>
      <c r="R156" s="2" t="inlineStr">
        <is>
          <t>Garnlav
Granticka
Lunglav
Tretåig hackspett</t>
        </is>
      </c>
      <c r="S156">
        <f>HYPERLINK("https://klasma.github.io/Logging_2309/artfynd/A 6682-2023 artfynd.xlsx", "A 6682-2023")</f>
        <v/>
      </c>
      <c r="T156">
        <f>HYPERLINK("https://klasma.github.io/Logging_2309/kartor/A 6682-2023 karta.png", "A 6682-2023")</f>
        <v/>
      </c>
      <c r="V156">
        <f>HYPERLINK("https://klasma.github.io/Logging_2309/klagomål/A 6682-2023 FSC-klagomål.docx", "A 6682-2023")</f>
        <v/>
      </c>
      <c r="W156">
        <f>HYPERLINK("https://klasma.github.io/Logging_2309/klagomålsmail/A 6682-2023 FSC-klagomål mail.docx", "A 6682-2023")</f>
        <v/>
      </c>
      <c r="X156">
        <f>HYPERLINK("https://klasma.github.io/Logging_2309/tillsyn/A 6682-2023 tillsynsbegäran.docx", "A 6682-2023")</f>
        <v/>
      </c>
      <c r="Y156">
        <f>HYPERLINK("https://klasma.github.io/Logging_2309/tillsynsmail/A 6682-2023 tillsynsbegäran mail.docx", "A 6682-2023")</f>
        <v/>
      </c>
      <c r="Z156">
        <f>HYPERLINK("https://klasma.github.io/Logging_2309/fåglar/A 6682-2023 prioriterade fågelarter.docx", "A 6682-2023")</f>
        <v/>
      </c>
    </row>
    <row r="157" ht="15" customHeight="1">
      <c r="A157" t="inlineStr">
        <is>
          <t>A 40179-2023</t>
        </is>
      </c>
      <c r="B157" s="1" t="n">
        <v>45169</v>
      </c>
      <c r="C157" s="1" t="n">
        <v>45723</v>
      </c>
      <c r="D157" t="inlineStr">
        <is>
          <t>JÄMTLANDS LÄN</t>
        </is>
      </c>
      <c r="E157" t="inlineStr">
        <is>
          <t>KROKOM</t>
        </is>
      </c>
      <c r="F157" t="inlineStr">
        <is>
          <t>Övriga Aktiebolag</t>
        </is>
      </c>
      <c r="G157" t="n">
        <v>2.8</v>
      </c>
      <c r="H157" t="n">
        <v>1</v>
      </c>
      <c r="I157" t="n">
        <v>1</v>
      </c>
      <c r="J157" t="n">
        <v>3</v>
      </c>
      <c r="K157" t="n">
        <v>0</v>
      </c>
      <c r="L157" t="n">
        <v>0</v>
      </c>
      <c r="M157" t="n">
        <v>0</v>
      </c>
      <c r="N157" t="n">
        <v>0</v>
      </c>
      <c r="O157" t="n">
        <v>3</v>
      </c>
      <c r="P157" t="n">
        <v>0</v>
      </c>
      <c r="Q157" t="n">
        <v>4</v>
      </c>
      <c r="R157" s="2" t="inlineStr">
        <is>
          <t>Grantaggsvamp
Orange taggsvamp
Tretåig hackspett
Tallfingersvamp</t>
        </is>
      </c>
      <c r="S157">
        <f>HYPERLINK("https://klasma.github.io/Logging_2309/artfynd/A 40179-2023 artfynd.xlsx", "A 40179-2023")</f>
        <v/>
      </c>
      <c r="T157">
        <f>HYPERLINK("https://klasma.github.io/Logging_2309/kartor/A 40179-2023 karta.png", "A 40179-2023")</f>
        <v/>
      </c>
      <c r="V157">
        <f>HYPERLINK("https://klasma.github.io/Logging_2309/klagomål/A 40179-2023 FSC-klagomål.docx", "A 40179-2023")</f>
        <v/>
      </c>
      <c r="W157">
        <f>HYPERLINK("https://klasma.github.io/Logging_2309/klagomålsmail/A 40179-2023 FSC-klagomål mail.docx", "A 40179-2023")</f>
        <v/>
      </c>
      <c r="X157">
        <f>HYPERLINK("https://klasma.github.io/Logging_2309/tillsyn/A 40179-2023 tillsynsbegäran.docx", "A 40179-2023")</f>
        <v/>
      </c>
      <c r="Y157">
        <f>HYPERLINK("https://klasma.github.io/Logging_2309/tillsynsmail/A 40179-2023 tillsynsbegäran mail.docx", "A 40179-2023")</f>
        <v/>
      </c>
      <c r="Z157">
        <f>HYPERLINK("https://klasma.github.io/Logging_2309/fåglar/A 40179-2023 prioriterade fågelarter.docx", "A 40179-2023")</f>
        <v/>
      </c>
    </row>
    <row r="158" ht="15" customHeight="1">
      <c r="A158" t="inlineStr">
        <is>
          <t>A 50218-2023</t>
        </is>
      </c>
      <c r="B158" s="1" t="n">
        <v>45215</v>
      </c>
      <c r="C158" s="1" t="n">
        <v>45723</v>
      </c>
      <c r="D158" t="inlineStr">
        <is>
          <t>JÄMTLANDS LÄN</t>
        </is>
      </c>
      <c r="E158" t="inlineStr">
        <is>
          <t>KROKOM</t>
        </is>
      </c>
      <c r="G158" t="n">
        <v>5.6</v>
      </c>
      <c r="H158" t="n">
        <v>2</v>
      </c>
      <c r="I158" t="n">
        <v>0</v>
      </c>
      <c r="J158" t="n">
        <v>4</v>
      </c>
      <c r="K158" t="n">
        <v>0</v>
      </c>
      <c r="L158" t="n">
        <v>0</v>
      </c>
      <c r="M158" t="n">
        <v>0</v>
      </c>
      <c r="N158" t="n">
        <v>0</v>
      </c>
      <c r="O158" t="n">
        <v>4</v>
      </c>
      <c r="P158" t="n">
        <v>0</v>
      </c>
      <c r="Q158" t="n">
        <v>4</v>
      </c>
      <c r="R158" s="2" t="inlineStr">
        <is>
          <t>Garnlav
Granticka
Spillkråka
Tretåig hackspett</t>
        </is>
      </c>
      <c r="S158">
        <f>HYPERLINK("https://klasma.github.io/Logging_2309/artfynd/A 50218-2023 artfynd.xlsx", "A 50218-2023")</f>
        <v/>
      </c>
      <c r="T158">
        <f>HYPERLINK("https://klasma.github.io/Logging_2309/kartor/A 50218-2023 karta.png", "A 50218-2023")</f>
        <v/>
      </c>
      <c r="V158">
        <f>HYPERLINK("https://klasma.github.io/Logging_2309/klagomål/A 50218-2023 FSC-klagomål.docx", "A 50218-2023")</f>
        <v/>
      </c>
      <c r="W158">
        <f>HYPERLINK("https://klasma.github.io/Logging_2309/klagomålsmail/A 50218-2023 FSC-klagomål mail.docx", "A 50218-2023")</f>
        <v/>
      </c>
      <c r="X158">
        <f>HYPERLINK("https://klasma.github.io/Logging_2309/tillsyn/A 50218-2023 tillsynsbegäran.docx", "A 50218-2023")</f>
        <v/>
      </c>
      <c r="Y158">
        <f>HYPERLINK("https://klasma.github.io/Logging_2309/tillsynsmail/A 50218-2023 tillsynsbegäran mail.docx", "A 50218-2023")</f>
        <v/>
      </c>
      <c r="Z158">
        <f>HYPERLINK("https://klasma.github.io/Logging_2309/fåglar/A 50218-2023 prioriterade fågelarter.docx", "A 50218-2023")</f>
        <v/>
      </c>
    </row>
    <row r="159" ht="15" customHeight="1">
      <c r="A159" t="inlineStr">
        <is>
          <t>A 2256-2024</t>
        </is>
      </c>
      <c r="B159" s="1" t="n">
        <v>45310</v>
      </c>
      <c r="C159" s="1" t="n">
        <v>45723</v>
      </c>
      <c r="D159" t="inlineStr">
        <is>
          <t>JÄMTLANDS LÄN</t>
        </is>
      </c>
      <c r="E159" t="inlineStr">
        <is>
          <t>KROKOM</t>
        </is>
      </c>
      <c r="G159" t="n">
        <v>29.6</v>
      </c>
      <c r="H159" t="n">
        <v>1</v>
      </c>
      <c r="I159" t="n">
        <v>1</v>
      </c>
      <c r="J159" t="n">
        <v>2</v>
      </c>
      <c r="K159" t="n">
        <v>0</v>
      </c>
      <c r="L159" t="n">
        <v>0</v>
      </c>
      <c r="M159" t="n">
        <v>0</v>
      </c>
      <c r="N159" t="n">
        <v>0</v>
      </c>
      <c r="O159" t="n">
        <v>2</v>
      </c>
      <c r="P159" t="n">
        <v>0</v>
      </c>
      <c r="Q159" t="n">
        <v>4</v>
      </c>
      <c r="R159" s="2" t="inlineStr">
        <is>
          <t>Garnlav
Gränsticka
Stuplav
Revlummer</t>
        </is>
      </c>
      <c r="S159">
        <f>HYPERLINK("https://klasma.github.io/Logging_2309/artfynd/A 2256-2024 artfynd.xlsx", "A 2256-2024")</f>
        <v/>
      </c>
      <c r="T159">
        <f>HYPERLINK("https://klasma.github.io/Logging_2309/kartor/A 2256-2024 karta.png", "A 2256-2024")</f>
        <v/>
      </c>
      <c r="V159">
        <f>HYPERLINK("https://klasma.github.io/Logging_2309/klagomål/A 2256-2024 FSC-klagomål.docx", "A 2256-2024")</f>
        <v/>
      </c>
      <c r="W159">
        <f>HYPERLINK("https://klasma.github.io/Logging_2309/klagomålsmail/A 2256-2024 FSC-klagomål mail.docx", "A 2256-2024")</f>
        <v/>
      </c>
      <c r="X159">
        <f>HYPERLINK("https://klasma.github.io/Logging_2309/tillsyn/A 2256-2024 tillsynsbegäran.docx", "A 2256-2024")</f>
        <v/>
      </c>
      <c r="Y159">
        <f>HYPERLINK("https://klasma.github.io/Logging_2309/tillsynsmail/A 2256-2024 tillsynsbegäran mail.docx", "A 2256-2024")</f>
        <v/>
      </c>
    </row>
    <row r="160" ht="15" customHeight="1">
      <c r="A160" t="inlineStr">
        <is>
          <t>A 30498-2024</t>
        </is>
      </c>
      <c r="B160" s="1" t="n">
        <v>45492</v>
      </c>
      <c r="C160" s="1" t="n">
        <v>45723</v>
      </c>
      <c r="D160" t="inlineStr">
        <is>
          <t>JÄMTLANDS LÄN</t>
        </is>
      </c>
      <c r="E160" t="inlineStr">
        <is>
          <t>KROKOM</t>
        </is>
      </c>
      <c r="G160" t="n">
        <v>9.4</v>
      </c>
      <c r="H160" t="n">
        <v>3</v>
      </c>
      <c r="I160" t="n">
        <v>2</v>
      </c>
      <c r="J160" t="n">
        <v>1</v>
      </c>
      <c r="K160" t="n">
        <v>0</v>
      </c>
      <c r="L160" t="n">
        <v>0</v>
      </c>
      <c r="M160" t="n">
        <v>0</v>
      </c>
      <c r="N160" t="n">
        <v>0</v>
      </c>
      <c r="O160" t="n">
        <v>1</v>
      </c>
      <c r="P160" t="n">
        <v>0</v>
      </c>
      <c r="Q160" t="n">
        <v>4</v>
      </c>
      <c r="R160" s="2" t="inlineStr">
        <is>
          <t>Lunglav
Grönkulla
Tvåblad
Blåsippa</t>
        </is>
      </c>
      <c r="S160">
        <f>HYPERLINK("https://klasma.github.io/Logging_2309/artfynd/A 30498-2024 artfynd.xlsx", "A 30498-2024")</f>
        <v/>
      </c>
      <c r="T160">
        <f>HYPERLINK("https://klasma.github.io/Logging_2309/kartor/A 30498-2024 karta.png", "A 30498-2024")</f>
        <v/>
      </c>
      <c r="V160">
        <f>HYPERLINK("https://klasma.github.io/Logging_2309/klagomål/A 30498-2024 FSC-klagomål.docx", "A 30498-2024")</f>
        <v/>
      </c>
      <c r="W160">
        <f>HYPERLINK("https://klasma.github.io/Logging_2309/klagomålsmail/A 30498-2024 FSC-klagomål mail.docx", "A 30498-2024")</f>
        <v/>
      </c>
      <c r="X160">
        <f>HYPERLINK("https://klasma.github.io/Logging_2309/tillsyn/A 30498-2024 tillsynsbegäran.docx", "A 30498-2024")</f>
        <v/>
      </c>
      <c r="Y160">
        <f>HYPERLINK("https://klasma.github.io/Logging_2309/tillsynsmail/A 30498-2024 tillsynsbegäran mail.docx", "A 30498-2024")</f>
        <v/>
      </c>
    </row>
    <row r="161" ht="15" customHeight="1">
      <c r="A161" t="inlineStr">
        <is>
          <t>A 35023-2024</t>
        </is>
      </c>
      <c r="B161" s="1" t="n">
        <v>45527</v>
      </c>
      <c r="C161" s="1" t="n">
        <v>45723</v>
      </c>
      <c r="D161" t="inlineStr">
        <is>
          <t>JÄMTLANDS LÄN</t>
        </is>
      </c>
      <c r="E161" t="inlineStr">
        <is>
          <t>KROKOM</t>
        </is>
      </c>
      <c r="F161" t="inlineStr">
        <is>
          <t>Övriga Aktiebolag</t>
        </is>
      </c>
      <c r="G161" t="n">
        <v>14</v>
      </c>
      <c r="H161" t="n">
        <v>1</v>
      </c>
      <c r="I161" t="n">
        <v>0</v>
      </c>
      <c r="J161" t="n">
        <v>4</v>
      </c>
      <c r="K161" t="n">
        <v>0</v>
      </c>
      <c r="L161" t="n">
        <v>0</v>
      </c>
      <c r="M161" t="n">
        <v>0</v>
      </c>
      <c r="N161" t="n">
        <v>0</v>
      </c>
      <c r="O161" t="n">
        <v>4</v>
      </c>
      <c r="P161" t="n">
        <v>0</v>
      </c>
      <c r="Q161" t="n">
        <v>4</v>
      </c>
      <c r="R161" s="2" t="inlineStr">
        <is>
          <t>Garnlav
Granticka
Harticka
Tretåig hackspett</t>
        </is>
      </c>
      <c r="S161">
        <f>HYPERLINK("https://klasma.github.io/Logging_2309/artfynd/A 35023-2024 artfynd.xlsx", "A 35023-2024")</f>
        <v/>
      </c>
      <c r="T161">
        <f>HYPERLINK("https://klasma.github.io/Logging_2309/kartor/A 35023-2024 karta.png", "A 35023-2024")</f>
        <v/>
      </c>
      <c r="V161">
        <f>HYPERLINK("https://klasma.github.io/Logging_2309/klagomål/A 35023-2024 FSC-klagomål.docx", "A 35023-2024")</f>
        <v/>
      </c>
      <c r="W161">
        <f>HYPERLINK("https://klasma.github.io/Logging_2309/klagomålsmail/A 35023-2024 FSC-klagomål mail.docx", "A 35023-2024")</f>
        <v/>
      </c>
      <c r="X161">
        <f>HYPERLINK("https://klasma.github.io/Logging_2309/tillsyn/A 35023-2024 tillsynsbegäran.docx", "A 35023-2024")</f>
        <v/>
      </c>
      <c r="Y161">
        <f>HYPERLINK("https://klasma.github.io/Logging_2309/tillsynsmail/A 35023-2024 tillsynsbegäran mail.docx", "A 35023-2024")</f>
        <v/>
      </c>
      <c r="Z161">
        <f>HYPERLINK("https://klasma.github.io/Logging_2309/fåglar/A 35023-2024 prioriterade fågelarter.docx", "A 35023-2024")</f>
        <v/>
      </c>
    </row>
    <row r="162" ht="15" customHeight="1">
      <c r="A162" t="inlineStr">
        <is>
          <t>A 49178-2024</t>
        </is>
      </c>
      <c r="B162" s="1" t="n">
        <v>45595</v>
      </c>
      <c r="C162" s="1" t="n">
        <v>45723</v>
      </c>
      <c r="D162" t="inlineStr">
        <is>
          <t>JÄMTLANDS LÄN</t>
        </is>
      </c>
      <c r="E162" t="inlineStr">
        <is>
          <t>KROKOM</t>
        </is>
      </c>
      <c r="G162" t="n">
        <v>96.8</v>
      </c>
      <c r="H162" t="n">
        <v>0</v>
      </c>
      <c r="I162" t="n">
        <v>0</v>
      </c>
      <c r="J162" t="n">
        <v>4</v>
      </c>
      <c r="K162" t="n">
        <v>0</v>
      </c>
      <c r="L162" t="n">
        <v>0</v>
      </c>
      <c r="M162" t="n">
        <v>0</v>
      </c>
      <c r="N162" t="n">
        <v>0</v>
      </c>
      <c r="O162" t="n">
        <v>4</v>
      </c>
      <c r="P162" t="n">
        <v>0</v>
      </c>
      <c r="Q162" t="n">
        <v>4</v>
      </c>
      <c r="R162" s="2" t="inlineStr">
        <is>
          <t>Gammelgransskål
Gränsticka
Rosenticka
Skrovellav</t>
        </is>
      </c>
      <c r="S162">
        <f>HYPERLINK("https://klasma.github.io/Logging_2309/artfynd/A 49178-2024 artfynd.xlsx", "A 49178-2024")</f>
        <v/>
      </c>
      <c r="T162">
        <f>HYPERLINK("https://klasma.github.io/Logging_2309/kartor/A 49178-2024 karta.png", "A 49178-2024")</f>
        <v/>
      </c>
      <c r="V162">
        <f>HYPERLINK("https://klasma.github.io/Logging_2309/klagomål/A 49178-2024 FSC-klagomål.docx", "A 49178-2024")</f>
        <v/>
      </c>
      <c r="W162">
        <f>HYPERLINK("https://klasma.github.io/Logging_2309/klagomålsmail/A 49178-2024 FSC-klagomål mail.docx", "A 49178-2024")</f>
        <v/>
      </c>
      <c r="X162">
        <f>HYPERLINK("https://klasma.github.io/Logging_2309/tillsyn/A 49178-2024 tillsynsbegäran.docx", "A 49178-2024")</f>
        <v/>
      </c>
      <c r="Y162">
        <f>HYPERLINK("https://klasma.github.io/Logging_2309/tillsynsmail/A 49178-2024 tillsynsbegäran mail.docx", "A 49178-2024")</f>
        <v/>
      </c>
    </row>
    <row r="163" ht="15" customHeight="1">
      <c r="A163" t="inlineStr">
        <is>
          <t>A 54427-2024</t>
        </is>
      </c>
      <c r="B163" s="1" t="n">
        <v>45617</v>
      </c>
      <c r="C163" s="1" t="n">
        <v>45723</v>
      </c>
      <c r="D163" t="inlineStr">
        <is>
          <t>JÄMTLANDS LÄN</t>
        </is>
      </c>
      <c r="E163" t="inlineStr">
        <is>
          <t>KROKOM</t>
        </is>
      </c>
      <c r="G163" t="n">
        <v>22.2</v>
      </c>
      <c r="H163" t="n">
        <v>2</v>
      </c>
      <c r="I163" t="n">
        <v>0</v>
      </c>
      <c r="J163" t="n">
        <v>3</v>
      </c>
      <c r="K163" t="n">
        <v>0</v>
      </c>
      <c r="L163" t="n">
        <v>0</v>
      </c>
      <c r="M163" t="n">
        <v>0</v>
      </c>
      <c r="N163" t="n">
        <v>0</v>
      </c>
      <c r="O163" t="n">
        <v>3</v>
      </c>
      <c r="P163" t="n">
        <v>0</v>
      </c>
      <c r="Q163" t="n">
        <v>4</v>
      </c>
      <c r="R163" s="2" t="inlineStr">
        <is>
          <t>Garnlav
Granticka
Tretåig hackspett
Lavskrika</t>
        </is>
      </c>
      <c r="S163">
        <f>HYPERLINK("https://klasma.github.io/Logging_2309/artfynd/A 54427-2024 artfynd.xlsx", "A 54427-2024")</f>
        <v/>
      </c>
      <c r="T163">
        <f>HYPERLINK("https://klasma.github.io/Logging_2309/kartor/A 54427-2024 karta.png", "A 54427-2024")</f>
        <v/>
      </c>
      <c r="V163">
        <f>HYPERLINK("https://klasma.github.io/Logging_2309/klagomål/A 54427-2024 FSC-klagomål.docx", "A 54427-2024")</f>
        <v/>
      </c>
      <c r="W163">
        <f>HYPERLINK("https://klasma.github.io/Logging_2309/klagomålsmail/A 54427-2024 FSC-klagomål mail.docx", "A 54427-2024")</f>
        <v/>
      </c>
      <c r="X163">
        <f>HYPERLINK("https://klasma.github.io/Logging_2309/tillsyn/A 54427-2024 tillsynsbegäran.docx", "A 54427-2024")</f>
        <v/>
      </c>
      <c r="Y163">
        <f>HYPERLINK("https://klasma.github.io/Logging_2309/tillsynsmail/A 54427-2024 tillsynsbegäran mail.docx", "A 54427-2024")</f>
        <v/>
      </c>
      <c r="Z163">
        <f>HYPERLINK("https://klasma.github.io/Logging_2309/fåglar/A 54427-2024 prioriterade fågelarter.docx", "A 54427-2024")</f>
        <v/>
      </c>
    </row>
    <row r="164" ht="15" customHeight="1">
      <c r="A164" t="inlineStr">
        <is>
          <t>A 55224-2024</t>
        </is>
      </c>
      <c r="B164" s="1" t="n">
        <v>45621</v>
      </c>
      <c r="C164" s="1" t="n">
        <v>45723</v>
      </c>
      <c r="D164" t="inlineStr">
        <is>
          <t>JÄMTLANDS LÄN</t>
        </is>
      </c>
      <c r="E164" t="inlineStr">
        <is>
          <t>KROKOM</t>
        </is>
      </c>
      <c r="G164" t="n">
        <v>38.3</v>
      </c>
      <c r="H164" t="n">
        <v>0</v>
      </c>
      <c r="I164" t="n">
        <v>1</v>
      </c>
      <c r="J164" t="n">
        <v>2</v>
      </c>
      <c r="K164" t="n">
        <v>1</v>
      </c>
      <c r="L164" t="n">
        <v>0</v>
      </c>
      <c r="M164" t="n">
        <v>0</v>
      </c>
      <c r="N164" t="n">
        <v>0</v>
      </c>
      <c r="O164" t="n">
        <v>3</v>
      </c>
      <c r="P164" t="n">
        <v>1</v>
      </c>
      <c r="Q164" t="n">
        <v>4</v>
      </c>
      <c r="R164" s="2" t="inlineStr">
        <is>
          <t>Rynkskinn
Granticka
Skrovellav
Fjällig taggsvamp s.str.</t>
        </is>
      </c>
      <c r="S164">
        <f>HYPERLINK("https://klasma.github.io/Logging_2309/artfynd/A 55224-2024 artfynd.xlsx", "A 55224-2024")</f>
        <v/>
      </c>
      <c r="T164">
        <f>HYPERLINK("https://klasma.github.io/Logging_2309/kartor/A 55224-2024 karta.png", "A 55224-2024")</f>
        <v/>
      </c>
      <c r="V164">
        <f>HYPERLINK("https://klasma.github.io/Logging_2309/klagomål/A 55224-2024 FSC-klagomål.docx", "A 55224-2024")</f>
        <v/>
      </c>
      <c r="W164">
        <f>HYPERLINK("https://klasma.github.io/Logging_2309/klagomålsmail/A 55224-2024 FSC-klagomål mail.docx", "A 55224-2024")</f>
        <v/>
      </c>
      <c r="X164">
        <f>HYPERLINK("https://klasma.github.io/Logging_2309/tillsyn/A 55224-2024 tillsynsbegäran.docx", "A 55224-2024")</f>
        <v/>
      </c>
      <c r="Y164">
        <f>HYPERLINK("https://klasma.github.io/Logging_2309/tillsynsmail/A 55224-2024 tillsynsbegäran mail.docx", "A 55224-2024")</f>
        <v/>
      </c>
    </row>
    <row r="165" ht="15" customHeight="1">
      <c r="A165" t="inlineStr">
        <is>
          <t>A 56312-2024</t>
        </is>
      </c>
      <c r="B165" s="1" t="n">
        <v>45624</v>
      </c>
      <c r="C165" s="1" t="n">
        <v>45723</v>
      </c>
      <c r="D165" t="inlineStr">
        <is>
          <t>JÄMTLANDS LÄN</t>
        </is>
      </c>
      <c r="E165" t="inlineStr">
        <is>
          <t>KROKOM</t>
        </is>
      </c>
      <c r="G165" t="n">
        <v>7.2</v>
      </c>
      <c r="H165" t="n">
        <v>2</v>
      </c>
      <c r="I165" t="n">
        <v>0</v>
      </c>
      <c r="J165" t="n">
        <v>4</v>
      </c>
      <c r="K165" t="n">
        <v>0</v>
      </c>
      <c r="L165" t="n">
        <v>0</v>
      </c>
      <c r="M165" t="n">
        <v>0</v>
      </c>
      <c r="N165" t="n">
        <v>0</v>
      </c>
      <c r="O165" t="n">
        <v>4</v>
      </c>
      <c r="P165" t="n">
        <v>0</v>
      </c>
      <c r="Q165" t="n">
        <v>4</v>
      </c>
      <c r="R165" s="2" t="inlineStr">
        <is>
          <t>Granticka
Spillkråka
Tretåig hackspett
Ullticka</t>
        </is>
      </c>
      <c r="S165">
        <f>HYPERLINK("https://klasma.github.io/Logging_2309/artfynd/A 56312-2024 artfynd.xlsx", "A 56312-2024")</f>
        <v/>
      </c>
      <c r="T165">
        <f>HYPERLINK("https://klasma.github.io/Logging_2309/kartor/A 56312-2024 karta.png", "A 56312-2024")</f>
        <v/>
      </c>
      <c r="V165">
        <f>HYPERLINK("https://klasma.github.io/Logging_2309/klagomål/A 56312-2024 FSC-klagomål.docx", "A 56312-2024")</f>
        <v/>
      </c>
      <c r="W165">
        <f>HYPERLINK("https://klasma.github.io/Logging_2309/klagomålsmail/A 56312-2024 FSC-klagomål mail.docx", "A 56312-2024")</f>
        <v/>
      </c>
      <c r="X165">
        <f>HYPERLINK("https://klasma.github.io/Logging_2309/tillsyn/A 56312-2024 tillsynsbegäran.docx", "A 56312-2024")</f>
        <v/>
      </c>
      <c r="Y165">
        <f>HYPERLINK("https://klasma.github.io/Logging_2309/tillsynsmail/A 56312-2024 tillsynsbegäran mail.docx", "A 56312-2024")</f>
        <v/>
      </c>
      <c r="Z165">
        <f>HYPERLINK("https://klasma.github.io/Logging_2309/fåglar/A 56312-2024 prioriterade fågelarter.docx", "A 56312-2024")</f>
        <v/>
      </c>
    </row>
    <row r="166" ht="15" customHeight="1">
      <c r="A166" t="inlineStr">
        <is>
          <t>A 58205-2024</t>
        </is>
      </c>
      <c r="B166" s="1" t="n">
        <v>45632</v>
      </c>
      <c r="C166" s="1" t="n">
        <v>45723</v>
      </c>
      <c r="D166" t="inlineStr">
        <is>
          <t>JÄMTLANDS LÄN</t>
        </is>
      </c>
      <c r="E166" t="inlineStr">
        <is>
          <t>KROKOM</t>
        </is>
      </c>
      <c r="G166" t="n">
        <v>14</v>
      </c>
      <c r="H166" t="n">
        <v>0</v>
      </c>
      <c r="I166" t="n">
        <v>1</v>
      </c>
      <c r="J166" t="n">
        <v>3</v>
      </c>
      <c r="K166" t="n">
        <v>0</v>
      </c>
      <c r="L166" t="n">
        <v>0</v>
      </c>
      <c r="M166" t="n">
        <v>0</v>
      </c>
      <c r="N166" t="n">
        <v>0</v>
      </c>
      <c r="O166" t="n">
        <v>3</v>
      </c>
      <c r="P166" t="n">
        <v>0</v>
      </c>
      <c r="Q166" t="n">
        <v>4</v>
      </c>
      <c r="R166" s="2" t="inlineStr">
        <is>
          <t>Lunglav
Skrovellav
Ullticka
Vedticka</t>
        </is>
      </c>
      <c r="S166">
        <f>HYPERLINK("https://klasma.github.io/Logging_2309/artfynd/A 58205-2024 artfynd.xlsx", "A 58205-2024")</f>
        <v/>
      </c>
      <c r="T166">
        <f>HYPERLINK("https://klasma.github.io/Logging_2309/kartor/A 58205-2024 karta.png", "A 58205-2024")</f>
        <v/>
      </c>
      <c r="V166">
        <f>HYPERLINK("https://klasma.github.io/Logging_2309/klagomål/A 58205-2024 FSC-klagomål.docx", "A 58205-2024")</f>
        <v/>
      </c>
      <c r="W166">
        <f>HYPERLINK("https://klasma.github.io/Logging_2309/klagomålsmail/A 58205-2024 FSC-klagomål mail.docx", "A 58205-2024")</f>
        <v/>
      </c>
      <c r="X166">
        <f>HYPERLINK("https://klasma.github.io/Logging_2309/tillsyn/A 58205-2024 tillsynsbegäran.docx", "A 58205-2024")</f>
        <v/>
      </c>
      <c r="Y166">
        <f>HYPERLINK("https://klasma.github.io/Logging_2309/tillsynsmail/A 58205-2024 tillsynsbegäran mail.docx", "A 58205-2024")</f>
        <v/>
      </c>
    </row>
    <row r="167" ht="15" customHeight="1">
      <c r="A167" t="inlineStr">
        <is>
          <t>A 45683-2019</t>
        </is>
      </c>
      <c r="B167" s="1" t="n">
        <v>43717</v>
      </c>
      <c r="C167" s="1" t="n">
        <v>45723</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45723</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45723</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45723</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45723</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45723</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45723</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45723</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45723</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45723</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45723</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45723</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45723</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45723</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45723</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45723</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45723</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45723</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45723</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45723</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45723</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45723</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45723</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45723</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45723</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45723</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45723</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45723</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45723</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45723</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45723</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45723</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45723</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45723</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45723</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45723</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45723</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45723</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45723</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45723</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45723</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45723</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45723</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45723</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45723</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45723</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45723</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45723</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45723</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45723</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45723</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45723</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45723</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45723</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45723</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45723</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45723</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45723</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45723</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45723</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45723</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45723</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45723</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45723</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45723</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45723</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45723</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45723</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45723</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45723</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45723</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45723</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45723</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45723</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45723</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45723</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45723</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45723</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45723</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45723</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45723</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45723</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45723</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45723</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45723</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45723</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45723</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45723</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45723</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45723</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45723</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45723</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45723</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45723</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45723</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45723</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45723</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45723</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45723</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45723</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45723</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45723</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45723</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45723</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45723</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45723</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45723</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45723</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45723</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45723</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45723</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45723</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45723</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45723</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45723</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45723</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45723</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45723</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45723</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45723</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45723</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45723</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45723</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45723</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45723</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45723</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45723</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45723</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45723</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45723</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45723</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45723</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45723</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45723</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45723</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45723</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45723</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45723</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45723</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45723</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45723</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45723</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45723</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45723</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45723</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45723</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45723</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45723</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45723</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45723</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45723</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45723</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45723</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45723</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45723</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45723</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5918-2025</t>
        </is>
      </c>
      <c r="B323" s="1" t="n">
        <v>45695</v>
      </c>
      <c r="C323" s="1" t="n">
        <v>45723</v>
      </c>
      <c r="D323" t="inlineStr">
        <is>
          <t>JÄMTLANDS LÄN</t>
        </is>
      </c>
      <c r="E323" t="inlineStr">
        <is>
          <t>KROKOM</t>
        </is>
      </c>
      <c r="G323" t="n">
        <v>5.7</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5918-2025 artfynd.xlsx", "A 5918-2025")</f>
        <v/>
      </c>
      <c r="T323">
        <f>HYPERLINK("https://klasma.github.io/Logging_2309/kartor/A 5918-2025 karta.png", "A 5918-2025")</f>
        <v/>
      </c>
      <c r="V323">
        <f>HYPERLINK("https://klasma.github.io/Logging_2309/klagomål/A 5918-2025 FSC-klagomål.docx", "A 5918-2025")</f>
        <v/>
      </c>
      <c r="W323">
        <f>HYPERLINK("https://klasma.github.io/Logging_2309/klagomålsmail/A 5918-2025 FSC-klagomål mail.docx", "A 5918-2025")</f>
        <v/>
      </c>
      <c r="X323">
        <f>HYPERLINK("https://klasma.github.io/Logging_2309/tillsyn/A 5918-2025 tillsynsbegäran.docx", "A 5918-2025")</f>
        <v/>
      </c>
      <c r="Y323">
        <f>HYPERLINK("https://klasma.github.io/Logging_2309/tillsynsmail/A 5918-2025 tillsynsbegäran mail.docx", "A 5918-2025")</f>
        <v/>
      </c>
      <c r="Z323">
        <f>HYPERLINK("https://klasma.github.io/Logging_2309/fåglar/A 5918-2025 prioriterade fågelarter.docx", "A 5918-2025")</f>
        <v/>
      </c>
    </row>
    <row r="324" ht="15" customHeight="1">
      <c r="A324" t="inlineStr">
        <is>
          <t>A 5919-2025</t>
        </is>
      </c>
      <c r="B324" s="1" t="n">
        <v>45695</v>
      </c>
      <c r="C324" s="1" t="n">
        <v>45723</v>
      </c>
      <c r="D324" t="inlineStr">
        <is>
          <t>JÄMTLANDS LÄN</t>
        </is>
      </c>
      <c r="E324" t="inlineStr">
        <is>
          <t>KROKOM</t>
        </is>
      </c>
      <c r="G324" t="n">
        <v>2.7</v>
      </c>
      <c r="H324" t="n">
        <v>0</v>
      </c>
      <c r="I324" t="n">
        <v>0</v>
      </c>
      <c r="J324" t="n">
        <v>1</v>
      </c>
      <c r="K324" t="n">
        <v>0</v>
      </c>
      <c r="L324" t="n">
        <v>0</v>
      </c>
      <c r="M324" t="n">
        <v>0</v>
      </c>
      <c r="N324" t="n">
        <v>0</v>
      </c>
      <c r="O324" t="n">
        <v>1</v>
      </c>
      <c r="P324" t="n">
        <v>0</v>
      </c>
      <c r="Q324" t="n">
        <v>1</v>
      </c>
      <c r="R324" s="2" t="inlineStr">
        <is>
          <t>Skogshare</t>
        </is>
      </c>
      <c r="S324">
        <f>HYPERLINK("https://klasma.github.io/Logging_2309/artfynd/A 5919-2025 artfynd.xlsx", "A 5919-2025")</f>
        <v/>
      </c>
      <c r="T324">
        <f>HYPERLINK("https://klasma.github.io/Logging_2309/kartor/A 5919-2025 karta.png", "A 5919-2025")</f>
        <v/>
      </c>
      <c r="V324">
        <f>HYPERLINK("https://klasma.github.io/Logging_2309/klagomål/A 5919-2025 FSC-klagomål.docx", "A 5919-2025")</f>
        <v/>
      </c>
      <c r="W324">
        <f>HYPERLINK("https://klasma.github.io/Logging_2309/klagomålsmail/A 5919-2025 FSC-klagomål mail.docx", "A 5919-2025")</f>
        <v/>
      </c>
      <c r="X324">
        <f>HYPERLINK("https://klasma.github.io/Logging_2309/tillsyn/A 5919-2025 tillsynsbegäran.docx", "A 5919-2025")</f>
        <v/>
      </c>
      <c r="Y324">
        <f>HYPERLINK("https://klasma.github.io/Logging_2309/tillsynsmail/A 5919-2025 tillsynsbegäran mail.docx", "A 5919-2025")</f>
        <v/>
      </c>
    </row>
    <row r="325" ht="15" customHeight="1">
      <c r="A325" t="inlineStr">
        <is>
          <t>A 6398-2025</t>
        </is>
      </c>
      <c r="B325" s="1" t="n">
        <v>45699</v>
      </c>
      <c r="C325" s="1" t="n">
        <v>45723</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7208-2025</t>
        </is>
      </c>
      <c r="B326" s="1" t="n">
        <v>45702</v>
      </c>
      <c r="C326" s="1" t="n">
        <v>45723</v>
      </c>
      <c r="D326" t="inlineStr">
        <is>
          <t>JÄMTLANDS LÄN</t>
        </is>
      </c>
      <c r="E326" t="inlineStr">
        <is>
          <t>KROKOM</t>
        </is>
      </c>
      <c r="F326" t="inlineStr">
        <is>
          <t>Övriga Aktiebolag</t>
        </is>
      </c>
      <c r="G326" t="n">
        <v>39.4</v>
      </c>
      <c r="H326" t="n">
        <v>0</v>
      </c>
      <c r="I326" t="n">
        <v>0</v>
      </c>
      <c r="J326" t="n">
        <v>1</v>
      </c>
      <c r="K326" t="n">
        <v>0</v>
      </c>
      <c r="L326" t="n">
        <v>0</v>
      </c>
      <c r="M326" t="n">
        <v>0</v>
      </c>
      <c r="N326" t="n">
        <v>0</v>
      </c>
      <c r="O326" t="n">
        <v>1</v>
      </c>
      <c r="P326" t="n">
        <v>0</v>
      </c>
      <c r="Q326" t="n">
        <v>1</v>
      </c>
      <c r="R326" s="2" t="inlineStr">
        <is>
          <t>Ullticka</t>
        </is>
      </c>
      <c r="S326">
        <f>HYPERLINK("https://klasma.github.io/Logging_2309/artfynd/A 7208-2025 artfynd.xlsx", "A 7208-2025")</f>
        <v/>
      </c>
      <c r="T326">
        <f>HYPERLINK("https://klasma.github.io/Logging_2309/kartor/A 7208-2025 karta.png", "A 7208-2025")</f>
        <v/>
      </c>
      <c r="V326">
        <f>HYPERLINK("https://klasma.github.io/Logging_2309/klagomål/A 7208-2025 FSC-klagomål.docx", "A 7208-2025")</f>
        <v/>
      </c>
      <c r="W326">
        <f>HYPERLINK("https://klasma.github.io/Logging_2309/klagomålsmail/A 7208-2025 FSC-klagomål mail.docx", "A 7208-2025")</f>
        <v/>
      </c>
      <c r="X326">
        <f>HYPERLINK("https://klasma.github.io/Logging_2309/tillsyn/A 7208-2025 tillsynsbegäran.docx", "A 7208-2025")</f>
        <v/>
      </c>
      <c r="Y326">
        <f>HYPERLINK("https://klasma.github.io/Logging_2309/tillsynsmail/A 7208-2025 tillsynsbegäran mail.docx", "A 7208-2025")</f>
        <v/>
      </c>
    </row>
    <row r="327" ht="15" customHeight="1">
      <c r="A327" t="inlineStr">
        <is>
          <t>A 7175-2025</t>
        </is>
      </c>
      <c r="B327" s="1" t="n">
        <v>45702</v>
      </c>
      <c r="C327" s="1" t="n">
        <v>45723</v>
      </c>
      <c r="D327" t="inlineStr">
        <is>
          <t>JÄMTLANDS LÄN</t>
        </is>
      </c>
      <c r="E327" t="inlineStr">
        <is>
          <t>KROKOM</t>
        </is>
      </c>
      <c r="F327" t="inlineStr">
        <is>
          <t>Övriga Aktiebolag</t>
        </is>
      </c>
      <c r="G327" t="n">
        <v>23</v>
      </c>
      <c r="H327" t="n">
        <v>0</v>
      </c>
      <c r="I327" t="n">
        <v>0</v>
      </c>
      <c r="J327" t="n">
        <v>1</v>
      </c>
      <c r="K327" t="n">
        <v>0</v>
      </c>
      <c r="L327" t="n">
        <v>0</v>
      </c>
      <c r="M327" t="n">
        <v>0</v>
      </c>
      <c r="N327" t="n">
        <v>0</v>
      </c>
      <c r="O327" t="n">
        <v>1</v>
      </c>
      <c r="P327" t="n">
        <v>0</v>
      </c>
      <c r="Q327" t="n">
        <v>1</v>
      </c>
      <c r="R327" s="2" t="inlineStr">
        <is>
          <t>Gränsticka</t>
        </is>
      </c>
      <c r="S327">
        <f>HYPERLINK("https://klasma.github.io/Logging_2309/artfynd/A 7175-2025 artfynd.xlsx", "A 7175-2025")</f>
        <v/>
      </c>
      <c r="T327">
        <f>HYPERLINK("https://klasma.github.io/Logging_2309/kartor/A 7175-2025 karta.png", "A 7175-2025")</f>
        <v/>
      </c>
      <c r="V327">
        <f>HYPERLINK("https://klasma.github.io/Logging_2309/klagomål/A 7175-2025 FSC-klagomål.docx", "A 7175-2025")</f>
        <v/>
      </c>
      <c r="W327">
        <f>HYPERLINK("https://klasma.github.io/Logging_2309/klagomålsmail/A 7175-2025 FSC-klagomål mail.docx", "A 7175-2025")</f>
        <v/>
      </c>
      <c r="X327">
        <f>HYPERLINK("https://klasma.github.io/Logging_2309/tillsyn/A 7175-2025 tillsynsbegäran.docx", "A 7175-2025")</f>
        <v/>
      </c>
      <c r="Y327">
        <f>HYPERLINK("https://klasma.github.io/Logging_2309/tillsynsmail/A 7175-2025 tillsynsbegäran mail.docx", "A 7175-2025")</f>
        <v/>
      </c>
    </row>
    <row r="328" ht="15" customHeight="1">
      <c r="A328" t="inlineStr">
        <is>
          <t>A 17853-2019</t>
        </is>
      </c>
      <c r="B328" s="1" t="n">
        <v>43556</v>
      </c>
      <c r="C328" s="1" t="n">
        <v>45723</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45723</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45723</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45723</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45723</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45723</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45723</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45723</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45723</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45723</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45723</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45723</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45723</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45723</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45723</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45723</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45723</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45723</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45723</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45723</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45723</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45723</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45723</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45723</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45723</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45723</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45723</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45723</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45723</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45723</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45723</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45723</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45723</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45723</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45723</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45723</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45723</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45723</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45723</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45723</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45723</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45723</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45723</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45723</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45723</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45723</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45723</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45723</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45723</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45723</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45723</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45723</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45723</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45723</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45723</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45723</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45723</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45723</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45723</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45723</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45723</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45723</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45723</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45723</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45723</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45723</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45723</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45723</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45723</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45723</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45723</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45723</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45723</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45723</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45723</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45723</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45723</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45723</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45723</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45723</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45723</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45723</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45723</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45723</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45723</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45723</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45723</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45723</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45723</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45723</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45723</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45723</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45723</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45723</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45723</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45723</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45723</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45723</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45723</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45723</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45723</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45723</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45723</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45723</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45723</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45723</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45723</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45723</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45723</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45723</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45723</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45723</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45723</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45723</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45723</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45723</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45723</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45723</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45723</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45723</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45723</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45723</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45723</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45723</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45723</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45723</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45723</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45723</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45723</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45723</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45723</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45723</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45723</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45723</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45723</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45723</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45723</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45723</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45723</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45723</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45723</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45723</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45723</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45723</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45723</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45723</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45723</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45723</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45723</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45723</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45723</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45723</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45723</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45723</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45723</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45723</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45723</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45723</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45723</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45723</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45723</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45723</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45723</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45723</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45723</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45723</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45723</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45723</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45723</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45723</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45723</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45723</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45723</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45723</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45723</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45723</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45723</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45723</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45723</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45723</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45723</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45723</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45723</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45723</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45723</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45723</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45723</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45723</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45723</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45723</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45723</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45723</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45723</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45723</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45723</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45723</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45723</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45723</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45723</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45723</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45723</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45723</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45723</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45723</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45723</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45723</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45723</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45723</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45723</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45723</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45723</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45723</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45723</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45723</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45723</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45723</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45723</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45723</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45723</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45723</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45723</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45723</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45723</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45723</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45723</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45723</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45723</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45723</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45723</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45723</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45723</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45723</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45723</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45723</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45723</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45723</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45723</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45723</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45723</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45723</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45723</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45723</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45723</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45723</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45723</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45723</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45723</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45723</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45723</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45723</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45723</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45723</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45723</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45723</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45723</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45723</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45723</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45723</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45723</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45723</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45723</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45723</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45723</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45723</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45723</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45723</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45723</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45723</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45723</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45723</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45723</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45723</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45723</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45723</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45723</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45723</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45723</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45723</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45723</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45723</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45723</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45723</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45723</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45723</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45723</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45723</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45723</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45723</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45723</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45723</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45723</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45723</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45723</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45723</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45723</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45723</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45723</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45723</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45723</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45723</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45723</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45723</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45723</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45723</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45723</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45723</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45723</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45723</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45723</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45723</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45723</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45723</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45723</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45723</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45723</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45723</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45723</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45723</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45723</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45723</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45723</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45723</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45723</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45723</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45723</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45723</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45723</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45723</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45723</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45723</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45723</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45723</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45723</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45723</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45723</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45723</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45723</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45723</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45723</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45723</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45723</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45723</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45723</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45723</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45723</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45723</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45723</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45723</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45723</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45723</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45723</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45723</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45723</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45723</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45723</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45723</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45723</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45723</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45723</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45723</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45723</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45723</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45723</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45723</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45723</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45723</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45723</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45723</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45723</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45723</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45723</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45723</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45723</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45723</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45723</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45723</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45723</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45723</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45723</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45723</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45723</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45723</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45723</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45723</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45723</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45723</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45723</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45723</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45723</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45723</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45723</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45723</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45723</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45723</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45723</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45723</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45723</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45723</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45723</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45723</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45723</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45723</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45723</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45723</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45723</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45723</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45723</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45723</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45723</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45723</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45723</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45723</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45723</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45723</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45723</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45723</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45723</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45723</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45723</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45723</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45723</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45723</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45723</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45723</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45723</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45723</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45723</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45723</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45723</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45723</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45723</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45723</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45723</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45723</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45723</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45723</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45723</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45723</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45723</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45723</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45723</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45723</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45723</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45723</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45723</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45723</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45723</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45723</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45723</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45723</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45723</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45723</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45723</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45723</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45723</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45723</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45723</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45723</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45723</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45723</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45723</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45723</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45723</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45723</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45723</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45723</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45723</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45723</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45723</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45723</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45723</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45723</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45723</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45723</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45723</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45723</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45723</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45723</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45723</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45723</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45723</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45723</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45723</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45723</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45723</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45723</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45723</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45723</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45723</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45723</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45723</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45723</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45723</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45723</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45723</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45723</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45723</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45723</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45723</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45723</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45723</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45723</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45723</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45723</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45723</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45723</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45723</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45723</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45723</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45723</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45723</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45723</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45723</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45723</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45723</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45723</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45723</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45723</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45723</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45723</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45723</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45723</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45723</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45723</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45723</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45723</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45723</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45723</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45723</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45723</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45723</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45723</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45723</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45723</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45723</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45723</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45723</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45723</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45723</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45723</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45723</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45723</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45723</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45723</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45723</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45723</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45723</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45723</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45723</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45723</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45723</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45723</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45723</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45723</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45723</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45723</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45723</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45723</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45723</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45723</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45723</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45723</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45723</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45723</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45723</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45723</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45723</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45723</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45723</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45723</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45723</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45723</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45723</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45723</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45723</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45723</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45723</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45723</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45723</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45723</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45723</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45723</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45723</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45723</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45723</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45723</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45723</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45723</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45723</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45723</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45723</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45723</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45723</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45723</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45723</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45723</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45723</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45723</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45723</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45723</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45723</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45723</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45723</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45723</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45723</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45723</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45723</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45723</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45723</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45723</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45723</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45723</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45723</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45723</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45723</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45723</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45723</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45723</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45723</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45723</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45723</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45723</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45723</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45723</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45723</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45723</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45723</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45723</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45723</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45723</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45723</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45723</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45723</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45723</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45723</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45723</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45723</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45723</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45723</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45723</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45723</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45723</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45723</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45723</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45723</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45723</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45723</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45723</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45723</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45723</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45723</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45723</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45723</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45723</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45723</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45723</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45723</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45723</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45723</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45723</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45723</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45723</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45723</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45723</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45723</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45723</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45723</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45723</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45723</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45723</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45723</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45723</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45723</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45723</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45723</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45723</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45723</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45723</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45723</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45723</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45723</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45723</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45723</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45723</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45723</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45723</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45723</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45723</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45723</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45723</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45723</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45723</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45723</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45723</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45723</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45723</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45723</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45723</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45723</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45723</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45723</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45723</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45723</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45723</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45723</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45723</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45723</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45723</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45723</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45723</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45723</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45723</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45723</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45723</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45723</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45723</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45723</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45723</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45723</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45723</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45723</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45723</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45723</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45723</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45723</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45723</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45723</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45723</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45723</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45723</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45723</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45723</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45723</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45723</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45723</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45723</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45723</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45723</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45723</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45723</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45723</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45723</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45723</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45723</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45723</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45723</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45723</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45723</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45723</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45723</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45723</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45723</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45723</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45723</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45723</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45723</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45723</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45723</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45723</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45723</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45723</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45723</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45723</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45723</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45723</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45723</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45723</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45723</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45723</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45723</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45723</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45723</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45723</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45723</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45723</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45723</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45723</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45723</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45723</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45723</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45723</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45723</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45723</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45723</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45723</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45723</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45723</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45723</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45723</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45723</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45723</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45723</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45723</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45723</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45723</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45723</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45723</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45723</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45723</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45723</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45723</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45723</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45723</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45723</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45723</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45723</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45723</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45723</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45723</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45723</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45723</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45723</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45723</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45723</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45723</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45723</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45723</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45723</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45723</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45723</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45723</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45723</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45723</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45723</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45723</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45723</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45723</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45723</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45723</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45723</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45723</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45723</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45723</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45723</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45723</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45723</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45723</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45723</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45723</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45723</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45723</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45723</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45723</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45723</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45723</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45723</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45723</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45723</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45723</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45723</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45723</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45723</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45723</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45723</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45723</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45723</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45723</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45723</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45723</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45723</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45723</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45723</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45723</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45723</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45723</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45723</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45723</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45723</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45723</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45723</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45723</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45723</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45723</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45723</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45723</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45723</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45723</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45723</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45723</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45723</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45723</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45723</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45723</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45723</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45723</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45723</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45723</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45723</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45723</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45723</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45723</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45723</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45723</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45723</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45723</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45723</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45723</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45723</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45723</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45723</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45723</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45723</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45723</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45723</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45723</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45723</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45723</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45723</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45723</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45723</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45723</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45723</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45723</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45723</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45723</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45723</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45723</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45723</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45723</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45723</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45723</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45723</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45723</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45723</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45723</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45723</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45723</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45723</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45723</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45723</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45723</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45723</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45723</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45723</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45723</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45723</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45723</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45723</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45723</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45723</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45723</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45723</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45723</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45723</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45723</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45723</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45723</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45723</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45723</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45723</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45723</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45723</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45723</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45723</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45723</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45723</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45723</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45723</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45723</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45723</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45723</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45723</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45723</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45723</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45723</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45723</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45723</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45723</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45723</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45723</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45723</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45723</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45723</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45723</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45723</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45723</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45723</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45723</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45723</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45723</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45723</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45723</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45723</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45723</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45723</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45723</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45723</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45723</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45723</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45723</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45723</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45723</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45723</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45723</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45723</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45723</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45723</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45723</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45723</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45723</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45723</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45723</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45723</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45723</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45723</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45723</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45723</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45723</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45723</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45723</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45723</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45723</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45723</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45723</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45723</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45723</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45723</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45723</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45723</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45723</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45723</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45723</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45723</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45723</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45723</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45723</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45723</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45723</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45723</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45723</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45723</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45723</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45723</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45723</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45723</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45723</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45723</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45723</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45723</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45723</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45723</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45723</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45723</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45723</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45723</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45723</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45723</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45723</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45723</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45723</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45723</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45723</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45723</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45723</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45723</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45723</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45723</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45723</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45723</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45723</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45723</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45723</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45723</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45723</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45723</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45723</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45723</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45723</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45723</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45723</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45723</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45723</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45723</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45723</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45723</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45723</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45723</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45723</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45723</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45723</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45723</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45723</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45723</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45723</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45723</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45723</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45723</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45723</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45723</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45723</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45723</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45723</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45723</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45723</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45723</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45723</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45723</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45723</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45723</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45723</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45723</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45723</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45723</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45723</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45723</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45723</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45723</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45723</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45723</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45723</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45723</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45723</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45723</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45723</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45723</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45723</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45723</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45723</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45723</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45723</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45723</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45723</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45723</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45723</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45723</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45723</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45723</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45723</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45723</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45723</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45723</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45723</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45723</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45723</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45723</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45723</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45723</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45723</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45723</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45723</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45723</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45723</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45723</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45723</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45723</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45723</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45723</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45723</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45723</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45723</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45723</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45723</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45723</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45723</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45723</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45723</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45723</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45723</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45723</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45723</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45723</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45723</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45723</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45723</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45723</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45723</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45723</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45723</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45723</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45723</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45723</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45723</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45723</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45723</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45723</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45723</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45723</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45723</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45723</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45723</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45723</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45723</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45723</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45723</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45723</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45723</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45723</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45723</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45723</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45723</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45723</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45723</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45723</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45723</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45723</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45723</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45723</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45723</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45723</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45723</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45723</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45723</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45723</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45723</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45723</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45723</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45723</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45723</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45723</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45723</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45723</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45723</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45723</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45723</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45723</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45723</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45723</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45723</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45723</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45723</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45723</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45723</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45723</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45723</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45723</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45723</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45723</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45723</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45723</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45723</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45723</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45723</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45723</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45723</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45723</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45723</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45723</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45723</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45723</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45723</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45723</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45723</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45723</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45723</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45723</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45723</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45723</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45723</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45723</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45723</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45723</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45723</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45723</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45723</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45723</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45723</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45723</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45723</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45723</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45723</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45723</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45723</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45723</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45723</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45723</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45723</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45723</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45723</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45723</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45723</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45723</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45723</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45723</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45723</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45723</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45723</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45723</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45723</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45723</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45723</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45723</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45723</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45723</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45723</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45723</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45723</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45723</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45723</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45723</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45723</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45723</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45723</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45723</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45723</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45723</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45723</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45723</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45723</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45723</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45723</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45723</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45723</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45723</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45723</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45723</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45723</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45723</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45723</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45723</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45723</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45723</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45723</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45723</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45723</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45723</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45723</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45723</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45723</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45723</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45723</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45723</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45723</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45723</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45723</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5092-2025</t>
        </is>
      </c>
      <c r="B1652" s="1" t="n">
        <v>45691</v>
      </c>
      <c r="C1652" s="1" t="n">
        <v>45723</v>
      </c>
      <c r="D1652" t="inlineStr">
        <is>
          <t>JÄMTLANDS LÄN</t>
        </is>
      </c>
      <c r="E1652" t="inlineStr">
        <is>
          <t>KROKOM</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5085-2025</t>
        </is>
      </c>
      <c r="B1653" s="1" t="n">
        <v>45691</v>
      </c>
      <c r="C1653" s="1" t="n">
        <v>45723</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5054-2025</t>
        </is>
      </c>
      <c r="B1654" s="1" t="n">
        <v>45691</v>
      </c>
      <c r="C1654" s="1" t="n">
        <v>45723</v>
      </c>
      <c r="D1654" t="inlineStr">
        <is>
          <t>JÄMTLANDS LÄN</t>
        </is>
      </c>
      <c r="E1654" t="inlineStr">
        <is>
          <t>KROKOM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5173-2025</t>
        </is>
      </c>
      <c r="B1655" s="1" t="n">
        <v>45691</v>
      </c>
      <c r="C1655" s="1" t="n">
        <v>45723</v>
      </c>
      <c r="D1655" t="inlineStr">
        <is>
          <t>JÄMTLANDS LÄN</t>
        </is>
      </c>
      <c r="E1655" t="inlineStr">
        <is>
          <t>KROKOM</t>
        </is>
      </c>
      <c r="F1655" t="inlineStr">
        <is>
          <t>Kyrkan</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5105-2025</t>
        </is>
      </c>
      <c r="B1656" s="1" t="n">
        <v>45691</v>
      </c>
      <c r="C1656" s="1" t="n">
        <v>45723</v>
      </c>
      <c r="D1656" t="inlineStr">
        <is>
          <t>JÄMTLANDS LÄN</t>
        </is>
      </c>
      <c r="E1656" t="inlineStr">
        <is>
          <t>KROKOM</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5291-2025</t>
        </is>
      </c>
      <c r="B1657" s="1" t="n">
        <v>45692</v>
      </c>
      <c r="C1657" s="1" t="n">
        <v>45723</v>
      </c>
      <c r="D1657" t="inlineStr">
        <is>
          <t>JÄMTLANDS LÄN</t>
        </is>
      </c>
      <c r="E1657" t="inlineStr">
        <is>
          <t>KROKOM</t>
        </is>
      </c>
      <c r="G1657" t="n">
        <v>29.1</v>
      </c>
      <c r="H1657" t="n">
        <v>0</v>
      </c>
      <c r="I1657" t="n">
        <v>0</v>
      </c>
      <c r="J1657" t="n">
        <v>0</v>
      </c>
      <c r="K1657" t="n">
        <v>0</v>
      </c>
      <c r="L1657" t="n">
        <v>0</v>
      </c>
      <c r="M1657" t="n">
        <v>0</v>
      </c>
      <c r="N1657" t="n">
        <v>0</v>
      </c>
      <c r="O1657" t="n">
        <v>0</v>
      </c>
      <c r="P1657" t="n">
        <v>0</v>
      </c>
      <c r="Q1657" t="n">
        <v>0</v>
      </c>
      <c r="R1657" s="2" t="inlineStr"/>
    </row>
    <row r="1658" ht="15" customHeight="1">
      <c r="A1658" t="inlineStr">
        <is>
          <t>A 5356-2025</t>
        </is>
      </c>
      <c r="B1658" s="1" t="n">
        <v>45692</v>
      </c>
      <c r="C1658" s="1" t="n">
        <v>45723</v>
      </c>
      <c r="D1658" t="inlineStr">
        <is>
          <t>JÄMTLANDS LÄN</t>
        </is>
      </c>
      <c r="E1658" t="inlineStr">
        <is>
          <t>KROKOM</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5364-2025</t>
        </is>
      </c>
      <c r="B1659" s="1" t="n">
        <v>45692</v>
      </c>
      <c r="C1659" s="1" t="n">
        <v>45723</v>
      </c>
      <c r="D1659" t="inlineStr">
        <is>
          <t>JÄMTLANDS LÄN</t>
        </is>
      </c>
      <c r="E1659" t="inlineStr">
        <is>
          <t>KROKOM</t>
        </is>
      </c>
      <c r="G1659" t="n">
        <v>25.4</v>
      </c>
      <c r="H1659" t="n">
        <v>0</v>
      </c>
      <c r="I1659" t="n">
        <v>0</v>
      </c>
      <c r="J1659" t="n">
        <v>0</v>
      </c>
      <c r="K1659" t="n">
        <v>0</v>
      </c>
      <c r="L1659" t="n">
        <v>0</v>
      </c>
      <c r="M1659" t="n">
        <v>0</v>
      </c>
      <c r="N1659" t="n">
        <v>0</v>
      </c>
      <c r="O1659" t="n">
        <v>0</v>
      </c>
      <c r="P1659" t="n">
        <v>0</v>
      </c>
      <c r="Q1659" t="n">
        <v>0</v>
      </c>
      <c r="R1659" s="2" t="inlineStr"/>
    </row>
    <row r="1660" ht="15" customHeight="1">
      <c r="A1660" t="inlineStr">
        <is>
          <t>A 5409-2025</t>
        </is>
      </c>
      <c r="B1660" s="1" t="n">
        <v>45692</v>
      </c>
      <c r="C1660" s="1" t="n">
        <v>45723</v>
      </c>
      <c r="D1660" t="inlineStr">
        <is>
          <t>JÄMTLANDS LÄN</t>
        </is>
      </c>
      <c r="E1660" t="inlineStr">
        <is>
          <t>KROKOM</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5255-2025</t>
        </is>
      </c>
      <c r="B1661" s="1" t="n">
        <v>45692</v>
      </c>
      <c r="C1661" s="1" t="n">
        <v>45723</v>
      </c>
      <c r="D1661" t="inlineStr">
        <is>
          <t>JÄMTLANDS LÄN</t>
        </is>
      </c>
      <c r="E1661" t="inlineStr">
        <is>
          <t>KROKOM</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5402-2025</t>
        </is>
      </c>
      <c r="B1662" s="1" t="n">
        <v>45692</v>
      </c>
      <c r="C1662" s="1" t="n">
        <v>45723</v>
      </c>
      <c r="D1662" t="inlineStr">
        <is>
          <t>JÄMTLANDS LÄN</t>
        </is>
      </c>
      <c r="E1662" t="inlineStr">
        <is>
          <t>KROKOM</t>
        </is>
      </c>
      <c r="G1662" t="n">
        <v>20.3</v>
      </c>
      <c r="H1662" t="n">
        <v>0</v>
      </c>
      <c r="I1662" t="n">
        <v>0</v>
      </c>
      <c r="J1662" t="n">
        <v>0</v>
      </c>
      <c r="K1662" t="n">
        <v>0</v>
      </c>
      <c r="L1662" t="n">
        <v>0</v>
      </c>
      <c r="M1662" t="n">
        <v>0</v>
      </c>
      <c r="N1662" t="n">
        <v>0</v>
      </c>
      <c r="O1662" t="n">
        <v>0</v>
      </c>
      <c r="P1662" t="n">
        <v>0</v>
      </c>
      <c r="Q1662" t="n">
        <v>0</v>
      </c>
      <c r="R1662" s="2" t="inlineStr"/>
    </row>
    <row r="1663" ht="15" customHeight="1">
      <c r="A1663" t="inlineStr">
        <is>
          <t>A 5378-2025</t>
        </is>
      </c>
      <c r="B1663" s="1" t="n">
        <v>45692</v>
      </c>
      <c r="C1663" s="1" t="n">
        <v>45723</v>
      </c>
      <c r="D1663" t="inlineStr">
        <is>
          <t>JÄMTLANDS LÄN</t>
        </is>
      </c>
      <c r="E1663" t="inlineStr">
        <is>
          <t>KROKOM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5334-2025</t>
        </is>
      </c>
      <c r="B1664" s="1" t="n">
        <v>45692</v>
      </c>
      <c r="C1664" s="1" t="n">
        <v>45723</v>
      </c>
      <c r="D1664" t="inlineStr">
        <is>
          <t>JÄMTLANDS LÄN</t>
        </is>
      </c>
      <c r="E1664" t="inlineStr">
        <is>
          <t>KROKOM</t>
        </is>
      </c>
      <c r="G1664" t="n">
        <v>34.8</v>
      </c>
      <c r="H1664" t="n">
        <v>0</v>
      </c>
      <c r="I1664" t="n">
        <v>0</v>
      </c>
      <c r="J1664" t="n">
        <v>0</v>
      </c>
      <c r="K1664" t="n">
        <v>0</v>
      </c>
      <c r="L1664" t="n">
        <v>0</v>
      </c>
      <c r="M1664" t="n">
        <v>0</v>
      </c>
      <c r="N1664" t="n">
        <v>0</v>
      </c>
      <c r="O1664" t="n">
        <v>0</v>
      </c>
      <c r="P1664" t="n">
        <v>0</v>
      </c>
      <c r="Q1664" t="n">
        <v>0</v>
      </c>
      <c r="R1664" s="2" t="inlineStr"/>
    </row>
    <row r="1665" ht="15" customHeight="1">
      <c r="A1665" t="inlineStr">
        <is>
          <t>A 5558-2025</t>
        </is>
      </c>
      <c r="B1665" s="1" t="n">
        <v>45693</v>
      </c>
      <c r="C1665" s="1" t="n">
        <v>45723</v>
      </c>
      <c r="D1665" t="inlineStr">
        <is>
          <t>JÄMTLANDS LÄN</t>
        </is>
      </c>
      <c r="E1665" t="inlineStr">
        <is>
          <t>KROKOM</t>
        </is>
      </c>
      <c r="G1665" t="n">
        <v>31.1</v>
      </c>
      <c r="H1665" t="n">
        <v>0</v>
      </c>
      <c r="I1665" t="n">
        <v>0</v>
      </c>
      <c r="J1665" t="n">
        <v>0</v>
      </c>
      <c r="K1665" t="n">
        <v>0</v>
      </c>
      <c r="L1665" t="n">
        <v>0</v>
      </c>
      <c r="M1665" t="n">
        <v>0</v>
      </c>
      <c r="N1665" t="n">
        <v>0</v>
      </c>
      <c r="O1665" t="n">
        <v>0</v>
      </c>
      <c r="P1665" t="n">
        <v>0</v>
      </c>
      <c r="Q1665" t="n">
        <v>0</v>
      </c>
      <c r="R1665" s="2" t="inlineStr"/>
    </row>
    <row r="1666" ht="15" customHeight="1">
      <c r="A1666" t="inlineStr">
        <is>
          <t>A 5637-2025</t>
        </is>
      </c>
      <c r="B1666" s="1" t="n">
        <v>45693</v>
      </c>
      <c r="C1666" s="1" t="n">
        <v>45723</v>
      </c>
      <c r="D1666" t="inlineStr">
        <is>
          <t>JÄMTLANDS LÄN</t>
        </is>
      </c>
      <c r="E1666" t="inlineStr">
        <is>
          <t>KROKOM</t>
        </is>
      </c>
      <c r="F1666" t="inlineStr">
        <is>
          <t>Övriga Aktiebolag</t>
        </is>
      </c>
      <c r="G1666" t="n">
        <v>57.8</v>
      </c>
      <c r="H1666" t="n">
        <v>0</v>
      </c>
      <c r="I1666" t="n">
        <v>0</v>
      </c>
      <c r="J1666" t="n">
        <v>0</v>
      </c>
      <c r="K1666" t="n">
        <v>0</v>
      </c>
      <c r="L1666" t="n">
        <v>0</v>
      </c>
      <c r="M1666" t="n">
        <v>0</v>
      </c>
      <c r="N1666" t="n">
        <v>0</v>
      </c>
      <c r="O1666" t="n">
        <v>0</v>
      </c>
      <c r="P1666" t="n">
        <v>0</v>
      </c>
      <c r="Q1666" t="n">
        <v>0</v>
      </c>
      <c r="R1666" s="2" t="inlineStr"/>
    </row>
    <row r="1667" ht="15" customHeight="1">
      <c r="A1667" t="inlineStr">
        <is>
          <t>A 5498-2025</t>
        </is>
      </c>
      <c r="B1667" s="1" t="n">
        <v>45693</v>
      </c>
      <c r="C1667" s="1" t="n">
        <v>45723</v>
      </c>
      <c r="D1667" t="inlineStr">
        <is>
          <t>JÄMTLANDS LÄN</t>
        </is>
      </c>
      <c r="E1667" t="inlineStr">
        <is>
          <t>KROKOM</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5533-2025</t>
        </is>
      </c>
      <c r="B1668" s="1" t="n">
        <v>45693</v>
      </c>
      <c r="C1668" s="1" t="n">
        <v>45723</v>
      </c>
      <c r="D1668" t="inlineStr">
        <is>
          <t>JÄMTLANDS LÄN</t>
        </is>
      </c>
      <c r="E1668" t="inlineStr">
        <is>
          <t>KROKOM</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5680-2025</t>
        </is>
      </c>
      <c r="B1669" s="1" t="n">
        <v>45694</v>
      </c>
      <c r="C1669" s="1" t="n">
        <v>45723</v>
      </c>
      <c r="D1669" t="inlineStr">
        <is>
          <t>JÄMTLANDS LÄN</t>
        </is>
      </c>
      <c r="E1669" t="inlineStr">
        <is>
          <t>KROKOM</t>
        </is>
      </c>
      <c r="F1669" t="inlineStr">
        <is>
          <t>Övriga Aktiebolag</t>
        </is>
      </c>
      <c r="G1669" t="n">
        <v>48.4</v>
      </c>
      <c r="H1669" t="n">
        <v>0</v>
      </c>
      <c r="I1669" t="n">
        <v>0</v>
      </c>
      <c r="J1669" t="n">
        <v>0</v>
      </c>
      <c r="K1669" t="n">
        <v>0</v>
      </c>
      <c r="L1669" t="n">
        <v>0</v>
      </c>
      <c r="M1669" t="n">
        <v>0</v>
      </c>
      <c r="N1669" t="n">
        <v>0</v>
      </c>
      <c r="O1669" t="n">
        <v>0</v>
      </c>
      <c r="P1669" t="n">
        <v>0</v>
      </c>
      <c r="Q1669" t="n">
        <v>0</v>
      </c>
      <c r="R1669" s="2" t="inlineStr"/>
    </row>
    <row r="1670" ht="15" customHeight="1">
      <c r="A1670" t="inlineStr">
        <is>
          <t>A 5785-2025</t>
        </is>
      </c>
      <c r="B1670" s="1" t="n">
        <v>45694</v>
      </c>
      <c r="C1670" s="1" t="n">
        <v>45723</v>
      </c>
      <c r="D1670" t="inlineStr">
        <is>
          <t>JÄMTLANDS LÄN</t>
        </is>
      </c>
      <c r="E1670" t="inlineStr">
        <is>
          <t>KROKOM</t>
        </is>
      </c>
      <c r="F1670" t="inlineStr">
        <is>
          <t>Övriga Aktiebolag</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5704-2025</t>
        </is>
      </c>
      <c r="B1671" s="1" t="n">
        <v>45694</v>
      </c>
      <c r="C1671" s="1" t="n">
        <v>45723</v>
      </c>
      <c r="D1671" t="inlineStr">
        <is>
          <t>JÄMTLANDS LÄN</t>
        </is>
      </c>
      <c r="E1671" t="inlineStr">
        <is>
          <t>KROKOM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45723</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5966-2025</t>
        </is>
      </c>
      <c r="B1673" s="1" t="n">
        <v>45695</v>
      </c>
      <c r="C1673" s="1" t="n">
        <v>45723</v>
      </c>
      <c r="D1673" t="inlineStr">
        <is>
          <t>JÄMTLANDS LÄN</t>
        </is>
      </c>
      <c r="E1673" t="inlineStr">
        <is>
          <t>KROKOM</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5998-2025</t>
        </is>
      </c>
      <c r="B1674" s="1" t="n">
        <v>45695</v>
      </c>
      <c r="C1674" s="1" t="n">
        <v>45723</v>
      </c>
      <c r="D1674" t="inlineStr">
        <is>
          <t>JÄMTLANDS LÄN</t>
        </is>
      </c>
      <c r="E1674" t="inlineStr">
        <is>
          <t>KROKOM</t>
        </is>
      </c>
      <c r="F1674" t="inlineStr">
        <is>
          <t>Övriga Aktiebolag</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5850-2025</t>
        </is>
      </c>
      <c r="B1675" s="1" t="n">
        <v>45695</v>
      </c>
      <c r="C1675" s="1" t="n">
        <v>45723</v>
      </c>
      <c r="D1675" t="inlineStr">
        <is>
          <t>JÄMTLANDS LÄN</t>
        </is>
      </c>
      <c r="E1675" t="inlineStr">
        <is>
          <t>KROKOM</t>
        </is>
      </c>
      <c r="F1675" t="inlineStr">
        <is>
          <t>SCA</t>
        </is>
      </c>
      <c r="G1675" t="n">
        <v>62.1</v>
      </c>
      <c r="H1675" t="n">
        <v>0</v>
      </c>
      <c r="I1675" t="n">
        <v>0</v>
      </c>
      <c r="J1675" t="n">
        <v>0</v>
      </c>
      <c r="K1675" t="n">
        <v>0</v>
      </c>
      <c r="L1675" t="n">
        <v>0</v>
      </c>
      <c r="M1675" t="n">
        <v>0</v>
      </c>
      <c r="N1675" t="n">
        <v>0</v>
      </c>
      <c r="O1675" t="n">
        <v>0</v>
      </c>
      <c r="P1675" t="n">
        <v>0</v>
      </c>
      <c r="Q1675" t="n">
        <v>0</v>
      </c>
      <c r="R1675" s="2" t="inlineStr"/>
    </row>
    <row r="1676" ht="15" customHeight="1">
      <c r="A1676" t="inlineStr">
        <is>
          <t>A 5907-2025</t>
        </is>
      </c>
      <c r="B1676" s="1" t="n">
        <v>45695</v>
      </c>
      <c r="C1676" s="1" t="n">
        <v>45723</v>
      </c>
      <c r="D1676" t="inlineStr">
        <is>
          <t>JÄMTLANDS LÄN</t>
        </is>
      </c>
      <c r="E1676" t="inlineStr">
        <is>
          <t>KROKOM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45723</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5935-2025</t>
        </is>
      </c>
      <c r="B1678" s="1" t="n">
        <v>45695</v>
      </c>
      <c r="C1678" s="1" t="n">
        <v>45723</v>
      </c>
      <c r="D1678" t="inlineStr">
        <is>
          <t>JÄMTLANDS LÄN</t>
        </is>
      </c>
      <c r="E1678" t="inlineStr">
        <is>
          <t>KROKOM</t>
        </is>
      </c>
      <c r="F1678" t="inlineStr">
        <is>
          <t>Övriga Aktiebolag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5955-2025</t>
        </is>
      </c>
      <c r="B1679" s="1" t="n">
        <v>45695</v>
      </c>
      <c r="C1679" s="1" t="n">
        <v>45723</v>
      </c>
      <c r="D1679" t="inlineStr">
        <is>
          <t>JÄMTLANDS LÄN</t>
        </is>
      </c>
      <c r="E1679" t="inlineStr">
        <is>
          <t>KROKOM</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5896-2025</t>
        </is>
      </c>
      <c r="B1680" s="1" t="n">
        <v>45695</v>
      </c>
      <c r="C1680" s="1" t="n">
        <v>45723</v>
      </c>
      <c r="D1680" t="inlineStr">
        <is>
          <t>JÄMTLANDS LÄN</t>
        </is>
      </c>
      <c r="E1680" t="inlineStr">
        <is>
          <t>KROKOM</t>
        </is>
      </c>
      <c r="F1680" t="inlineStr">
        <is>
          <t>Övriga Aktiebolag</t>
        </is>
      </c>
      <c r="G1680" t="n">
        <v>13.3</v>
      </c>
      <c r="H1680" t="n">
        <v>0</v>
      </c>
      <c r="I1680" t="n">
        <v>0</v>
      </c>
      <c r="J1680" t="n">
        <v>0</v>
      </c>
      <c r="K1680" t="n">
        <v>0</v>
      </c>
      <c r="L1680" t="n">
        <v>0</v>
      </c>
      <c r="M1680" t="n">
        <v>0</v>
      </c>
      <c r="N1680" t="n">
        <v>0</v>
      </c>
      <c r="O1680" t="n">
        <v>0</v>
      </c>
      <c r="P1680" t="n">
        <v>0</v>
      </c>
      <c r="Q1680" t="n">
        <v>0</v>
      </c>
      <c r="R1680" s="2" t="inlineStr"/>
    </row>
    <row r="1681" ht="15" customHeight="1">
      <c r="A1681" t="inlineStr">
        <is>
          <t>A 5920-2025</t>
        </is>
      </c>
      <c r="B1681" s="1" t="n">
        <v>45695</v>
      </c>
      <c r="C1681" s="1" t="n">
        <v>45723</v>
      </c>
      <c r="D1681" t="inlineStr">
        <is>
          <t>JÄMTLANDS LÄN</t>
        </is>
      </c>
      <c r="E1681" t="inlineStr">
        <is>
          <t>KROKOM</t>
        </is>
      </c>
      <c r="F1681" t="inlineStr">
        <is>
          <t>Övriga Aktiebolag</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45723</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45723</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6015-2025</t>
        </is>
      </c>
      <c r="B1684" s="1" t="n">
        <v>45695</v>
      </c>
      <c r="C1684" s="1" t="n">
        <v>45723</v>
      </c>
      <c r="D1684" t="inlineStr">
        <is>
          <t>JÄMTLANDS LÄN</t>
        </is>
      </c>
      <c r="E1684" t="inlineStr">
        <is>
          <t>KROKOM</t>
        </is>
      </c>
      <c r="F1684" t="inlineStr">
        <is>
          <t>Övriga Aktiebolag</t>
        </is>
      </c>
      <c r="G1684" t="n">
        <v>15.5</v>
      </c>
      <c r="H1684" t="n">
        <v>0</v>
      </c>
      <c r="I1684" t="n">
        <v>0</v>
      </c>
      <c r="J1684" t="n">
        <v>0</v>
      </c>
      <c r="K1684" t="n">
        <v>0</v>
      </c>
      <c r="L1684" t="n">
        <v>0</v>
      </c>
      <c r="M1684" t="n">
        <v>0</v>
      </c>
      <c r="N1684" t="n">
        <v>0</v>
      </c>
      <c r="O1684" t="n">
        <v>0</v>
      </c>
      <c r="P1684" t="n">
        <v>0</v>
      </c>
      <c r="Q1684" t="n">
        <v>0</v>
      </c>
      <c r="R1684" s="2" t="inlineStr"/>
    </row>
    <row r="1685" ht="15" customHeight="1">
      <c r="A1685" t="inlineStr">
        <is>
          <t>A 5991-2025</t>
        </is>
      </c>
      <c r="B1685" s="1" t="n">
        <v>45695</v>
      </c>
      <c r="C1685" s="1" t="n">
        <v>45723</v>
      </c>
      <c r="D1685" t="inlineStr">
        <is>
          <t>JÄMTLANDS LÄN</t>
        </is>
      </c>
      <c r="E1685" t="inlineStr">
        <is>
          <t>KROKOM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6235-2025</t>
        </is>
      </c>
      <c r="B1686" s="1" t="n">
        <v>45695</v>
      </c>
      <c r="C1686" s="1" t="n">
        <v>45723</v>
      </c>
      <c r="D1686" t="inlineStr">
        <is>
          <t>JÄMTLANDS LÄN</t>
        </is>
      </c>
      <c r="E1686" t="inlineStr">
        <is>
          <t>KROKOM</t>
        </is>
      </c>
      <c r="F1686" t="inlineStr">
        <is>
          <t>SCA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6068-2025</t>
        </is>
      </c>
      <c r="B1687" s="1" t="n">
        <v>45696</v>
      </c>
      <c r="C1687" s="1" t="n">
        <v>45723</v>
      </c>
      <c r="D1687" t="inlineStr">
        <is>
          <t>JÄMTLANDS LÄN</t>
        </is>
      </c>
      <c r="E1687" t="inlineStr">
        <is>
          <t>KROKOM</t>
        </is>
      </c>
      <c r="F1687" t="inlineStr">
        <is>
          <t>Övriga Aktiebolag</t>
        </is>
      </c>
      <c r="G1687" t="n">
        <v>17.2</v>
      </c>
      <c r="H1687" t="n">
        <v>0</v>
      </c>
      <c r="I1687" t="n">
        <v>0</v>
      </c>
      <c r="J1687" t="n">
        <v>0</v>
      </c>
      <c r="K1687" t="n">
        <v>0</v>
      </c>
      <c r="L1687" t="n">
        <v>0</v>
      </c>
      <c r="M1687" t="n">
        <v>0</v>
      </c>
      <c r="N1687" t="n">
        <v>0</v>
      </c>
      <c r="O1687" t="n">
        <v>0</v>
      </c>
      <c r="P1687" t="n">
        <v>0</v>
      </c>
      <c r="Q1687" t="n">
        <v>0</v>
      </c>
      <c r="R1687" s="2" t="inlineStr"/>
    </row>
    <row r="1688" ht="15" customHeight="1">
      <c r="A1688" t="inlineStr">
        <is>
          <t>A 6066-2025</t>
        </is>
      </c>
      <c r="B1688" s="1" t="n">
        <v>45696</v>
      </c>
      <c r="C1688" s="1" t="n">
        <v>45723</v>
      </c>
      <c r="D1688" t="inlineStr">
        <is>
          <t>JÄMTLANDS LÄN</t>
        </is>
      </c>
      <c r="E1688" t="inlineStr">
        <is>
          <t>KROKOM</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45723</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45723</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6114-2025</t>
        </is>
      </c>
      <c r="B1691" s="1" t="n">
        <v>45698</v>
      </c>
      <c r="C1691" s="1" t="n">
        <v>45723</v>
      </c>
      <c r="D1691" t="inlineStr">
        <is>
          <t>JÄMTLANDS LÄN</t>
        </is>
      </c>
      <c r="E1691" t="inlineStr">
        <is>
          <t>KROKOM</t>
        </is>
      </c>
      <c r="F1691" t="inlineStr">
        <is>
          <t>Övriga Aktiebolag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6148-2025</t>
        </is>
      </c>
      <c r="B1692" s="1" t="n">
        <v>45698</v>
      </c>
      <c r="C1692" s="1" t="n">
        <v>45723</v>
      </c>
      <c r="D1692" t="inlineStr">
        <is>
          <t>JÄMTLANDS LÄN</t>
        </is>
      </c>
      <c r="E1692" t="inlineStr">
        <is>
          <t>KROKOM</t>
        </is>
      </c>
      <c r="G1692" t="n">
        <v>43.6</v>
      </c>
      <c r="H1692" t="n">
        <v>0</v>
      </c>
      <c r="I1692" t="n">
        <v>0</v>
      </c>
      <c r="J1692" t="n">
        <v>0</v>
      </c>
      <c r="K1692" t="n">
        <v>0</v>
      </c>
      <c r="L1692" t="n">
        <v>0</v>
      </c>
      <c r="M1692" t="n">
        <v>0</v>
      </c>
      <c r="N1692" t="n">
        <v>0</v>
      </c>
      <c r="O1692" t="n">
        <v>0</v>
      </c>
      <c r="P1692" t="n">
        <v>0</v>
      </c>
      <c r="Q1692" t="n">
        <v>0</v>
      </c>
      <c r="R1692" s="2" t="inlineStr"/>
    </row>
    <row r="1693" ht="15" customHeight="1">
      <c r="A1693" t="inlineStr">
        <is>
          <t>A 6166-2025</t>
        </is>
      </c>
      <c r="B1693" s="1" t="n">
        <v>45698</v>
      </c>
      <c r="C1693" s="1" t="n">
        <v>45723</v>
      </c>
      <c r="D1693" t="inlineStr">
        <is>
          <t>JÄMTLANDS LÄN</t>
        </is>
      </c>
      <c r="E1693" t="inlineStr">
        <is>
          <t>KROKOM</t>
        </is>
      </c>
      <c r="F1693" t="inlineStr">
        <is>
          <t>Övriga Aktiebolag</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6234-2025</t>
        </is>
      </c>
      <c r="B1694" s="1" t="n">
        <v>45698</v>
      </c>
      <c r="C1694" s="1" t="n">
        <v>45723</v>
      </c>
      <c r="D1694" t="inlineStr">
        <is>
          <t>JÄMTLANDS LÄN</t>
        </is>
      </c>
      <c r="E1694" t="inlineStr">
        <is>
          <t>KROKOM</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6145-2025</t>
        </is>
      </c>
      <c r="B1695" s="1" t="n">
        <v>45698</v>
      </c>
      <c r="C1695" s="1" t="n">
        <v>45723</v>
      </c>
      <c r="D1695" t="inlineStr">
        <is>
          <t>JÄMTLANDS LÄN</t>
        </is>
      </c>
      <c r="E1695" t="inlineStr">
        <is>
          <t>KROKOM</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45723</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45723</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6245-2025</t>
        </is>
      </c>
      <c r="B1698" s="1" t="n">
        <v>45698</v>
      </c>
      <c r="C1698" s="1" t="n">
        <v>45723</v>
      </c>
      <c r="D1698" t="inlineStr">
        <is>
          <t>JÄMTLANDS LÄN</t>
        </is>
      </c>
      <c r="E1698" t="inlineStr">
        <is>
          <t>KROKOM</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6342-2025</t>
        </is>
      </c>
      <c r="B1699" s="1" t="n">
        <v>45699</v>
      </c>
      <c r="C1699" s="1" t="n">
        <v>45723</v>
      </c>
      <c r="D1699" t="inlineStr">
        <is>
          <t>JÄMTLANDS LÄN</t>
        </is>
      </c>
      <c r="E1699" t="inlineStr">
        <is>
          <t>KROKOM</t>
        </is>
      </c>
      <c r="F1699" t="inlineStr">
        <is>
          <t>Övriga Aktiebolag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6524-2025</t>
        </is>
      </c>
      <c r="B1700" s="1" t="n">
        <v>45699</v>
      </c>
      <c r="C1700" s="1" t="n">
        <v>45723</v>
      </c>
      <c r="D1700" t="inlineStr">
        <is>
          <t>JÄMTLANDS LÄN</t>
        </is>
      </c>
      <c r="E1700" t="inlineStr">
        <is>
          <t>KROKOM</t>
        </is>
      </c>
      <c r="F1700" t="inlineStr">
        <is>
          <t>Övriga Aktiebolag</t>
        </is>
      </c>
      <c r="G1700" t="n">
        <v>51.6</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45723</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6590-2025</t>
        </is>
      </c>
      <c r="B1702" s="1" t="n">
        <v>45700</v>
      </c>
      <c r="C1702" s="1" t="n">
        <v>45723</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6627-2025</t>
        </is>
      </c>
      <c r="B1703" s="1" t="n">
        <v>45700</v>
      </c>
      <c r="C1703" s="1" t="n">
        <v>45723</v>
      </c>
      <c r="D1703" t="inlineStr">
        <is>
          <t>JÄMTLANDS LÄN</t>
        </is>
      </c>
      <c r="E1703" t="inlineStr">
        <is>
          <t>KROKOM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6585-2025</t>
        </is>
      </c>
      <c r="B1704" s="1" t="n">
        <v>45700</v>
      </c>
      <c r="C1704" s="1" t="n">
        <v>45723</v>
      </c>
      <c r="D1704" t="inlineStr">
        <is>
          <t>JÄMTLANDS LÄN</t>
        </is>
      </c>
      <c r="E1704" t="inlineStr">
        <is>
          <t>KROKOM</t>
        </is>
      </c>
      <c r="F1704" t="inlineStr">
        <is>
          <t>Övriga Aktiebolag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6711-2025</t>
        </is>
      </c>
      <c r="B1705" s="1" t="n">
        <v>45700</v>
      </c>
      <c r="C1705" s="1" t="n">
        <v>45723</v>
      </c>
      <c r="D1705" t="inlineStr">
        <is>
          <t>JÄMTLANDS LÄN</t>
        </is>
      </c>
      <c r="E1705" t="inlineStr">
        <is>
          <t>KROKOM</t>
        </is>
      </c>
      <c r="F1705" t="inlineStr">
        <is>
          <t>Övriga Aktiebolag</t>
        </is>
      </c>
      <c r="G1705" t="n">
        <v>37.6</v>
      </c>
      <c r="H1705" t="n">
        <v>0</v>
      </c>
      <c r="I1705" t="n">
        <v>0</v>
      </c>
      <c r="J1705" t="n">
        <v>0</v>
      </c>
      <c r="K1705" t="n">
        <v>0</v>
      </c>
      <c r="L1705" t="n">
        <v>0</v>
      </c>
      <c r="M1705" t="n">
        <v>0</v>
      </c>
      <c r="N1705" t="n">
        <v>0</v>
      </c>
      <c r="O1705" t="n">
        <v>0</v>
      </c>
      <c r="P1705" t="n">
        <v>0</v>
      </c>
      <c r="Q1705" t="n">
        <v>0</v>
      </c>
      <c r="R1705" s="2" t="inlineStr"/>
    </row>
    <row r="1706" ht="15" customHeight="1">
      <c r="A1706" t="inlineStr">
        <is>
          <t>A 6804-2025</t>
        </is>
      </c>
      <c r="B1706" s="1" t="n">
        <v>45700</v>
      </c>
      <c r="C1706" s="1" t="n">
        <v>45723</v>
      </c>
      <c r="D1706" t="inlineStr">
        <is>
          <t>JÄMTLANDS LÄN</t>
        </is>
      </c>
      <c r="E1706" t="inlineStr">
        <is>
          <t>KROKOM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45723</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45723</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6991-2025</t>
        </is>
      </c>
      <c r="B1709" s="1" t="n">
        <v>45701</v>
      </c>
      <c r="C1709" s="1" t="n">
        <v>45723</v>
      </c>
      <c r="D1709" t="inlineStr">
        <is>
          <t>JÄMTLANDS LÄN</t>
        </is>
      </c>
      <c r="E1709" t="inlineStr">
        <is>
          <t>KROKOM</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7072-2025</t>
        </is>
      </c>
      <c r="B1710" s="1" t="n">
        <v>45701</v>
      </c>
      <c r="C1710" s="1" t="n">
        <v>45723</v>
      </c>
      <c r="D1710" t="inlineStr">
        <is>
          <t>JÄMTLANDS LÄN</t>
        </is>
      </c>
      <c r="E1710" t="inlineStr">
        <is>
          <t>KROKOM</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7079-2025</t>
        </is>
      </c>
      <c r="B1711" s="1" t="n">
        <v>45701</v>
      </c>
      <c r="C1711" s="1" t="n">
        <v>45723</v>
      </c>
      <c r="D1711" t="inlineStr">
        <is>
          <t>JÄMTLANDS LÄN</t>
        </is>
      </c>
      <c r="E1711" t="inlineStr">
        <is>
          <t>KROKOM</t>
        </is>
      </c>
      <c r="F1711" t="inlineStr">
        <is>
          <t>SCA</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6870-2025</t>
        </is>
      </c>
      <c r="B1712" s="1" t="n">
        <v>45701</v>
      </c>
      <c r="C1712" s="1" t="n">
        <v>45723</v>
      </c>
      <c r="D1712" t="inlineStr">
        <is>
          <t>JÄMTLANDS LÄN</t>
        </is>
      </c>
      <c r="E1712" t="inlineStr">
        <is>
          <t>KROKOM</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7013-2025</t>
        </is>
      </c>
      <c r="B1713" s="1" t="n">
        <v>45701</v>
      </c>
      <c r="C1713" s="1" t="n">
        <v>45723</v>
      </c>
      <c r="D1713" t="inlineStr">
        <is>
          <t>JÄMTLANDS LÄN</t>
        </is>
      </c>
      <c r="E1713" t="inlineStr">
        <is>
          <t>KROKOM</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45723</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7391-2025</t>
        </is>
      </c>
      <c r="B1715" s="1" t="n">
        <v>45705</v>
      </c>
      <c r="C1715" s="1" t="n">
        <v>45723</v>
      </c>
      <c r="D1715" t="inlineStr">
        <is>
          <t>JÄMTLANDS LÄN</t>
        </is>
      </c>
      <c r="E1715" t="inlineStr">
        <is>
          <t>KROKOM</t>
        </is>
      </c>
      <c r="F1715" t="inlineStr">
        <is>
          <t>Övriga Aktiebolag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7556-2025</t>
        </is>
      </c>
      <c r="B1716" s="1" t="n">
        <v>45705</v>
      </c>
      <c r="C1716" s="1" t="n">
        <v>45723</v>
      </c>
      <c r="D1716" t="inlineStr">
        <is>
          <t>JÄMTLANDS LÄN</t>
        </is>
      </c>
      <c r="E1716" t="inlineStr">
        <is>
          <t>KROKOM</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7392-2025</t>
        </is>
      </c>
      <c r="B1717" s="1" t="n">
        <v>45705</v>
      </c>
      <c r="C1717" s="1" t="n">
        <v>45723</v>
      </c>
      <c r="D1717" t="inlineStr">
        <is>
          <t>JÄMTLANDS LÄN</t>
        </is>
      </c>
      <c r="E1717" t="inlineStr">
        <is>
          <t>KROKOM</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7673-2025</t>
        </is>
      </c>
      <c r="B1718" s="1" t="n">
        <v>45706</v>
      </c>
      <c r="C1718" s="1" t="n">
        <v>45723</v>
      </c>
      <c r="D1718" t="inlineStr">
        <is>
          <t>JÄMTLANDS LÄN</t>
        </is>
      </c>
      <c r="E1718" t="inlineStr">
        <is>
          <t>KROKOM</t>
        </is>
      </c>
      <c r="F1718" t="inlineStr">
        <is>
          <t>Övriga Aktiebolag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7767-2025</t>
        </is>
      </c>
      <c r="B1719" s="1" t="n">
        <v>45706</v>
      </c>
      <c r="C1719" s="1" t="n">
        <v>45723</v>
      </c>
      <c r="D1719" t="inlineStr">
        <is>
          <t>JÄMTLANDS LÄN</t>
        </is>
      </c>
      <c r="E1719" t="inlineStr">
        <is>
          <t>KROKOM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7787-2025</t>
        </is>
      </c>
      <c r="B1720" s="1" t="n">
        <v>45706</v>
      </c>
      <c r="C1720" s="1" t="n">
        <v>45723</v>
      </c>
      <c r="D1720" t="inlineStr">
        <is>
          <t>JÄMTLANDS LÄN</t>
        </is>
      </c>
      <c r="E1720" t="inlineStr">
        <is>
          <t>KROKOM</t>
        </is>
      </c>
      <c r="F1720" t="inlineStr">
        <is>
          <t>Övriga Aktiebolag</t>
        </is>
      </c>
      <c r="G1720" t="n">
        <v>16.8</v>
      </c>
      <c r="H1720" t="n">
        <v>0</v>
      </c>
      <c r="I1720" t="n">
        <v>0</v>
      </c>
      <c r="J1720" t="n">
        <v>0</v>
      </c>
      <c r="K1720" t="n">
        <v>0</v>
      </c>
      <c r="L1720" t="n">
        <v>0</v>
      </c>
      <c r="M1720" t="n">
        <v>0</v>
      </c>
      <c r="N1720" t="n">
        <v>0</v>
      </c>
      <c r="O1720" t="n">
        <v>0</v>
      </c>
      <c r="P1720" t="n">
        <v>0</v>
      </c>
      <c r="Q1720" t="n">
        <v>0</v>
      </c>
      <c r="R1720" s="2" t="inlineStr"/>
    </row>
    <row r="1721" ht="15" customHeight="1">
      <c r="A1721" t="inlineStr">
        <is>
          <t>A 7724-2025</t>
        </is>
      </c>
      <c r="B1721" s="1" t="n">
        <v>45706</v>
      </c>
      <c r="C1721" s="1" t="n">
        <v>45723</v>
      </c>
      <c r="D1721" t="inlineStr">
        <is>
          <t>JÄMTLANDS LÄN</t>
        </is>
      </c>
      <c r="E1721" t="inlineStr">
        <is>
          <t>KROKOM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7908-2025</t>
        </is>
      </c>
      <c r="B1722" s="1" t="n">
        <v>45707</v>
      </c>
      <c r="C1722" s="1" t="n">
        <v>45723</v>
      </c>
      <c r="D1722" t="inlineStr">
        <is>
          <t>JÄMTLANDS LÄN</t>
        </is>
      </c>
      <c r="E1722" t="inlineStr">
        <is>
          <t>KROKOM</t>
        </is>
      </c>
      <c r="F1722" t="inlineStr">
        <is>
          <t>Övriga Aktiebolag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8024-2025</t>
        </is>
      </c>
      <c r="B1723" s="1" t="n">
        <v>45707</v>
      </c>
      <c r="C1723" s="1" t="n">
        <v>45723</v>
      </c>
      <c r="D1723" t="inlineStr">
        <is>
          <t>JÄMTLANDS LÄN</t>
        </is>
      </c>
      <c r="E1723" t="inlineStr">
        <is>
          <t>KROKOM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7921-2025</t>
        </is>
      </c>
      <c r="B1724" s="1" t="n">
        <v>45707</v>
      </c>
      <c r="C1724" s="1" t="n">
        <v>45723</v>
      </c>
      <c r="D1724" t="inlineStr">
        <is>
          <t>JÄMTLANDS LÄN</t>
        </is>
      </c>
      <c r="E1724" t="inlineStr">
        <is>
          <t>KROKOM</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8011-2025</t>
        </is>
      </c>
      <c r="B1725" s="1" t="n">
        <v>45707</v>
      </c>
      <c r="C1725" s="1" t="n">
        <v>45723</v>
      </c>
      <c r="D1725" t="inlineStr">
        <is>
          <t>JÄMTLANDS LÄN</t>
        </is>
      </c>
      <c r="E1725" t="inlineStr">
        <is>
          <t>KROKOM</t>
        </is>
      </c>
      <c r="F1725" t="inlineStr">
        <is>
          <t>Övriga Aktiebolag</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8072-2025</t>
        </is>
      </c>
      <c r="B1726" s="1" t="n">
        <v>45707</v>
      </c>
      <c r="C1726" s="1" t="n">
        <v>45723</v>
      </c>
      <c r="D1726" t="inlineStr">
        <is>
          <t>JÄMTLANDS LÄN</t>
        </is>
      </c>
      <c r="E1726" t="inlineStr">
        <is>
          <t>KROKOM</t>
        </is>
      </c>
      <c r="F1726" t="inlineStr">
        <is>
          <t>Övriga Aktiebolag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8168-2025</t>
        </is>
      </c>
      <c r="B1727" s="1" t="n">
        <v>45708</v>
      </c>
      <c r="C1727" s="1" t="n">
        <v>45723</v>
      </c>
      <c r="D1727" t="inlineStr">
        <is>
          <t>JÄMTLANDS LÄN</t>
        </is>
      </c>
      <c r="E1727" t="inlineStr">
        <is>
          <t>KROKOM</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45723</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45723</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45723</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8868-2025</t>
        </is>
      </c>
      <c r="B1731" s="1" t="n">
        <v>45713</v>
      </c>
      <c r="C1731" s="1" t="n">
        <v>45723</v>
      </c>
      <c r="D1731" t="inlineStr">
        <is>
          <t>JÄMTLANDS LÄN</t>
        </is>
      </c>
      <c r="E1731" t="inlineStr">
        <is>
          <t>KROKOM</t>
        </is>
      </c>
      <c r="F1731" t="inlineStr">
        <is>
          <t>Övriga Aktiebolag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8872-2025</t>
        </is>
      </c>
      <c r="B1732" s="1" t="n">
        <v>45713</v>
      </c>
      <c r="C1732" s="1" t="n">
        <v>45723</v>
      </c>
      <c r="D1732" t="inlineStr">
        <is>
          <t>JÄMTLANDS LÄN</t>
        </is>
      </c>
      <c r="E1732" t="inlineStr">
        <is>
          <t>KROKOM</t>
        </is>
      </c>
      <c r="F1732" t="inlineStr">
        <is>
          <t>Övriga Aktiebolag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8880-2025</t>
        </is>
      </c>
      <c r="B1733" s="1" t="n">
        <v>45713</v>
      </c>
      <c r="C1733" s="1" t="n">
        <v>45723</v>
      </c>
      <c r="D1733" t="inlineStr">
        <is>
          <t>JÄMTLANDS LÄN</t>
        </is>
      </c>
      <c r="E1733" t="inlineStr">
        <is>
          <t>KROKOM</t>
        </is>
      </c>
      <c r="F1733" t="inlineStr">
        <is>
          <t>Övriga Aktiebolag</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9023-2025</t>
        </is>
      </c>
      <c r="B1734" s="1" t="n">
        <v>45713</v>
      </c>
      <c r="C1734" s="1" t="n">
        <v>45723</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9027-2025</t>
        </is>
      </c>
      <c r="B1735" s="1" t="n">
        <v>45713</v>
      </c>
      <c r="C1735" s="1" t="n">
        <v>45723</v>
      </c>
      <c r="D1735" t="inlineStr">
        <is>
          <t>JÄMTLANDS LÄN</t>
        </is>
      </c>
      <c r="E1735" t="inlineStr">
        <is>
          <t>KROKOM</t>
        </is>
      </c>
      <c r="F1735" t="inlineStr">
        <is>
          <t>Övriga Aktiebolag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9043-2025</t>
        </is>
      </c>
      <c r="B1736" s="1" t="n">
        <v>45713</v>
      </c>
      <c r="C1736" s="1" t="n">
        <v>45723</v>
      </c>
      <c r="D1736" t="inlineStr">
        <is>
          <t>JÄMTLANDS LÄN</t>
        </is>
      </c>
      <c r="E1736" t="inlineStr">
        <is>
          <t>KROKOM</t>
        </is>
      </c>
      <c r="F1736" t="inlineStr">
        <is>
          <t>Övriga Aktiebolag</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9016-2025</t>
        </is>
      </c>
      <c r="B1737" s="1" t="n">
        <v>45713</v>
      </c>
      <c r="C1737" s="1" t="n">
        <v>45723</v>
      </c>
      <c r="D1737" t="inlineStr">
        <is>
          <t>JÄMTLANDS LÄN</t>
        </is>
      </c>
      <c r="E1737" t="inlineStr">
        <is>
          <t>KROKOM</t>
        </is>
      </c>
      <c r="F1737" t="inlineStr">
        <is>
          <t>Övriga Aktiebolag</t>
        </is>
      </c>
      <c r="G1737" t="n">
        <v>19.3</v>
      </c>
      <c r="H1737" t="n">
        <v>0</v>
      </c>
      <c r="I1737" t="n">
        <v>0</v>
      </c>
      <c r="J1737" t="n">
        <v>0</v>
      </c>
      <c r="K1737" t="n">
        <v>0</v>
      </c>
      <c r="L1737" t="n">
        <v>0</v>
      </c>
      <c r="M1737" t="n">
        <v>0</v>
      </c>
      <c r="N1737" t="n">
        <v>0</v>
      </c>
      <c r="O1737" t="n">
        <v>0</v>
      </c>
      <c r="P1737" t="n">
        <v>0</v>
      </c>
      <c r="Q1737" t="n">
        <v>0</v>
      </c>
      <c r="R1737" s="2" t="inlineStr"/>
    </row>
    <row r="1738" ht="15" customHeight="1">
      <c r="A1738" t="inlineStr">
        <is>
          <t>A 8865-2025</t>
        </is>
      </c>
      <c r="B1738" s="1" t="n">
        <v>45713</v>
      </c>
      <c r="C1738" s="1" t="n">
        <v>45723</v>
      </c>
      <c r="D1738" t="inlineStr">
        <is>
          <t>JÄMTLANDS LÄN</t>
        </is>
      </c>
      <c r="E1738" t="inlineStr">
        <is>
          <t>KROKOM</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9022-2025</t>
        </is>
      </c>
      <c r="B1739" s="1" t="n">
        <v>45713</v>
      </c>
      <c r="C1739" s="1" t="n">
        <v>45723</v>
      </c>
      <c r="D1739" t="inlineStr">
        <is>
          <t>JÄMTLANDS LÄN</t>
        </is>
      </c>
      <c r="E1739" t="inlineStr">
        <is>
          <t>KROKOM</t>
        </is>
      </c>
      <c r="F1739" t="inlineStr">
        <is>
          <t>Övriga Aktiebolag</t>
        </is>
      </c>
      <c r="G1739" t="n">
        <v>29.9</v>
      </c>
      <c r="H1739" t="n">
        <v>0</v>
      </c>
      <c r="I1739" t="n">
        <v>0</v>
      </c>
      <c r="J1739" t="n">
        <v>0</v>
      </c>
      <c r="K1739" t="n">
        <v>0</v>
      </c>
      <c r="L1739" t="n">
        <v>0</v>
      </c>
      <c r="M1739" t="n">
        <v>0</v>
      </c>
      <c r="N1739" t="n">
        <v>0</v>
      </c>
      <c r="O1739" t="n">
        <v>0</v>
      </c>
      <c r="P1739" t="n">
        <v>0</v>
      </c>
      <c r="Q1739" t="n">
        <v>0</v>
      </c>
      <c r="R1739" s="2" t="inlineStr"/>
    </row>
    <row r="1740" ht="15" customHeight="1">
      <c r="A1740" t="inlineStr">
        <is>
          <t>A 9025-2025</t>
        </is>
      </c>
      <c r="B1740" s="1" t="n">
        <v>45713</v>
      </c>
      <c r="C1740" s="1" t="n">
        <v>45723</v>
      </c>
      <c r="D1740" t="inlineStr">
        <is>
          <t>JÄMTLANDS LÄN</t>
        </is>
      </c>
      <c r="E1740" t="inlineStr">
        <is>
          <t>KROKOM</t>
        </is>
      </c>
      <c r="F1740" t="inlineStr">
        <is>
          <t>Övriga Aktiebolag</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45723</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45723</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9388-2025</t>
        </is>
      </c>
      <c r="B1743" s="1" t="n">
        <v>45715</v>
      </c>
      <c r="C1743" s="1" t="n">
        <v>45723</v>
      </c>
      <c r="D1743" t="inlineStr">
        <is>
          <t>JÄMTLANDS LÄN</t>
        </is>
      </c>
      <c r="E1743" t="inlineStr">
        <is>
          <t>KROKOM</t>
        </is>
      </c>
      <c r="F1743" t="inlineStr">
        <is>
          <t>Övriga Aktiebolag</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9623-2025</t>
        </is>
      </c>
      <c r="B1744" s="1" t="n">
        <v>45715</v>
      </c>
      <c r="C1744" s="1" t="n">
        <v>45723</v>
      </c>
      <c r="D1744" t="inlineStr">
        <is>
          <t>JÄMTLANDS LÄN</t>
        </is>
      </c>
      <c r="E1744" t="inlineStr">
        <is>
          <t>KROKOM</t>
        </is>
      </c>
      <c r="F1744" t="inlineStr">
        <is>
          <t>Kyrkan</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9621-2025</t>
        </is>
      </c>
      <c r="B1745" s="1" t="n">
        <v>45715</v>
      </c>
      <c r="C1745" s="1" t="n">
        <v>45723</v>
      </c>
      <c r="D1745" t="inlineStr">
        <is>
          <t>JÄMTLANDS LÄN</t>
        </is>
      </c>
      <c r="E1745" t="inlineStr">
        <is>
          <t>KROKOM</t>
        </is>
      </c>
      <c r="F1745" t="inlineStr">
        <is>
          <t>Kyrkan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9701-2025</t>
        </is>
      </c>
      <c r="B1746" s="1" t="n">
        <v>45716</v>
      </c>
      <c r="C1746" s="1" t="n">
        <v>45723</v>
      </c>
      <c r="D1746" t="inlineStr">
        <is>
          <t>JÄMTLANDS LÄN</t>
        </is>
      </c>
      <c r="E1746" t="inlineStr">
        <is>
          <t>KROKOM</t>
        </is>
      </c>
      <c r="F1746" t="inlineStr">
        <is>
          <t>Övriga Aktiebolag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9977-2025</t>
        </is>
      </c>
      <c r="B1747" s="1" t="n">
        <v>45716</v>
      </c>
      <c r="C1747" s="1" t="n">
        <v>45723</v>
      </c>
      <c r="D1747" t="inlineStr">
        <is>
          <t>JÄMTLANDS LÄN</t>
        </is>
      </c>
      <c r="E1747" t="inlineStr">
        <is>
          <t>KROKOM</t>
        </is>
      </c>
      <c r="G1747" t="n">
        <v>31.3</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45723</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9963-2025</t>
        </is>
      </c>
      <c r="B1749" s="1" t="n">
        <v>45719</v>
      </c>
      <c r="C1749" s="1" t="n">
        <v>45723</v>
      </c>
      <c r="D1749" t="inlineStr">
        <is>
          <t>JÄMTLANDS LÄN</t>
        </is>
      </c>
      <c r="E1749" t="inlineStr">
        <is>
          <t>KROKOM</t>
        </is>
      </c>
      <c r="F1749" t="inlineStr">
        <is>
          <t>Övriga Aktiebolag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10071-2025</t>
        </is>
      </c>
      <c r="B1750" s="1" t="n">
        <v>45719</v>
      </c>
      <c r="C1750" s="1" t="n">
        <v>45723</v>
      </c>
      <c r="D1750" t="inlineStr">
        <is>
          <t>JÄMTLANDS LÄN</t>
        </is>
      </c>
      <c r="E1750" t="inlineStr">
        <is>
          <t>KROKOM</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10053-2025</t>
        </is>
      </c>
      <c r="B1751" s="1" t="n">
        <v>45719</v>
      </c>
      <c r="C1751" s="1" t="n">
        <v>45723</v>
      </c>
      <c r="D1751" t="inlineStr">
        <is>
          <t>JÄMTLANDS LÄN</t>
        </is>
      </c>
      <c r="E1751" t="inlineStr">
        <is>
          <t>KROKOM</t>
        </is>
      </c>
      <c r="G1751" t="n">
        <v>11.8</v>
      </c>
      <c r="H1751" t="n">
        <v>0</v>
      </c>
      <c r="I1751" t="n">
        <v>0</v>
      </c>
      <c r="J1751" t="n">
        <v>0</v>
      </c>
      <c r="K1751" t="n">
        <v>0</v>
      </c>
      <c r="L1751" t="n">
        <v>0</v>
      </c>
      <c r="M1751" t="n">
        <v>0</v>
      </c>
      <c r="N1751" t="n">
        <v>0</v>
      </c>
      <c r="O1751" t="n">
        <v>0</v>
      </c>
      <c r="P1751" t="n">
        <v>0</v>
      </c>
      <c r="Q1751" t="n">
        <v>0</v>
      </c>
      <c r="R1751" s="2" t="inlineStr"/>
    </row>
    <row r="1752" ht="15" customHeight="1">
      <c r="A1752" t="inlineStr">
        <is>
          <t>A 10133-2025</t>
        </is>
      </c>
      <c r="B1752" s="1" t="n">
        <v>45719</v>
      </c>
      <c r="C1752" s="1" t="n">
        <v>45723</v>
      </c>
      <c r="D1752" t="inlineStr">
        <is>
          <t>JÄMTLANDS LÄN</t>
        </is>
      </c>
      <c r="E1752" t="inlineStr">
        <is>
          <t>KROKOM</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10128-2025</t>
        </is>
      </c>
      <c r="B1753" s="1" t="n">
        <v>45719</v>
      </c>
      <c r="C1753" s="1" t="n">
        <v>45723</v>
      </c>
      <c r="D1753" t="inlineStr">
        <is>
          <t>JÄMTLANDS LÄN</t>
        </is>
      </c>
      <c r="E1753" t="inlineStr">
        <is>
          <t>KROKOM</t>
        </is>
      </c>
      <c r="F1753" t="inlineStr">
        <is>
          <t>Övriga Aktiebolag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9948-2025</t>
        </is>
      </c>
      <c r="B1754" s="1" t="n">
        <v>45719</v>
      </c>
      <c r="C1754" s="1" t="n">
        <v>45723</v>
      </c>
      <c r="D1754" t="inlineStr">
        <is>
          <t>JÄMTLANDS LÄN</t>
        </is>
      </c>
      <c r="E1754" t="inlineStr">
        <is>
          <t>KROKOM</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10051-2025</t>
        </is>
      </c>
      <c r="B1755" s="1" t="n">
        <v>45719</v>
      </c>
      <c r="C1755" s="1" t="n">
        <v>45723</v>
      </c>
      <c r="D1755" t="inlineStr">
        <is>
          <t>JÄMTLANDS LÄN</t>
        </is>
      </c>
      <c r="E1755" t="inlineStr">
        <is>
          <t>KROKOM</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10279-2025</t>
        </is>
      </c>
      <c r="B1756" s="1" t="n">
        <v>45720</v>
      </c>
      <c r="C1756" s="1" t="n">
        <v>45723</v>
      </c>
      <c r="D1756" t="inlineStr">
        <is>
          <t>JÄMTLANDS LÄN</t>
        </is>
      </c>
      <c r="E1756" t="inlineStr">
        <is>
          <t>KROKOM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10220-2025</t>
        </is>
      </c>
      <c r="B1757" s="1" t="n">
        <v>45720</v>
      </c>
      <c r="C1757" s="1" t="n">
        <v>45723</v>
      </c>
      <c r="D1757" t="inlineStr">
        <is>
          <t>JÄMTLANDS LÄN</t>
        </is>
      </c>
      <c r="E1757" t="inlineStr">
        <is>
          <t>KROKOM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10397-2025</t>
        </is>
      </c>
      <c r="B1758" s="1" t="n">
        <v>45720</v>
      </c>
      <c r="C1758" s="1" t="n">
        <v>45723</v>
      </c>
      <c r="D1758" t="inlineStr">
        <is>
          <t>JÄMTLANDS LÄN</t>
        </is>
      </c>
      <c r="E1758" t="inlineStr">
        <is>
          <t>KROKOM</t>
        </is>
      </c>
      <c r="F1758" t="inlineStr">
        <is>
          <t>Övriga Aktiebolag</t>
        </is>
      </c>
      <c r="G1758" t="n">
        <v>32.9</v>
      </c>
      <c r="H1758" t="n">
        <v>0</v>
      </c>
      <c r="I1758" t="n">
        <v>0</v>
      </c>
      <c r="J1758" t="n">
        <v>0</v>
      </c>
      <c r="K1758" t="n">
        <v>0</v>
      </c>
      <c r="L1758" t="n">
        <v>0</v>
      </c>
      <c r="M1758" t="n">
        <v>0</v>
      </c>
      <c r="N1758" t="n">
        <v>0</v>
      </c>
      <c r="O1758" t="n">
        <v>0</v>
      </c>
      <c r="P1758" t="n">
        <v>0</v>
      </c>
      <c r="Q1758" t="n">
        <v>0</v>
      </c>
      <c r="R1758" s="2" t="inlineStr"/>
    </row>
    <row r="1759" ht="15" customHeight="1">
      <c r="A1759" t="inlineStr">
        <is>
          <t>A 10532-2025</t>
        </is>
      </c>
      <c r="B1759" s="1" t="n">
        <v>45721</v>
      </c>
      <c r="C1759" s="1" t="n">
        <v>45723</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10552-2025</t>
        </is>
      </c>
      <c r="B1760" s="1" t="n">
        <v>45721</v>
      </c>
      <c r="C1760" s="1" t="n">
        <v>45723</v>
      </c>
      <c r="D1760" t="inlineStr">
        <is>
          <t>JÄMTLANDS LÄN</t>
        </is>
      </c>
      <c r="E1760" t="inlineStr">
        <is>
          <t>KROKOM</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10494-2025</t>
        </is>
      </c>
      <c r="B1761" s="1" t="n">
        <v>45721</v>
      </c>
      <c r="C1761" s="1" t="n">
        <v>45723</v>
      </c>
      <c r="D1761" t="inlineStr">
        <is>
          <t>JÄMTLANDS LÄN</t>
        </is>
      </c>
      <c r="E1761" t="inlineStr">
        <is>
          <t>KROKOM</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10498-2025</t>
        </is>
      </c>
      <c r="B1762" s="1" t="n">
        <v>45721</v>
      </c>
      <c r="C1762" s="1" t="n">
        <v>45723</v>
      </c>
      <c r="D1762" t="inlineStr">
        <is>
          <t>JÄMTLANDS LÄN</t>
        </is>
      </c>
      <c r="E1762" t="inlineStr">
        <is>
          <t>KROKOM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10588-2025</t>
        </is>
      </c>
      <c r="B1763" s="1" t="n">
        <v>45721</v>
      </c>
      <c r="C1763" s="1" t="n">
        <v>45723</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10533-2025</t>
        </is>
      </c>
      <c r="B1764" s="1" t="n">
        <v>45721</v>
      </c>
      <c r="C1764" s="1" t="n">
        <v>45723</v>
      </c>
      <c r="D1764" t="inlineStr">
        <is>
          <t>JÄMTLANDS LÄN</t>
        </is>
      </c>
      <c r="E1764" t="inlineStr">
        <is>
          <t>KROKOM</t>
        </is>
      </c>
      <c r="F1764" t="inlineStr">
        <is>
          <t>SCA</t>
        </is>
      </c>
      <c r="G1764" t="n">
        <v>64.90000000000001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10581-2025</t>
        </is>
      </c>
      <c r="B1765" s="1" t="n">
        <v>45721</v>
      </c>
      <c r="C1765" s="1" t="n">
        <v>45723</v>
      </c>
      <c r="D1765" t="inlineStr">
        <is>
          <t>JÄMTLANDS LÄN</t>
        </is>
      </c>
      <c r="E1765" t="inlineStr">
        <is>
          <t>KROKOM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10632-2025</t>
        </is>
      </c>
      <c r="B1766" s="1" t="n">
        <v>45721</v>
      </c>
      <c r="C1766" s="1" t="n">
        <v>45723</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c r="A1767" t="inlineStr">
        <is>
          <t>A 10646-2025</t>
        </is>
      </c>
      <c r="B1767" s="1" t="n">
        <v>45721</v>
      </c>
      <c r="C1767" s="1" t="n">
        <v>45723</v>
      </c>
      <c r="D1767" t="inlineStr">
        <is>
          <t>JÄMTLANDS LÄN</t>
        </is>
      </c>
      <c r="E1767" t="inlineStr">
        <is>
          <t>KROKOM</t>
        </is>
      </c>
      <c r="G1767" t="n">
        <v>3.1</v>
      </c>
      <c r="H1767" t="n">
        <v>0</v>
      </c>
      <c r="I1767" t="n">
        <v>0</v>
      </c>
      <c r="J1767" t="n">
        <v>0</v>
      </c>
      <c r="K1767" t="n">
        <v>0</v>
      </c>
      <c r="L1767" t="n">
        <v>0</v>
      </c>
      <c r="M1767" t="n">
        <v>0</v>
      </c>
      <c r="N1767" t="n">
        <v>0</v>
      </c>
      <c r="O1767" t="n">
        <v>0</v>
      </c>
      <c r="P1767" t="n">
        <v>0</v>
      </c>
      <c r="Q1767" t="n">
        <v>0</v>
      </c>
      <c r="R1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2025-03-07T16:54:18Z</dcterms:created>
  <dcterms:modified xmlns:dcterms="http://purl.org/dc/terms/" xmlns:xsi="http://www.w3.org/2001/XMLSchema-instance" xsi:type="dcterms:W3CDTF">2025-03-07T16:54:19Z</dcterms:modified>
</cp:coreProperties>
</file>