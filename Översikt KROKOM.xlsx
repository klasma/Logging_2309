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45741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45741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45741</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45741</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45741</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45741</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45741</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45741</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45741</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45741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45741</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45741</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45741</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45741</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45741</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45741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45741</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45741</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45741</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45741</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45741</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45741</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45741</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45741</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45741</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45741</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45741</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45741</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45741</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45741</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45741</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45741</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45741</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45741</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45741</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45741</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45741</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45741</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45741</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45741</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45741</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45741</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45741</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45741</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45741</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45741</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45741</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45741</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45741</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45741</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45741</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45741</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45741</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45741</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45741</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45741</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45741</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45741</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45741</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45741</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45741</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45741</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45741</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45741</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45741</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45741</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45741</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45741</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45741</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45741</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45741</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45741</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45741</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45741</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45741</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45741</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45741</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45741</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45741</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45741</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45741</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45741</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45741</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45741</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45741</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45741</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45741</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45741</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45741</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45741</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45741</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45741</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45741</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45741</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45741</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45741</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45741</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45741</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45741</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45741</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45741</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45741</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45741</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45741</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45741</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45741</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45741</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45741</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45741</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45741</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45741</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45741</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45741</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45741</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45741</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45741</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45741</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45741</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45741</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45741</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45741</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45741</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45741</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45741</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45741</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45741</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45741</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45741</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45741</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45741</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45741</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45741</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45741</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45741</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45741</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45741</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45741</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45741</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45741</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45741</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45741</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45741</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45741</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45741</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45741</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45741</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45741</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45741</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45741</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45741</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45741</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45741</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45741</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45741</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45741</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45741</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45741</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45741</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45741</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45741</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45741</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45741</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45741</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45741</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45741</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45741</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45741</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45741</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45741</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45741</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45741</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45741</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45741</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45741</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45741</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45741</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45741</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45741</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45741</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45741</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45741</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45741</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45741</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45741</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45741</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45741</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45741</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45741</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45741</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45741</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45741</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45741</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45741</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45741</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45741</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45741</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45741</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45741</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45741</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45741</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45741</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45741</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45741</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45741</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45741</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45741</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45741</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45741</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45741</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45741</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45741</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45741</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45741</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45741</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45741</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45741</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45741</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45741</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45741</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45741</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45741</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45741</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45741</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45741</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45741</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45741</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45741</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45741</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45741</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45741</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45741</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45741</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45741</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45741</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45741</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45741</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45741</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45741</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45741</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45741</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45741</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45741</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13393-2025</t>
        </is>
      </c>
      <c r="B244" s="1" t="n">
        <v>45735</v>
      </c>
      <c r="C244" s="1" t="n">
        <v>45741</v>
      </c>
      <c r="D244" t="inlineStr">
        <is>
          <t>JÄMTLANDS LÄN</t>
        </is>
      </c>
      <c r="E244" t="inlineStr">
        <is>
          <t>KROKOM</t>
        </is>
      </c>
      <c r="G244" t="n">
        <v>3.5</v>
      </c>
      <c r="H244" t="n">
        <v>0</v>
      </c>
      <c r="I244" t="n">
        <v>0</v>
      </c>
      <c r="J244" t="n">
        <v>2</v>
      </c>
      <c r="K244" t="n">
        <v>0</v>
      </c>
      <c r="L244" t="n">
        <v>0</v>
      </c>
      <c r="M244" t="n">
        <v>0</v>
      </c>
      <c r="N244" t="n">
        <v>0</v>
      </c>
      <c r="O244" t="n">
        <v>2</v>
      </c>
      <c r="P244" t="n">
        <v>0</v>
      </c>
      <c r="Q244" t="n">
        <v>2</v>
      </c>
      <c r="R244" s="2" t="inlineStr">
        <is>
          <t>Gränsticka
Skorpgelélav</t>
        </is>
      </c>
      <c r="S244">
        <f>HYPERLINK("https://klasma.github.io/Logging_2309/artfynd/A 13393-2025 artfynd.xlsx", "A 13393-2025")</f>
        <v/>
      </c>
      <c r="T244">
        <f>HYPERLINK("https://klasma.github.io/Logging_2309/kartor/A 13393-2025 karta.png", "A 13393-2025")</f>
        <v/>
      </c>
      <c r="V244">
        <f>HYPERLINK("https://klasma.github.io/Logging_2309/klagomål/A 13393-2025 FSC-klagomål.docx", "A 13393-2025")</f>
        <v/>
      </c>
      <c r="W244">
        <f>HYPERLINK("https://klasma.github.io/Logging_2309/klagomålsmail/A 13393-2025 FSC-klagomål mail.docx", "A 13393-2025")</f>
        <v/>
      </c>
      <c r="X244">
        <f>HYPERLINK("https://klasma.github.io/Logging_2309/tillsyn/A 13393-2025 tillsynsbegäran.docx", "A 13393-2025")</f>
        <v/>
      </c>
      <c r="Y244">
        <f>HYPERLINK("https://klasma.github.io/Logging_2309/tillsynsmail/A 13393-2025 tillsynsbegäran mail.docx", "A 13393-2025")</f>
        <v/>
      </c>
    </row>
    <row r="245" ht="15" customHeight="1">
      <c r="A245" t="inlineStr">
        <is>
          <t>A 21669-2019</t>
        </is>
      </c>
      <c r="B245" s="1" t="n">
        <v>43581</v>
      </c>
      <c r="C245" s="1" t="n">
        <v>45741</v>
      </c>
      <c r="D245" t="inlineStr">
        <is>
          <t>JÄMTLANDS LÄN</t>
        </is>
      </c>
      <c r="E245" t="inlineStr">
        <is>
          <t>KROKOM</t>
        </is>
      </c>
      <c r="G245" t="n">
        <v>13.2</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21669-2019 artfynd.xlsx", "A 21669-2019")</f>
        <v/>
      </c>
      <c r="T245">
        <f>HYPERLINK("https://klasma.github.io/Logging_2309/kartor/A 21669-2019 karta.png", "A 21669-2019")</f>
        <v/>
      </c>
      <c r="V245">
        <f>HYPERLINK("https://klasma.github.io/Logging_2309/klagomål/A 21669-2019 FSC-klagomål.docx", "A 21669-2019")</f>
        <v/>
      </c>
      <c r="W245">
        <f>HYPERLINK("https://klasma.github.io/Logging_2309/klagomålsmail/A 21669-2019 FSC-klagomål mail.docx", "A 21669-2019")</f>
        <v/>
      </c>
      <c r="X245">
        <f>HYPERLINK("https://klasma.github.io/Logging_2309/tillsyn/A 21669-2019 tillsynsbegäran.docx", "A 21669-2019")</f>
        <v/>
      </c>
      <c r="Y245">
        <f>HYPERLINK("https://klasma.github.io/Logging_2309/tillsynsmail/A 21669-2019 tillsynsbegäran mail.docx", "A 21669-2019")</f>
        <v/>
      </c>
      <c r="Z245">
        <f>HYPERLINK("https://klasma.github.io/Logging_2309/fåglar/A 21669-2019 prioriterade fågelarter.docx", "A 21669-2019")</f>
        <v/>
      </c>
    </row>
    <row r="246" ht="15" customHeight="1">
      <c r="A246" t="inlineStr">
        <is>
          <t>A 30819-2019</t>
        </is>
      </c>
      <c r="B246" s="1" t="n">
        <v>43636</v>
      </c>
      <c r="C246" s="1" t="n">
        <v>45741</v>
      </c>
      <c r="D246" t="inlineStr">
        <is>
          <t>JÄMTLANDS LÄN</t>
        </is>
      </c>
      <c r="E246" t="inlineStr">
        <is>
          <t>KROKOM</t>
        </is>
      </c>
      <c r="G246" t="n">
        <v>18.8</v>
      </c>
      <c r="H246" t="n">
        <v>0</v>
      </c>
      <c r="I246" t="n">
        <v>1</v>
      </c>
      <c r="J246" t="n">
        <v>0</v>
      </c>
      <c r="K246" t="n">
        <v>0</v>
      </c>
      <c r="L246" t="n">
        <v>0</v>
      </c>
      <c r="M246" t="n">
        <v>0</v>
      </c>
      <c r="N246" t="n">
        <v>0</v>
      </c>
      <c r="O246" t="n">
        <v>0</v>
      </c>
      <c r="P246" t="n">
        <v>0</v>
      </c>
      <c r="Q246" t="n">
        <v>1</v>
      </c>
      <c r="R246" s="2" t="inlineStr">
        <is>
          <t>Ögonpyrola</t>
        </is>
      </c>
      <c r="S246">
        <f>HYPERLINK("https://klasma.github.io/Logging_2309/artfynd/A 30819-2019 artfynd.xlsx", "A 30819-2019")</f>
        <v/>
      </c>
      <c r="T246">
        <f>HYPERLINK("https://klasma.github.io/Logging_2309/kartor/A 30819-2019 karta.png", "A 30819-2019")</f>
        <v/>
      </c>
      <c r="V246">
        <f>HYPERLINK("https://klasma.github.io/Logging_2309/klagomål/A 30819-2019 FSC-klagomål.docx", "A 30819-2019")</f>
        <v/>
      </c>
      <c r="W246">
        <f>HYPERLINK("https://klasma.github.io/Logging_2309/klagomålsmail/A 30819-2019 FSC-klagomål mail.docx", "A 30819-2019")</f>
        <v/>
      </c>
      <c r="X246">
        <f>HYPERLINK("https://klasma.github.io/Logging_2309/tillsyn/A 30819-2019 tillsynsbegäran.docx", "A 30819-2019")</f>
        <v/>
      </c>
      <c r="Y246">
        <f>HYPERLINK("https://klasma.github.io/Logging_2309/tillsynsmail/A 30819-2019 tillsynsbegäran mail.docx", "A 30819-2019")</f>
        <v/>
      </c>
    </row>
    <row r="247" ht="15" customHeight="1">
      <c r="A247" t="inlineStr">
        <is>
          <t>A 31910-2019</t>
        </is>
      </c>
      <c r="B247" s="1" t="n">
        <v>43642</v>
      </c>
      <c r="C247" s="1" t="n">
        <v>45741</v>
      </c>
      <c r="D247" t="inlineStr">
        <is>
          <t>JÄMTLANDS LÄN</t>
        </is>
      </c>
      <c r="E247" t="inlineStr">
        <is>
          <t>KROKOM</t>
        </is>
      </c>
      <c r="G247" t="n">
        <v>5</v>
      </c>
      <c r="H247" t="n">
        <v>0</v>
      </c>
      <c r="I247" t="n">
        <v>0</v>
      </c>
      <c r="J247" t="n">
        <v>1</v>
      </c>
      <c r="K247" t="n">
        <v>0</v>
      </c>
      <c r="L247" t="n">
        <v>0</v>
      </c>
      <c r="M247" t="n">
        <v>0</v>
      </c>
      <c r="N247" t="n">
        <v>0</v>
      </c>
      <c r="O247" t="n">
        <v>1</v>
      </c>
      <c r="P247" t="n">
        <v>0</v>
      </c>
      <c r="Q247" t="n">
        <v>1</v>
      </c>
      <c r="R247" s="2" t="inlineStr">
        <is>
          <t>Lunglav</t>
        </is>
      </c>
      <c r="S247">
        <f>HYPERLINK("https://klasma.github.io/Logging_2309/artfynd/A 31910-2019 artfynd.xlsx", "A 31910-2019")</f>
        <v/>
      </c>
      <c r="T247">
        <f>HYPERLINK("https://klasma.github.io/Logging_2309/kartor/A 31910-2019 karta.png", "A 31910-2019")</f>
        <v/>
      </c>
      <c r="V247">
        <f>HYPERLINK("https://klasma.github.io/Logging_2309/klagomål/A 31910-2019 FSC-klagomål.docx", "A 31910-2019")</f>
        <v/>
      </c>
      <c r="W247">
        <f>HYPERLINK("https://klasma.github.io/Logging_2309/klagomålsmail/A 31910-2019 FSC-klagomål mail.docx", "A 31910-2019")</f>
        <v/>
      </c>
      <c r="X247">
        <f>HYPERLINK("https://klasma.github.io/Logging_2309/tillsyn/A 31910-2019 tillsynsbegäran.docx", "A 31910-2019")</f>
        <v/>
      </c>
      <c r="Y247">
        <f>HYPERLINK("https://klasma.github.io/Logging_2309/tillsynsmail/A 31910-2019 tillsynsbegäran mail.docx", "A 31910-2019")</f>
        <v/>
      </c>
    </row>
    <row r="248" ht="15" customHeight="1">
      <c r="A248" t="inlineStr">
        <is>
          <t>A 42629-2019</t>
        </is>
      </c>
      <c r="B248" s="1" t="n">
        <v>43704</v>
      </c>
      <c r="C248" s="1" t="n">
        <v>45741</v>
      </c>
      <c r="D248" t="inlineStr">
        <is>
          <t>JÄMTLANDS LÄN</t>
        </is>
      </c>
      <c r="E248" t="inlineStr">
        <is>
          <t>KROKOM</t>
        </is>
      </c>
      <c r="G248" t="n">
        <v>7.5</v>
      </c>
      <c r="H248" t="n">
        <v>0</v>
      </c>
      <c r="I248" t="n">
        <v>0</v>
      </c>
      <c r="J248" t="n">
        <v>1</v>
      </c>
      <c r="K248" t="n">
        <v>0</v>
      </c>
      <c r="L248" t="n">
        <v>0</v>
      </c>
      <c r="M248" t="n">
        <v>0</v>
      </c>
      <c r="N248" t="n">
        <v>0</v>
      </c>
      <c r="O248" t="n">
        <v>1</v>
      </c>
      <c r="P248" t="n">
        <v>0</v>
      </c>
      <c r="Q248" t="n">
        <v>1</v>
      </c>
      <c r="R248" s="2" t="inlineStr">
        <is>
          <t>Brunklöver</t>
        </is>
      </c>
      <c r="S248">
        <f>HYPERLINK("https://klasma.github.io/Logging_2309/artfynd/A 42629-2019 artfynd.xlsx", "A 42629-2019")</f>
        <v/>
      </c>
      <c r="T248">
        <f>HYPERLINK("https://klasma.github.io/Logging_2309/kartor/A 42629-2019 karta.png", "A 42629-2019")</f>
        <v/>
      </c>
      <c r="V248">
        <f>HYPERLINK("https://klasma.github.io/Logging_2309/klagomål/A 42629-2019 FSC-klagomål.docx", "A 42629-2019")</f>
        <v/>
      </c>
      <c r="W248">
        <f>HYPERLINK("https://klasma.github.io/Logging_2309/klagomålsmail/A 42629-2019 FSC-klagomål mail.docx", "A 42629-2019")</f>
        <v/>
      </c>
      <c r="X248">
        <f>HYPERLINK("https://klasma.github.io/Logging_2309/tillsyn/A 42629-2019 tillsynsbegäran.docx", "A 42629-2019")</f>
        <v/>
      </c>
      <c r="Y248">
        <f>HYPERLINK("https://klasma.github.io/Logging_2309/tillsynsmail/A 42629-2019 tillsynsbegäran mail.docx", "A 42629-2019")</f>
        <v/>
      </c>
    </row>
    <row r="249" ht="15" customHeight="1">
      <c r="A249" t="inlineStr">
        <is>
          <t>A 50132-2019</t>
        </is>
      </c>
      <c r="B249" s="1" t="n">
        <v>43734</v>
      </c>
      <c r="C249" s="1" t="n">
        <v>45741</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Vitgrynig nållav</t>
        </is>
      </c>
      <c r="S249">
        <f>HYPERLINK("https://klasma.github.io/Logging_2309/artfynd/A 50132-2019 artfynd.xlsx", "A 50132-2019")</f>
        <v/>
      </c>
      <c r="T249">
        <f>HYPERLINK("https://klasma.github.io/Logging_2309/kartor/A 50132-2019 karta.png", "A 50132-2019")</f>
        <v/>
      </c>
      <c r="V249">
        <f>HYPERLINK("https://klasma.github.io/Logging_2309/klagomål/A 50132-2019 FSC-klagomål.docx", "A 50132-2019")</f>
        <v/>
      </c>
      <c r="W249">
        <f>HYPERLINK("https://klasma.github.io/Logging_2309/klagomålsmail/A 50132-2019 FSC-klagomål mail.docx", "A 50132-2019")</f>
        <v/>
      </c>
      <c r="X249">
        <f>HYPERLINK("https://klasma.github.io/Logging_2309/tillsyn/A 50132-2019 tillsynsbegäran.docx", "A 50132-2019")</f>
        <v/>
      </c>
      <c r="Y249">
        <f>HYPERLINK("https://klasma.github.io/Logging_2309/tillsynsmail/A 50132-2019 tillsynsbegäran mail.docx", "A 50132-2019")</f>
        <v/>
      </c>
    </row>
    <row r="250" ht="15" customHeight="1">
      <c r="A250" t="inlineStr">
        <is>
          <t>A 52462-2019</t>
        </is>
      </c>
      <c r="B250" s="1" t="n">
        <v>43735</v>
      </c>
      <c r="C250" s="1" t="n">
        <v>45741</v>
      </c>
      <c r="D250" t="inlineStr">
        <is>
          <t>JÄMTLANDS LÄN</t>
        </is>
      </c>
      <c r="E250" t="inlineStr">
        <is>
          <t>KROKOM</t>
        </is>
      </c>
      <c r="G250" t="n">
        <v>2.4</v>
      </c>
      <c r="H250" t="n">
        <v>1</v>
      </c>
      <c r="I250" t="n">
        <v>0</v>
      </c>
      <c r="J250" t="n">
        <v>0</v>
      </c>
      <c r="K250" t="n">
        <v>0</v>
      </c>
      <c r="L250" t="n">
        <v>0</v>
      </c>
      <c r="M250" t="n">
        <v>0</v>
      </c>
      <c r="N250" t="n">
        <v>0</v>
      </c>
      <c r="O250" t="n">
        <v>0</v>
      </c>
      <c r="P250" t="n">
        <v>0</v>
      </c>
      <c r="Q250" t="n">
        <v>1</v>
      </c>
      <c r="R250" s="2" t="inlineStr">
        <is>
          <t>Hökuggla</t>
        </is>
      </c>
      <c r="S250">
        <f>HYPERLINK("https://klasma.github.io/Logging_2309/artfynd/A 52462-2019 artfynd.xlsx", "A 52462-2019")</f>
        <v/>
      </c>
      <c r="T250">
        <f>HYPERLINK("https://klasma.github.io/Logging_2309/kartor/A 52462-2019 karta.png", "A 52462-2019")</f>
        <v/>
      </c>
      <c r="V250">
        <f>HYPERLINK("https://klasma.github.io/Logging_2309/klagomål/A 52462-2019 FSC-klagomål.docx", "A 52462-2019")</f>
        <v/>
      </c>
      <c r="W250">
        <f>HYPERLINK("https://klasma.github.io/Logging_2309/klagomålsmail/A 52462-2019 FSC-klagomål mail.docx", "A 52462-2019")</f>
        <v/>
      </c>
      <c r="X250">
        <f>HYPERLINK("https://klasma.github.io/Logging_2309/tillsyn/A 52462-2019 tillsynsbegäran.docx", "A 52462-2019")</f>
        <v/>
      </c>
      <c r="Y250">
        <f>HYPERLINK("https://klasma.github.io/Logging_2309/tillsynsmail/A 52462-2019 tillsynsbegäran mail.docx", "A 52462-2019")</f>
        <v/>
      </c>
      <c r="Z250">
        <f>HYPERLINK("https://klasma.github.io/Logging_2309/fåglar/A 52462-2019 prioriterade fågelarter.docx", "A 52462-2019")</f>
        <v/>
      </c>
    </row>
    <row r="251" ht="15" customHeight="1">
      <c r="A251" t="inlineStr">
        <is>
          <t>A 61347-2019</t>
        </is>
      </c>
      <c r="B251" s="1" t="n">
        <v>43783</v>
      </c>
      <c r="C251" s="1" t="n">
        <v>45741</v>
      </c>
      <c r="D251" t="inlineStr">
        <is>
          <t>JÄMTLANDS LÄN</t>
        </is>
      </c>
      <c r="E251" t="inlineStr">
        <is>
          <t>KROKOM</t>
        </is>
      </c>
      <c r="F251" t="inlineStr">
        <is>
          <t>Allmännings- och besparingsskogar</t>
        </is>
      </c>
      <c r="G251" t="n">
        <v>20.7</v>
      </c>
      <c r="H251" t="n">
        <v>1</v>
      </c>
      <c r="I251" t="n">
        <v>0</v>
      </c>
      <c r="J251" t="n">
        <v>0</v>
      </c>
      <c r="K251" t="n">
        <v>1</v>
      </c>
      <c r="L251" t="n">
        <v>0</v>
      </c>
      <c r="M251" t="n">
        <v>0</v>
      </c>
      <c r="N251" t="n">
        <v>0</v>
      </c>
      <c r="O251" t="n">
        <v>1</v>
      </c>
      <c r="P251" t="n">
        <v>1</v>
      </c>
      <c r="Q251" t="n">
        <v>1</v>
      </c>
      <c r="R251" s="2" t="inlineStr">
        <is>
          <t>Knärot</t>
        </is>
      </c>
      <c r="S251">
        <f>HYPERLINK("https://klasma.github.io/Logging_2309/artfynd/A 61347-2019 artfynd.xlsx", "A 61347-2019")</f>
        <v/>
      </c>
      <c r="T251">
        <f>HYPERLINK("https://klasma.github.io/Logging_2309/kartor/A 61347-2019 karta.png", "A 61347-2019")</f>
        <v/>
      </c>
      <c r="U251">
        <f>HYPERLINK("https://klasma.github.io/Logging_2309/knärot/A 61347-2019 karta knärot.png", "A 61347-2019")</f>
        <v/>
      </c>
      <c r="V251">
        <f>HYPERLINK("https://klasma.github.io/Logging_2309/klagomål/A 61347-2019 FSC-klagomål.docx", "A 61347-2019")</f>
        <v/>
      </c>
      <c r="W251">
        <f>HYPERLINK("https://klasma.github.io/Logging_2309/klagomålsmail/A 61347-2019 FSC-klagomål mail.docx", "A 61347-2019")</f>
        <v/>
      </c>
      <c r="X251">
        <f>HYPERLINK("https://klasma.github.io/Logging_2309/tillsyn/A 61347-2019 tillsynsbegäran.docx", "A 61347-2019")</f>
        <v/>
      </c>
      <c r="Y251">
        <f>HYPERLINK("https://klasma.github.io/Logging_2309/tillsynsmail/A 61347-2019 tillsynsbegäran mail.docx", "A 61347-2019")</f>
        <v/>
      </c>
    </row>
    <row r="252" ht="15" customHeight="1">
      <c r="A252" t="inlineStr">
        <is>
          <t>A 67827-2019</t>
        </is>
      </c>
      <c r="B252" s="1" t="n">
        <v>43815</v>
      </c>
      <c r="C252" s="1" t="n">
        <v>45741</v>
      </c>
      <c r="D252" t="inlineStr">
        <is>
          <t>JÄMTLANDS LÄN</t>
        </is>
      </c>
      <c r="E252" t="inlineStr">
        <is>
          <t>KROKOM</t>
        </is>
      </c>
      <c r="F252" t="inlineStr">
        <is>
          <t>SCA</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HYPERLINK("https://klasma.github.io/Logging_2309/artfynd/A 67827-2019 artfynd.xlsx", "A 67827-2019")</f>
        <v/>
      </c>
      <c r="T252">
        <f>HYPERLINK("https://klasma.github.io/Logging_2309/kartor/A 67827-2019 karta.png", "A 67827-2019")</f>
        <v/>
      </c>
      <c r="V252">
        <f>HYPERLINK("https://klasma.github.io/Logging_2309/klagomål/A 67827-2019 FSC-klagomål.docx", "A 67827-2019")</f>
        <v/>
      </c>
      <c r="W252">
        <f>HYPERLINK("https://klasma.github.io/Logging_2309/klagomålsmail/A 67827-2019 FSC-klagomål mail.docx", "A 67827-2019")</f>
        <v/>
      </c>
      <c r="X252">
        <f>HYPERLINK("https://klasma.github.io/Logging_2309/tillsyn/A 67827-2019 tillsynsbegäran.docx", "A 67827-2019")</f>
        <v/>
      </c>
      <c r="Y252">
        <f>HYPERLINK("https://klasma.github.io/Logging_2309/tillsynsmail/A 67827-2019 tillsynsbegäran mail.docx", "A 67827-2019")</f>
        <v/>
      </c>
    </row>
    <row r="253" ht="15" customHeight="1">
      <c r="A253" t="inlineStr">
        <is>
          <t>A 4626-2020</t>
        </is>
      </c>
      <c r="B253" s="1" t="n">
        <v>43858</v>
      </c>
      <c r="C253" s="1" t="n">
        <v>45741</v>
      </c>
      <c r="D253" t="inlineStr">
        <is>
          <t>JÄMTLANDS LÄN</t>
        </is>
      </c>
      <c r="E253" t="inlineStr">
        <is>
          <t>KROKOM</t>
        </is>
      </c>
      <c r="G253" t="n">
        <v>12.2</v>
      </c>
      <c r="H253" t="n">
        <v>0</v>
      </c>
      <c r="I253" t="n">
        <v>0</v>
      </c>
      <c r="J253" t="n">
        <v>1</v>
      </c>
      <c r="K253" t="n">
        <v>0</v>
      </c>
      <c r="L253" t="n">
        <v>0</v>
      </c>
      <c r="M253" t="n">
        <v>0</v>
      </c>
      <c r="N253" t="n">
        <v>0</v>
      </c>
      <c r="O253" t="n">
        <v>1</v>
      </c>
      <c r="P253" t="n">
        <v>0</v>
      </c>
      <c r="Q253" t="n">
        <v>1</v>
      </c>
      <c r="R253" s="2" t="inlineStr">
        <is>
          <t>Gränsticka</t>
        </is>
      </c>
      <c r="S253">
        <f>HYPERLINK("https://klasma.github.io/Logging_2309/artfynd/A 4626-2020 artfynd.xlsx", "A 4626-2020")</f>
        <v/>
      </c>
      <c r="T253">
        <f>HYPERLINK("https://klasma.github.io/Logging_2309/kartor/A 4626-2020 karta.png", "A 4626-2020")</f>
        <v/>
      </c>
      <c r="V253">
        <f>HYPERLINK("https://klasma.github.io/Logging_2309/klagomål/A 4626-2020 FSC-klagomål.docx", "A 4626-2020")</f>
        <v/>
      </c>
      <c r="W253">
        <f>HYPERLINK("https://klasma.github.io/Logging_2309/klagomålsmail/A 4626-2020 FSC-klagomål mail.docx", "A 4626-2020")</f>
        <v/>
      </c>
      <c r="X253">
        <f>HYPERLINK("https://klasma.github.io/Logging_2309/tillsyn/A 4626-2020 tillsynsbegäran.docx", "A 4626-2020")</f>
        <v/>
      </c>
      <c r="Y253">
        <f>HYPERLINK("https://klasma.github.io/Logging_2309/tillsynsmail/A 4626-2020 tillsynsbegäran mail.docx", "A 4626-2020")</f>
        <v/>
      </c>
    </row>
    <row r="254" ht="15" customHeight="1">
      <c r="A254" t="inlineStr">
        <is>
          <t>A 7950-2020</t>
        </is>
      </c>
      <c r="B254" s="1" t="n">
        <v>43873</v>
      </c>
      <c r="C254" s="1" t="n">
        <v>45741</v>
      </c>
      <c r="D254" t="inlineStr">
        <is>
          <t>JÄMTLANDS LÄN</t>
        </is>
      </c>
      <c r="E254" t="inlineStr">
        <is>
          <t>KROKOM</t>
        </is>
      </c>
      <c r="G254" t="n">
        <v>0.2</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7950-2020 artfynd.xlsx", "A 7950-2020")</f>
        <v/>
      </c>
      <c r="T254">
        <f>HYPERLINK("https://klasma.github.io/Logging_2309/kartor/A 7950-2020 karta.png", "A 7950-2020")</f>
        <v/>
      </c>
      <c r="V254">
        <f>HYPERLINK("https://klasma.github.io/Logging_2309/klagomål/A 7950-2020 FSC-klagomål.docx", "A 7950-2020")</f>
        <v/>
      </c>
      <c r="W254">
        <f>HYPERLINK("https://klasma.github.io/Logging_2309/klagomålsmail/A 7950-2020 FSC-klagomål mail.docx", "A 7950-2020")</f>
        <v/>
      </c>
      <c r="X254">
        <f>HYPERLINK("https://klasma.github.io/Logging_2309/tillsyn/A 7950-2020 tillsynsbegäran.docx", "A 7950-2020")</f>
        <v/>
      </c>
      <c r="Y254">
        <f>HYPERLINK("https://klasma.github.io/Logging_2309/tillsynsmail/A 7950-2020 tillsynsbegäran mail.docx", "A 7950-2020")</f>
        <v/>
      </c>
    </row>
    <row r="255" ht="15" customHeight="1">
      <c r="A255" t="inlineStr">
        <is>
          <t>A 8934-2020</t>
        </is>
      </c>
      <c r="B255" s="1" t="n">
        <v>43878</v>
      </c>
      <c r="C255" s="1" t="n">
        <v>45741</v>
      </c>
      <c r="D255" t="inlineStr">
        <is>
          <t>JÄMTLANDS LÄN</t>
        </is>
      </c>
      <c r="E255" t="inlineStr">
        <is>
          <t>KROKOM</t>
        </is>
      </c>
      <c r="F255" t="inlineStr">
        <is>
          <t>SCA</t>
        </is>
      </c>
      <c r="G255" t="n">
        <v>2.5</v>
      </c>
      <c r="H255" t="n">
        <v>0</v>
      </c>
      <c r="I255" t="n">
        <v>0</v>
      </c>
      <c r="J255" t="n">
        <v>1</v>
      </c>
      <c r="K255" t="n">
        <v>0</v>
      </c>
      <c r="L255" t="n">
        <v>0</v>
      </c>
      <c r="M255" t="n">
        <v>0</v>
      </c>
      <c r="N255" t="n">
        <v>0</v>
      </c>
      <c r="O255" t="n">
        <v>1</v>
      </c>
      <c r="P255" t="n">
        <v>0</v>
      </c>
      <c r="Q255" t="n">
        <v>1</v>
      </c>
      <c r="R255" s="2" t="inlineStr">
        <is>
          <t>Doftskinn</t>
        </is>
      </c>
      <c r="S255">
        <f>HYPERLINK("https://klasma.github.io/Logging_2309/artfynd/A 8934-2020 artfynd.xlsx", "A 8934-2020")</f>
        <v/>
      </c>
      <c r="T255">
        <f>HYPERLINK("https://klasma.github.io/Logging_2309/kartor/A 8934-2020 karta.png", "A 8934-2020")</f>
        <v/>
      </c>
      <c r="V255">
        <f>HYPERLINK("https://klasma.github.io/Logging_2309/klagomål/A 8934-2020 FSC-klagomål.docx", "A 8934-2020")</f>
        <v/>
      </c>
      <c r="W255">
        <f>HYPERLINK("https://klasma.github.io/Logging_2309/klagomålsmail/A 8934-2020 FSC-klagomål mail.docx", "A 8934-2020")</f>
        <v/>
      </c>
      <c r="X255">
        <f>HYPERLINK("https://klasma.github.io/Logging_2309/tillsyn/A 8934-2020 tillsynsbegäran.docx", "A 8934-2020")</f>
        <v/>
      </c>
      <c r="Y255">
        <f>HYPERLINK("https://klasma.github.io/Logging_2309/tillsynsmail/A 8934-2020 tillsynsbegäran mail.docx", "A 8934-2020")</f>
        <v/>
      </c>
    </row>
    <row r="256" ht="15" customHeight="1">
      <c r="A256" t="inlineStr">
        <is>
          <t>A 14281-2020</t>
        </is>
      </c>
      <c r="B256" s="1" t="n">
        <v>43907</v>
      </c>
      <c r="C256" s="1" t="n">
        <v>45741</v>
      </c>
      <c r="D256" t="inlineStr">
        <is>
          <t>JÄMTLANDS LÄN</t>
        </is>
      </c>
      <c r="E256" t="inlineStr">
        <is>
          <t>KROKOM</t>
        </is>
      </c>
      <c r="G256" t="n">
        <v>31.3</v>
      </c>
      <c r="H256" t="n">
        <v>1</v>
      </c>
      <c r="I256" t="n">
        <v>1</v>
      </c>
      <c r="J256" t="n">
        <v>0</v>
      </c>
      <c r="K256" t="n">
        <v>0</v>
      </c>
      <c r="L256" t="n">
        <v>0</v>
      </c>
      <c r="M256" t="n">
        <v>0</v>
      </c>
      <c r="N256" t="n">
        <v>0</v>
      </c>
      <c r="O256" t="n">
        <v>0</v>
      </c>
      <c r="P256" t="n">
        <v>0</v>
      </c>
      <c r="Q256" t="n">
        <v>1</v>
      </c>
      <c r="R256" s="2" t="inlineStr">
        <is>
          <t>Tvåblad</t>
        </is>
      </c>
      <c r="S256">
        <f>HYPERLINK("https://klasma.github.io/Logging_2309/artfynd/A 14281-2020 artfynd.xlsx", "A 14281-2020")</f>
        <v/>
      </c>
      <c r="T256">
        <f>HYPERLINK("https://klasma.github.io/Logging_2309/kartor/A 14281-2020 karta.png", "A 14281-2020")</f>
        <v/>
      </c>
      <c r="V256">
        <f>HYPERLINK("https://klasma.github.io/Logging_2309/klagomål/A 14281-2020 FSC-klagomål.docx", "A 14281-2020")</f>
        <v/>
      </c>
      <c r="W256">
        <f>HYPERLINK("https://klasma.github.io/Logging_2309/klagomålsmail/A 14281-2020 FSC-klagomål mail.docx", "A 14281-2020")</f>
        <v/>
      </c>
      <c r="X256">
        <f>HYPERLINK("https://klasma.github.io/Logging_2309/tillsyn/A 14281-2020 tillsynsbegäran.docx", "A 14281-2020")</f>
        <v/>
      </c>
      <c r="Y256">
        <f>HYPERLINK("https://klasma.github.io/Logging_2309/tillsynsmail/A 14281-2020 tillsynsbegäran mail.docx", "A 14281-2020")</f>
        <v/>
      </c>
    </row>
    <row r="257" ht="15" customHeight="1">
      <c r="A257" t="inlineStr">
        <is>
          <t>A 18776-2020</t>
        </is>
      </c>
      <c r="B257" s="1" t="n">
        <v>43930</v>
      </c>
      <c r="C257" s="1" t="n">
        <v>45741</v>
      </c>
      <c r="D257" t="inlineStr">
        <is>
          <t>JÄMTLANDS LÄN</t>
        </is>
      </c>
      <c r="E257" t="inlineStr">
        <is>
          <t>KROKOM</t>
        </is>
      </c>
      <c r="G257" t="n">
        <v>5.3</v>
      </c>
      <c r="H257" t="n">
        <v>1</v>
      </c>
      <c r="I257" t="n">
        <v>0</v>
      </c>
      <c r="J257" t="n">
        <v>0</v>
      </c>
      <c r="K257" t="n">
        <v>0</v>
      </c>
      <c r="L257" t="n">
        <v>1</v>
      </c>
      <c r="M257" t="n">
        <v>0</v>
      </c>
      <c r="N257" t="n">
        <v>0</v>
      </c>
      <c r="O257" t="n">
        <v>1</v>
      </c>
      <c r="P257" t="n">
        <v>1</v>
      </c>
      <c r="Q257" t="n">
        <v>1</v>
      </c>
      <c r="R257" s="2" t="inlineStr">
        <is>
          <t>Bredgentiana</t>
        </is>
      </c>
      <c r="S257">
        <f>HYPERLINK("https://klasma.github.io/Logging_2309/artfynd/A 18776-2020 artfynd.xlsx", "A 18776-2020")</f>
        <v/>
      </c>
      <c r="T257">
        <f>HYPERLINK("https://klasma.github.io/Logging_2309/kartor/A 18776-2020 karta.png", "A 18776-2020")</f>
        <v/>
      </c>
      <c r="V257">
        <f>HYPERLINK("https://klasma.github.io/Logging_2309/klagomål/A 18776-2020 FSC-klagomål.docx", "A 18776-2020")</f>
        <v/>
      </c>
      <c r="W257">
        <f>HYPERLINK("https://klasma.github.io/Logging_2309/klagomålsmail/A 18776-2020 FSC-klagomål mail.docx", "A 18776-2020")</f>
        <v/>
      </c>
      <c r="X257">
        <f>HYPERLINK("https://klasma.github.io/Logging_2309/tillsyn/A 18776-2020 tillsynsbegäran.docx", "A 18776-2020")</f>
        <v/>
      </c>
      <c r="Y257">
        <f>HYPERLINK("https://klasma.github.io/Logging_2309/tillsynsmail/A 18776-2020 tillsynsbegäran mail.docx", "A 18776-2020")</f>
        <v/>
      </c>
    </row>
    <row r="258" ht="15" customHeight="1">
      <c r="A258" t="inlineStr">
        <is>
          <t>A 19777-2020</t>
        </is>
      </c>
      <c r="B258" s="1" t="n">
        <v>43942</v>
      </c>
      <c r="C258" s="1" t="n">
        <v>45741</v>
      </c>
      <c r="D258" t="inlineStr">
        <is>
          <t>JÄMTLANDS LÄN</t>
        </is>
      </c>
      <c r="E258" t="inlineStr">
        <is>
          <t>KROKOM</t>
        </is>
      </c>
      <c r="F258" t="inlineStr">
        <is>
          <t>Kyrkan</t>
        </is>
      </c>
      <c r="G258" t="n">
        <v>2.6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19777-2020 artfynd.xlsx", "A 19777-2020")</f>
        <v/>
      </c>
      <c r="T258">
        <f>HYPERLINK("https://klasma.github.io/Logging_2309/kartor/A 19777-2020 karta.png", "A 19777-2020")</f>
        <v/>
      </c>
      <c r="V258">
        <f>HYPERLINK("https://klasma.github.io/Logging_2309/klagomål/A 19777-2020 FSC-klagomål.docx", "A 19777-2020")</f>
        <v/>
      </c>
      <c r="W258">
        <f>HYPERLINK("https://klasma.github.io/Logging_2309/klagomålsmail/A 19777-2020 FSC-klagomål mail.docx", "A 19777-2020")</f>
        <v/>
      </c>
      <c r="X258">
        <f>HYPERLINK("https://klasma.github.io/Logging_2309/tillsyn/A 19777-2020 tillsynsbegäran.docx", "A 19777-2020")</f>
        <v/>
      </c>
      <c r="Y258">
        <f>HYPERLINK("https://klasma.github.io/Logging_2309/tillsynsmail/A 19777-2020 tillsynsbegäran mail.docx", "A 19777-2020")</f>
        <v/>
      </c>
      <c r="Z258">
        <f>HYPERLINK("https://klasma.github.io/Logging_2309/fåglar/A 19777-2020 prioriterade fågelarter.docx", "A 19777-2020")</f>
        <v/>
      </c>
    </row>
    <row r="259" ht="15" customHeight="1">
      <c r="A259" t="inlineStr">
        <is>
          <t>A 21547-2020</t>
        </is>
      </c>
      <c r="B259" s="1" t="n">
        <v>43956</v>
      </c>
      <c r="C259" s="1" t="n">
        <v>45741</v>
      </c>
      <c r="D259" t="inlineStr">
        <is>
          <t>JÄMTLANDS LÄN</t>
        </is>
      </c>
      <c r="E259" t="inlineStr">
        <is>
          <t>KROKOM</t>
        </is>
      </c>
      <c r="G259" t="n">
        <v>18.4</v>
      </c>
      <c r="H259" t="n">
        <v>0</v>
      </c>
      <c r="I259" t="n">
        <v>0</v>
      </c>
      <c r="J259" t="n">
        <v>1</v>
      </c>
      <c r="K259" t="n">
        <v>0</v>
      </c>
      <c r="L259" t="n">
        <v>0</v>
      </c>
      <c r="M259" t="n">
        <v>0</v>
      </c>
      <c r="N259" t="n">
        <v>0</v>
      </c>
      <c r="O259" t="n">
        <v>1</v>
      </c>
      <c r="P259" t="n">
        <v>0</v>
      </c>
      <c r="Q259" t="n">
        <v>1</v>
      </c>
      <c r="R259" s="2" t="inlineStr">
        <is>
          <t>Gränsticka</t>
        </is>
      </c>
      <c r="S259">
        <f>HYPERLINK("https://klasma.github.io/Logging_2309/artfynd/A 21547-2020 artfynd.xlsx", "A 21547-2020")</f>
        <v/>
      </c>
      <c r="T259">
        <f>HYPERLINK("https://klasma.github.io/Logging_2309/kartor/A 21547-2020 karta.png", "A 21547-2020")</f>
        <v/>
      </c>
      <c r="V259">
        <f>HYPERLINK("https://klasma.github.io/Logging_2309/klagomål/A 21547-2020 FSC-klagomål.docx", "A 21547-2020")</f>
        <v/>
      </c>
      <c r="W259">
        <f>HYPERLINK("https://klasma.github.io/Logging_2309/klagomålsmail/A 21547-2020 FSC-klagomål mail.docx", "A 21547-2020")</f>
        <v/>
      </c>
      <c r="X259">
        <f>HYPERLINK("https://klasma.github.io/Logging_2309/tillsyn/A 21547-2020 tillsynsbegäran.docx", "A 21547-2020")</f>
        <v/>
      </c>
      <c r="Y259">
        <f>HYPERLINK("https://klasma.github.io/Logging_2309/tillsynsmail/A 21547-2020 tillsynsbegäran mail.docx", "A 21547-2020")</f>
        <v/>
      </c>
    </row>
    <row r="260" ht="15" customHeight="1">
      <c r="A260" t="inlineStr">
        <is>
          <t>A 39569-2020</t>
        </is>
      </c>
      <c r="B260" s="1" t="n">
        <v>44064</v>
      </c>
      <c r="C260" s="1" t="n">
        <v>45741</v>
      </c>
      <c r="D260" t="inlineStr">
        <is>
          <t>JÄMTLANDS LÄN</t>
        </is>
      </c>
      <c r="E260" t="inlineStr">
        <is>
          <t>KROKOM</t>
        </is>
      </c>
      <c r="G260" t="n">
        <v>1.4</v>
      </c>
      <c r="H260" t="n">
        <v>0</v>
      </c>
      <c r="I260" t="n">
        <v>0</v>
      </c>
      <c r="J260" t="n">
        <v>1</v>
      </c>
      <c r="K260" t="n">
        <v>0</v>
      </c>
      <c r="L260" t="n">
        <v>0</v>
      </c>
      <c r="M260" t="n">
        <v>0</v>
      </c>
      <c r="N260" t="n">
        <v>0</v>
      </c>
      <c r="O260" t="n">
        <v>1</v>
      </c>
      <c r="P260" t="n">
        <v>0</v>
      </c>
      <c r="Q260" t="n">
        <v>1</v>
      </c>
      <c r="R260" s="2" t="inlineStr">
        <is>
          <t>Gränsticka</t>
        </is>
      </c>
      <c r="S260">
        <f>HYPERLINK("https://klasma.github.io/Logging_2309/artfynd/A 39569-2020 artfynd.xlsx", "A 39569-2020")</f>
        <v/>
      </c>
      <c r="T260">
        <f>HYPERLINK("https://klasma.github.io/Logging_2309/kartor/A 39569-2020 karta.png", "A 39569-2020")</f>
        <v/>
      </c>
      <c r="V260">
        <f>HYPERLINK("https://klasma.github.io/Logging_2309/klagomål/A 39569-2020 FSC-klagomål.docx", "A 39569-2020")</f>
        <v/>
      </c>
      <c r="W260">
        <f>HYPERLINK("https://klasma.github.io/Logging_2309/klagomålsmail/A 39569-2020 FSC-klagomål mail.docx", "A 39569-2020")</f>
        <v/>
      </c>
      <c r="X260">
        <f>HYPERLINK("https://klasma.github.io/Logging_2309/tillsyn/A 39569-2020 tillsynsbegäran.docx", "A 39569-2020")</f>
        <v/>
      </c>
      <c r="Y260">
        <f>HYPERLINK("https://klasma.github.io/Logging_2309/tillsynsmail/A 39569-2020 tillsynsbegäran mail.docx", "A 39569-2020")</f>
        <v/>
      </c>
    </row>
    <row r="261" ht="15" customHeight="1">
      <c r="A261" t="inlineStr">
        <is>
          <t>A 42493-2020</t>
        </is>
      </c>
      <c r="B261" s="1" t="n">
        <v>44075</v>
      </c>
      <c r="C261" s="1" t="n">
        <v>45741</v>
      </c>
      <c r="D261" t="inlineStr">
        <is>
          <t>JÄMTLANDS LÄN</t>
        </is>
      </c>
      <c r="E261" t="inlineStr">
        <is>
          <t>KROKOM</t>
        </is>
      </c>
      <c r="G261" t="n">
        <v>20.6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42493-2020 artfynd.xlsx", "A 42493-2020")</f>
        <v/>
      </c>
      <c r="T261">
        <f>HYPERLINK("https://klasma.github.io/Logging_2309/kartor/A 42493-2020 karta.png", "A 42493-2020")</f>
        <v/>
      </c>
      <c r="V261">
        <f>HYPERLINK("https://klasma.github.io/Logging_2309/klagomål/A 42493-2020 FSC-klagomål.docx", "A 42493-2020")</f>
        <v/>
      </c>
      <c r="W261">
        <f>HYPERLINK("https://klasma.github.io/Logging_2309/klagomålsmail/A 42493-2020 FSC-klagomål mail.docx", "A 42493-2020")</f>
        <v/>
      </c>
      <c r="X261">
        <f>HYPERLINK("https://klasma.github.io/Logging_2309/tillsyn/A 42493-2020 tillsynsbegäran.docx", "A 42493-2020")</f>
        <v/>
      </c>
      <c r="Y261">
        <f>HYPERLINK("https://klasma.github.io/Logging_2309/tillsynsmail/A 42493-2020 tillsynsbegäran mail.docx", "A 42493-2020")</f>
        <v/>
      </c>
      <c r="Z261">
        <f>HYPERLINK("https://klasma.github.io/Logging_2309/fåglar/A 42493-2020 prioriterade fågelarter.docx", "A 42493-2020")</f>
        <v/>
      </c>
    </row>
    <row r="262" ht="15" customHeight="1">
      <c r="A262" t="inlineStr">
        <is>
          <t>A 45626-2020</t>
        </is>
      </c>
      <c r="B262" s="1" t="n">
        <v>44090</v>
      </c>
      <c r="C262" s="1" t="n">
        <v>45741</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Dofttaggsvamp</t>
        </is>
      </c>
      <c r="S262">
        <f>HYPERLINK("https://klasma.github.io/Logging_2309/artfynd/A 45626-2020 artfynd.xlsx", "A 45626-2020")</f>
        <v/>
      </c>
      <c r="T262">
        <f>HYPERLINK("https://klasma.github.io/Logging_2309/kartor/A 45626-2020 karta.png", "A 45626-2020")</f>
        <v/>
      </c>
      <c r="V262">
        <f>HYPERLINK("https://klasma.github.io/Logging_2309/klagomål/A 45626-2020 FSC-klagomål.docx", "A 45626-2020")</f>
        <v/>
      </c>
      <c r="W262">
        <f>HYPERLINK("https://klasma.github.io/Logging_2309/klagomålsmail/A 45626-2020 FSC-klagomål mail.docx", "A 45626-2020")</f>
        <v/>
      </c>
      <c r="X262">
        <f>HYPERLINK("https://klasma.github.io/Logging_2309/tillsyn/A 45626-2020 tillsynsbegäran.docx", "A 45626-2020")</f>
        <v/>
      </c>
      <c r="Y262">
        <f>HYPERLINK("https://klasma.github.io/Logging_2309/tillsynsmail/A 45626-2020 tillsynsbegäran mail.docx", "A 45626-2020")</f>
        <v/>
      </c>
    </row>
    <row r="263" ht="15" customHeight="1">
      <c r="A263" t="inlineStr">
        <is>
          <t>A 47459-2020</t>
        </is>
      </c>
      <c r="B263" s="1" t="n">
        <v>44097</v>
      </c>
      <c r="C263" s="1" t="n">
        <v>45741</v>
      </c>
      <c r="D263" t="inlineStr">
        <is>
          <t>JÄMTLANDS LÄN</t>
        </is>
      </c>
      <c r="E263" t="inlineStr">
        <is>
          <t>KROKOM</t>
        </is>
      </c>
      <c r="F263" t="inlineStr">
        <is>
          <t>SCA</t>
        </is>
      </c>
      <c r="G263" t="n">
        <v>1.7</v>
      </c>
      <c r="H263" t="n">
        <v>0</v>
      </c>
      <c r="I263" t="n">
        <v>0</v>
      </c>
      <c r="J263" t="n">
        <v>1</v>
      </c>
      <c r="K263" t="n">
        <v>0</v>
      </c>
      <c r="L263" t="n">
        <v>0</v>
      </c>
      <c r="M263" t="n">
        <v>0</v>
      </c>
      <c r="N263" t="n">
        <v>0</v>
      </c>
      <c r="O263" t="n">
        <v>1</v>
      </c>
      <c r="P263" t="n">
        <v>0</v>
      </c>
      <c r="Q263" t="n">
        <v>1</v>
      </c>
      <c r="R263" s="2" t="inlineStr">
        <is>
          <t>Skrovellav</t>
        </is>
      </c>
      <c r="S263">
        <f>HYPERLINK("https://klasma.github.io/Logging_2309/artfynd/A 47459-2020 artfynd.xlsx", "A 47459-2020")</f>
        <v/>
      </c>
      <c r="T263">
        <f>HYPERLINK("https://klasma.github.io/Logging_2309/kartor/A 47459-2020 karta.png", "A 47459-2020")</f>
        <v/>
      </c>
      <c r="V263">
        <f>HYPERLINK("https://klasma.github.io/Logging_2309/klagomål/A 47459-2020 FSC-klagomål.docx", "A 47459-2020")</f>
        <v/>
      </c>
      <c r="W263">
        <f>HYPERLINK("https://klasma.github.io/Logging_2309/klagomålsmail/A 47459-2020 FSC-klagomål mail.docx", "A 47459-2020")</f>
        <v/>
      </c>
      <c r="X263">
        <f>HYPERLINK("https://klasma.github.io/Logging_2309/tillsyn/A 47459-2020 tillsynsbegäran.docx", "A 47459-2020")</f>
        <v/>
      </c>
      <c r="Y263">
        <f>HYPERLINK("https://klasma.github.io/Logging_2309/tillsynsmail/A 47459-2020 tillsynsbegäran mail.docx", "A 47459-2020")</f>
        <v/>
      </c>
    </row>
    <row r="264" ht="15" customHeight="1">
      <c r="A264" t="inlineStr">
        <is>
          <t>A 48863-2020</t>
        </is>
      </c>
      <c r="B264" s="1" t="n">
        <v>44099</v>
      </c>
      <c r="C264" s="1" t="n">
        <v>45741</v>
      </c>
      <c r="D264" t="inlineStr">
        <is>
          <t>JÄMTLANDS LÄN</t>
        </is>
      </c>
      <c r="E264" t="inlineStr">
        <is>
          <t>KROKOM</t>
        </is>
      </c>
      <c r="F264" t="inlineStr">
        <is>
          <t>SCA</t>
        </is>
      </c>
      <c r="G264" t="n">
        <v>7.2</v>
      </c>
      <c r="H264" t="n">
        <v>0</v>
      </c>
      <c r="I264" t="n">
        <v>0</v>
      </c>
      <c r="J264" t="n">
        <v>0</v>
      </c>
      <c r="K264" t="n">
        <v>1</v>
      </c>
      <c r="L264" t="n">
        <v>0</v>
      </c>
      <c r="M264" t="n">
        <v>0</v>
      </c>
      <c r="N264" t="n">
        <v>0</v>
      </c>
      <c r="O264" t="n">
        <v>1</v>
      </c>
      <c r="P264" t="n">
        <v>1</v>
      </c>
      <c r="Q264" t="n">
        <v>1</v>
      </c>
      <c r="R264" s="2" t="inlineStr">
        <is>
          <t>Fläckporing</t>
        </is>
      </c>
      <c r="S264">
        <f>HYPERLINK("https://klasma.github.io/Logging_2309/artfynd/A 48863-2020 artfynd.xlsx", "A 48863-2020")</f>
        <v/>
      </c>
      <c r="T264">
        <f>HYPERLINK("https://klasma.github.io/Logging_2309/kartor/A 48863-2020 karta.png", "A 48863-2020")</f>
        <v/>
      </c>
      <c r="V264">
        <f>HYPERLINK("https://klasma.github.io/Logging_2309/klagomål/A 48863-2020 FSC-klagomål.docx", "A 48863-2020")</f>
        <v/>
      </c>
      <c r="W264">
        <f>HYPERLINK("https://klasma.github.io/Logging_2309/klagomålsmail/A 48863-2020 FSC-klagomål mail.docx", "A 48863-2020")</f>
        <v/>
      </c>
      <c r="X264">
        <f>HYPERLINK("https://klasma.github.io/Logging_2309/tillsyn/A 48863-2020 tillsynsbegäran.docx", "A 48863-2020")</f>
        <v/>
      </c>
      <c r="Y264">
        <f>HYPERLINK("https://klasma.github.io/Logging_2309/tillsynsmail/A 48863-2020 tillsynsbegäran mail.docx", "A 48863-2020")</f>
        <v/>
      </c>
    </row>
    <row r="265" ht="15" customHeight="1">
      <c r="A265" t="inlineStr">
        <is>
          <t>A 56202-2020</t>
        </is>
      </c>
      <c r="B265" s="1" t="n">
        <v>44133</v>
      </c>
      <c r="C265" s="1" t="n">
        <v>45741</v>
      </c>
      <c r="D265" t="inlineStr">
        <is>
          <t>JÄMTLANDS LÄN</t>
        </is>
      </c>
      <c r="E265" t="inlineStr">
        <is>
          <t>KROKOM</t>
        </is>
      </c>
      <c r="G265" t="n">
        <v>0.2</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56202-2020 artfynd.xlsx", "A 56202-2020")</f>
        <v/>
      </c>
      <c r="T265">
        <f>HYPERLINK("https://klasma.github.io/Logging_2309/kartor/A 56202-2020 karta.png", "A 56202-2020")</f>
        <v/>
      </c>
      <c r="V265">
        <f>HYPERLINK("https://klasma.github.io/Logging_2309/klagomål/A 56202-2020 FSC-klagomål.docx", "A 56202-2020")</f>
        <v/>
      </c>
      <c r="W265">
        <f>HYPERLINK("https://klasma.github.io/Logging_2309/klagomålsmail/A 56202-2020 FSC-klagomål mail.docx", "A 56202-2020")</f>
        <v/>
      </c>
      <c r="X265">
        <f>HYPERLINK("https://klasma.github.io/Logging_2309/tillsyn/A 56202-2020 tillsynsbegäran.docx", "A 56202-2020")</f>
        <v/>
      </c>
      <c r="Y265">
        <f>HYPERLINK("https://klasma.github.io/Logging_2309/tillsynsmail/A 56202-2020 tillsynsbegäran mail.docx", "A 56202-2020")</f>
        <v/>
      </c>
      <c r="Z265">
        <f>HYPERLINK("https://klasma.github.io/Logging_2309/fåglar/A 56202-2020 prioriterade fågelarter.docx", "A 56202-2020")</f>
        <v/>
      </c>
    </row>
    <row r="266" ht="15" customHeight="1">
      <c r="A266" t="inlineStr">
        <is>
          <t>A 61054-2020</t>
        </is>
      </c>
      <c r="B266" s="1" t="n">
        <v>44154</v>
      </c>
      <c r="C266" s="1" t="n">
        <v>45741</v>
      </c>
      <c r="D266" t="inlineStr">
        <is>
          <t>JÄMTLANDS LÄN</t>
        </is>
      </c>
      <c r="E266" t="inlineStr">
        <is>
          <t>KROKOM</t>
        </is>
      </c>
      <c r="F266" t="inlineStr">
        <is>
          <t>Övriga Aktiebolag</t>
        </is>
      </c>
      <c r="G266" t="n">
        <v>1.2</v>
      </c>
      <c r="H266" t="n">
        <v>1</v>
      </c>
      <c r="I266" t="n">
        <v>1</v>
      </c>
      <c r="J266" t="n">
        <v>0</v>
      </c>
      <c r="K266" t="n">
        <v>0</v>
      </c>
      <c r="L266" t="n">
        <v>0</v>
      </c>
      <c r="M266" t="n">
        <v>0</v>
      </c>
      <c r="N266" t="n">
        <v>0</v>
      </c>
      <c r="O266" t="n">
        <v>0</v>
      </c>
      <c r="P266" t="n">
        <v>0</v>
      </c>
      <c r="Q266" t="n">
        <v>1</v>
      </c>
      <c r="R266" s="2" t="inlineStr">
        <is>
          <t>Korallrot</t>
        </is>
      </c>
      <c r="S266">
        <f>HYPERLINK("https://klasma.github.io/Logging_2309/artfynd/A 61054-2020 artfynd.xlsx", "A 61054-2020")</f>
        <v/>
      </c>
      <c r="T266">
        <f>HYPERLINK("https://klasma.github.io/Logging_2309/kartor/A 61054-2020 karta.png", "A 61054-2020")</f>
        <v/>
      </c>
      <c r="V266">
        <f>HYPERLINK("https://klasma.github.io/Logging_2309/klagomål/A 61054-2020 FSC-klagomål.docx", "A 61054-2020")</f>
        <v/>
      </c>
      <c r="W266">
        <f>HYPERLINK("https://klasma.github.io/Logging_2309/klagomålsmail/A 61054-2020 FSC-klagomål mail.docx", "A 61054-2020")</f>
        <v/>
      </c>
      <c r="X266">
        <f>HYPERLINK("https://klasma.github.io/Logging_2309/tillsyn/A 61054-2020 tillsynsbegäran.docx", "A 61054-2020")</f>
        <v/>
      </c>
      <c r="Y266">
        <f>HYPERLINK("https://klasma.github.io/Logging_2309/tillsynsmail/A 61054-2020 tillsynsbegäran mail.docx", "A 61054-2020")</f>
        <v/>
      </c>
    </row>
    <row r="267" ht="15" customHeight="1">
      <c r="A267" t="inlineStr">
        <is>
          <t>A 1112-2021</t>
        </is>
      </c>
      <c r="B267" s="1" t="n">
        <v>44207</v>
      </c>
      <c r="C267" s="1" t="n">
        <v>45741</v>
      </c>
      <c r="D267" t="inlineStr">
        <is>
          <t>JÄMTLANDS LÄN</t>
        </is>
      </c>
      <c r="E267" t="inlineStr">
        <is>
          <t>KROKOM</t>
        </is>
      </c>
      <c r="F267" t="inlineStr">
        <is>
          <t>Övriga Aktiebolag</t>
        </is>
      </c>
      <c r="G267" t="n">
        <v>90.7</v>
      </c>
      <c r="H267" t="n">
        <v>0</v>
      </c>
      <c r="I267" t="n">
        <v>1</v>
      </c>
      <c r="J267" t="n">
        <v>0</v>
      </c>
      <c r="K267" t="n">
        <v>0</v>
      </c>
      <c r="L267" t="n">
        <v>0</v>
      </c>
      <c r="M267" t="n">
        <v>0</v>
      </c>
      <c r="N267" t="n">
        <v>0</v>
      </c>
      <c r="O267" t="n">
        <v>0</v>
      </c>
      <c r="P267" t="n">
        <v>0</v>
      </c>
      <c r="Q267" t="n">
        <v>1</v>
      </c>
      <c r="R267" s="2" t="inlineStr">
        <is>
          <t>Kambräken</t>
        </is>
      </c>
      <c r="S267">
        <f>HYPERLINK("https://klasma.github.io/Logging_2309/artfynd/A 1112-2021 artfynd.xlsx", "A 1112-2021")</f>
        <v/>
      </c>
      <c r="T267">
        <f>HYPERLINK("https://klasma.github.io/Logging_2309/kartor/A 1112-2021 karta.png", "A 1112-2021")</f>
        <v/>
      </c>
      <c r="V267">
        <f>HYPERLINK("https://klasma.github.io/Logging_2309/klagomål/A 1112-2021 FSC-klagomål.docx", "A 1112-2021")</f>
        <v/>
      </c>
      <c r="W267">
        <f>HYPERLINK("https://klasma.github.io/Logging_2309/klagomålsmail/A 1112-2021 FSC-klagomål mail.docx", "A 1112-2021")</f>
        <v/>
      </c>
      <c r="X267">
        <f>HYPERLINK("https://klasma.github.io/Logging_2309/tillsyn/A 1112-2021 tillsynsbegäran.docx", "A 1112-2021")</f>
        <v/>
      </c>
      <c r="Y267">
        <f>HYPERLINK("https://klasma.github.io/Logging_2309/tillsynsmail/A 1112-2021 tillsynsbegäran mail.docx", "A 1112-2021")</f>
        <v/>
      </c>
    </row>
    <row r="268" ht="15" customHeight="1">
      <c r="A268" t="inlineStr">
        <is>
          <t>A 11780-2021</t>
        </is>
      </c>
      <c r="B268" s="1" t="n">
        <v>44265</v>
      </c>
      <c r="C268" s="1" t="n">
        <v>45741</v>
      </c>
      <c r="D268" t="inlineStr">
        <is>
          <t>JÄMTLANDS LÄN</t>
        </is>
      </c>
      <c r="E268" t="inlineStr">
        <is>
          <t>KROKOM</t>
        </is>
      </c>
      <c r="G268" t="n">
        <v>1.3</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11780-2021 artfynd.xlsx", "A 11780-2021")</f>
        <v/>
      </c>
      <c r="T268">
        <f>HYPERLINK("https://klasma.github.io/Logging_2309/kartor/A 11780-2021 karta.png", "A 11780-2021")</f>
        <v/>
      </c>
      <c r="V268">
        <f>HYPERLINK("https://klasma.github.io/Logging_2309/klagomål/A 11780-2021 FSC-klagomål.docx", "A 11780-2021")</f>
        <v/>
      </c>
      <c r="W268">
        <f>HYPERLINK("https://klasma.github.io/Logging_2309/klagomålsmail/A 11780-2021 FSC-klagomål mail.docx", "A 11780-2021")</f>
        <v/>
      </c>
      <c r="X268">
        <f>HYPERLINK("https://klasma.github.io/Logging_2309/tillsyn/A 11780-2021 tillsynsbegäran.docx", "A 11780-2021")</f>
        <v/>
      </c>
      <c r="Y268">
        <f>HYPERLINK("https://klasma.github.io/Logging_2309/tillsynsmail/A 11780-2021 tillsynsbegäran mail.docx", "A 11780-2021")</f>
        <v/>
      </c>
      <c r="Z268">
        <f>HYPERLINK("https://klasma.github.io/Logging_2309/fåglar/A 11780-2021 prioriterade fågelarter.docx", "A 11780-2021")</f>
        <v/>
      </c>
    </row>
    <row r="269" ht="15" customHeight="1">
      <c r="A269" t="inlineStr">
        <is>
          <t>A 19282-2021</t>
        </is>
      </c>
      <c r="B269" s="1" t="n">
        <v>44308</v>
      </c>
      <c r="C269" s="1" t="n">
        <v>45741</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22078-2021</t>
        </is>
      </c>
      <c r="B270" s="1" t="n">
        <v>44323</v>
      </c>
      <c r="C270" s="1" t="n">
        <v>45741</v>
      </c>
      <c r="D270" t="inlineStr">
        <is>
          <t>JÄMTLANDS LÄN</t>
        </is>
      </c>
      <c r="E270" t="inlineStr">
        <is>
          <t>KROKOM</t>
        </is>
      </c>
      <c r="G270" t="n">
        <v>5.9</v>
      </c>
      <c r="H270" t="n">
        <v>0</v>
      </c>
      <c r="I270" t="n">
        <v>0</v>
      </c>
      <c r="J270" t="n">
        <v>1</v>
      </c>
      <c r="K270" t="n">
        <v>0</v>
      </c>
      <c r="L270" t="n">
        <v>0</v>
      </c>
      <c r="M270" t="n">
        <v>0</v>
      </c>
      <c r="N270" t="n">
        <v>0</v>
      </c>
      <c r="O270" t="n">
        <v>1</v>
      </c>
      <c r="P270" t="n">
        <v>0</v>
      </c>
      <c r="Q270" t="n">
        <v>1</v>
      </c>
      <c r="R270" s="2" t="inlineStr">
        <is>
          <t>Granticka</t>
        </is>
      </c>
      <c r="S270">
        <f>HYPERLINK("https://klasma.github.io/Logging_2309/artfynd/A 22078-2021 artfynd.xlsx", "A 22078-2021")</f>
        <v/>
      </c>
      <c r="T270">
        <f>HYPERLINK("https://klasma.github.io/Logging_2309/kartor/A 22078-2021 karta.png", "A 22078-2021")</f>
        <v/>
      </c>
      <c r="V270">
        <f>HYPERLINK("https://klasma.github.io/Logging_2309/klagomål/A 22078-2021 FSC-klagomål.docx", "A 22078-2021")</f>
        <v/>
      </c>
      <c r="W270">
        <f>HYPERLINK("https://klasma.github.io/Logging_2309/klagomålsmail/A 22078-2021 FSC-klagomål mail.docx", "A 22078-2021")</f>
        <v/>
      </c>
      <c r="X270">
        <f>HYPERLINK("https://klasma.github.io/Logging_2309/tillsyn/A 22078-2021 tillsynsbegäran.docx", "A 22078-2021")</f>
        <v/>
      </c>
      <c r="Y270">
        <f>HYPERLINK("https://klasma.github.io/Logging_2309/tillsynsmail/A 22078-2021 tillsynsbegäran mail.docx", "A 22078-2021")</f>
        <v/>
      </c>
    </row>
    <row r="271" ht="15" customHeight="1">
      <c r="A271" t="inlineStr">
        <is>
          <t>A 46787-2021</t>
        </is>
      </c>
      <c r="B271" s="1" t="n">
        <v>44445</v>
      </c>
      <c r="C271" s="1" t="n">
        <v>45741</v>
      </c>
      <c r="D271" t="inlineStr">
        <is>
          <t>JÄMTLANDS LÄN</t>
        </is>
      </c>
      <c r="E271" t="inlineStr">
        <is>
          <t>KROKOM</t>
        </is>
      </c>
      <c r="F271" t="inlineStr">
        <is>
          <t>SCA</t>
        </is>
      </c>
      <c r="G271" t="n">
        <v>4.6</v>
      </c>
      <c r="H271" t="n">
        <v>0</v>
      </c>
      <c r="I271" t="n">
        <v>0</v>
      </c>
      <c r="J271" t="n">
        <v>1</v>
      </c>
      <c r="K271" t="n">
        <v>0</v>
      </c>
      <c r="L271" t="n">
        <v>0</v>
      </c>
      <c r="M271" t="n">
        <v>0</v>
      </c>
      <c r="N271" t="n">
        <v>0</v>
      </c>
      <c r="O271" t="n">
        <v>1</v>
      </c>
      <c r="P271" t="n">
        <v>0</v>
      </c>
      <c r="Q271" t="n">
        <v>1</v>
      </c>
      <c r="R271" s="2" t="inlineStr">
        <is>
          <t>Gammelgransskål</t>
        </is>
      </c>
      <c r="S271">
        <f>HYPERLINK("https://klasma.github.io/Logging_2309/artfynd/A 46787-2021 artfynd.xlsx", "A 46787-2021")</f>
        <v/>
      </c>
      <c r="T271">
        <f>HYPERLINK("https://klasma.github.io/Logging_2309/kartor/A 46787-2021 karta.png", "A 46787-2021")</f>
        <v/>
      </c>
      <c r="V271">
        <f>HYPERLINK("https://klasma.github.io/Logging_2309/klagomål/A 46787-2021 FSC-klagomål.docx", "A 46787-2021")</f>
        <v/>
      </c>
      <c r="W271">
        <f>HYPERLINK("https://klasma.github.io/Logging_2309/klagomålsmail/A 46787-2021 FSC-klagomål mail.docx", "A 46787-2021")</f>
        <v/>
      </c>
      <c r="X271">
        <f>HYPERLINK("https://klasma.github.io/Logging_2309/tillsyn/A 46787-2021 tillsynsbegäran.docx", "A 46787-2021")</f>
        <v/>
      </c>
      <c r="Y271">
        <f>HYPERLINK("https://klasma.github.io/Logging_2309/tillsynsmail/A 46787-2021 tillsynsbegäran mail.docx", "A 46787-2021")</f>
        <v/>
      </c>
    </row>
    <row r="272" ht="15" customHeight="1">
      <c r="A272" t="inlineStr">
        <is>
          <t>A 46785-2021</t>
        </is>
      </c>
      <c r="B272" s="1" t="n">
        <v>44445</v>
      </c>
      <c r="C272" s="1" t="n">
        <v>45741</v>
      </c>
      <c r="D272" t="inlineStr">
        <is>
          <t>JÄMTLANDS LÄN</t>
        </is>
      </c>
      <c r="E272" t="inlineStr">
        <is>
          <t>KROKOM</t>
        </is>
      </c>
      <c r="F272" t="inlineStr">
        <is>
          <t>SCA</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HYPERLINK("https://klasma.github.io/Logging_2309/artfynd/A 46785-2021 artfynd.xlsx", "A 46785-2021")</f>
        <v/>
      </c>
      <c r="T272">
        <f>HYPERLINK("https://klasma.github.io/Logging_2309/kartor/A 46785-2021 karta.png", "A 46785-2021")</f>
        <v/>
      </c>
      <c r="V272">
        <f>HYPERLINK("https://klasma.github.io/Logging_2309/klagomål/A 46785-2021 FSC-klagomål.docx", "A 46785-2021")</f>
        <v/>
      </c>
      <c r="W272">
        <f>HYPERLINK("https://klasma.github.io/Logging_2309/klagomålsmail/A 46785-2021 FSC-klagomål mail.docx", "A 46785-2021")</f>
        <v/>
      </c>
      <c r="X272">
        <f>HYPERLINK("https://klasma.github.io/Logging_2309/tillsyn/A 46785-2021 tillsynsbegäran.docx", "A 46785-2021")</f>
        <v/>
      </c>
      <c r="Y272">
        <f>HYPERLINK("https://klasma.github.io/Logging_2309/tillsynsmail/A 46785-2021 tillsynsbegäran mail.docx", "A 46785-2021")</f>
        <v/>
      </c>
    </row>
    <row r="273" ht="15" customHeight="1">
      <c r="A273" t="inlineStr">
        <is>
          <t>A 60006-2021</t>
        </is>
      </c>
      <c r="B273" s="1" t="n">
        <v>44494</v>
      </c>
      <c r="C273" s="1" t="n">
        <v>45741</v>
      </c>
      <c r="D273" t="inlineStr">
        <is>
          <t>JÄMTLANDS LÄN</t>
        </is>
      </c>
      <c r="E273" t="inlineStr">
        <is>
          <t>KROKOM</t>
        </is>
      </c>
      <c r="F273" t="inlineStr">
        <is>
          <t>SCA</t>
        </is>
      </c>
      <c r="G273" t="n">
        <v>7.5</v>
      </c>
      <c r="H273" t="n">
        <v>0</v>
      </c>
      <c r="I273" t="n">
        <v>0</v>
      </c>
      <c r="J273" t="n">
        <v>1</v>
      </c>
      <c r="K273" t="n">
        <v>0</v>
      </c>
      <c r="L273" t="n">
        <v>0</v>
      </c>
      <c r="M273" t="n">
        <v>0</v>
      </c>
      <c r="N273" t="n">
        <v>0</v>
      </c>
      <c r="O273" t="n">
        <v>1</v>
      </c>
      <c r="P273" t="n">
        <v>0</v>
      </c>
      <c r="Q273" t="n">
        <v>1</v>
      </c>
      <c r="R273" s="2" t="inlineStr">
        <is>
          <t>Flattoppad klubbsvamp</t>
        </is>
      </c>
      <c r="S273">
        <f>HYPERLINK("https://klasma.github.io/Logging_2309/artfynd/A 60006-2021 artfynd.xlsx", "A 60006-2021")</f>
        <v/>
      </c>
      <c r="T273">
        <f>HYPERLINK("https://klasma.github.io/Logging_2309/kartor/A 60006-2021 karta.png", "A 60006-2021")</f>
        <v/>
      </c>
      <c r="V273">
        <f>HYPERLINK("https://klasma.github.io/Logging_2309/klagomål/A 60006-2021 FSC-klagomål.docx", "A 60006-2021")</f>
        <v/>
      </c>
      <c r="W273">
        <f>HYPERLINK("https://klasma.github.io/Logging_2309/klagomålsmail/A 60006-2021 FSC-klagomål mail.docx", "A 60006-2021")</f>
        <v/>
      </c>
      <c r="X273">
        <f>HYPERLINK("https://klasma.github.io/Logging_2309/tillsyn/A 60006-2021 tillsynsbegäran.docx", "A 60006-2021")</f>
        <v/>
      </c>
      <c r="Y273">
        <f>HYPERLINK("https://klasma.github.io/Logging_2309/tillsynsmail/A 60006-2021 tillsynsbegäran mail.docx", "A 60006-2021")</f>
        <v/>
      </c>
    </row>
    <row r="274" ht="15" customHeight="1">
      <c r="A274" t="inlineStr">
        <is>
          <t>A 64301-2021</t>
        </is>
      </c>
      <c r="B274" s="1" t="n">
        <v>44510</v>
      </c>
      <c r="C274" s="1" t="n">
        <v>45741</v>
      </c>
      <c r="D274" t="inlineStr">
        <is>
          <t>JÄMTLANDS LÄN</t>
        </is>
      </c>
      <c r="E274" t="inlineStr">
        <is>
          <t>KROKOM</t>
        </is>
      </c>
      <c r="G274" t="n">
        <v>3.3</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64301-2021 artfynd.xlsx", "A 64301-2021")</f>
        <v/>
      </c>
      <c r="T274">
        <f>HYPERLINK("https://klasma.github.io/Logging_2309/kartor/A 64301-2021 karta.png", "A 64301-2021")</f>
        <v/>
      </c>
      <c r="V274">
        <f>HYPERLINK("https://klasma.github.io/Logging_2309/klagomål/A 64301-2021 FSC-klagomål.docx", "A 64301-2021")</f>
        <v/>
      </c>
      <c r="W274">
        <f>HYPERLINK("https://klasma.github.io/Logging_2309/klagomålsmail/A 64301-2021 FSC-klagomål mail.docx", "A 64301-2021")</f>
        <v/>
      </c>
      <c r="X274">
        <f>HYPERLINK("https://klasma.github.io/Logging_2309/tillsyn/A 64301-2021 tillsynsbegäran.docx", "A 64301-2021")</f>
        <v/>
      </c>
      <c r="Y274">
        <f>HYPERLINK("https://klasma.github.io/Logging_2309/tillsynsmail/A 64301-2021 tillsynsbegäran mail.docx", "A 64301-2021")</f>
        <v/>
      </c>
      <c r="Z274">
        <f>HYPERLINK("https://klasma.github.io/Logging_2309/fåglar/A 64301-2021 prioriterade fågelarter.docx", "A 64301-2021")</f>
        <v/>
      </c>
    </row>
    <row r="275" ht="15" customHeight="1">
      <c r="A275" t="inlineStr">
        <is>
          <t>A 64951-2021</t>
        </is>
      </c>
      <c r="B275" s="1" t="n">
        <v>44512</v>
      </c>
      <c r="C275" s="1" t="n">
        <v>45741</v>
      </c>
      <c r="D275" t="inlineStr">
        <is>
          <t>JÄMTLANDS LÄN</t>
        </is>
      </c>
      <c r="E275" t="inlineStr">
        <is>
          <t>KROKOM</t>
        </is>
      </c>
      <c r="F275" t="inlineStr">
        <is>
          <t>SCA</t>
        </is>
      </c>
      <c r="G275" t="n">
        <v>2.5</v>
      </c>
      <c r="H275" t="n">
        <v>0</v>
      </c>
      <c r="I275" t="n">
        <v>1</v>
      </c>
      <c r="J275" t="n">
        <v>0</v>
      </c>
      <c r="K275" t="n">
        <v>0</v>
      </c>
      <c r="L275" t="n">
        <v>0</v>
      </c>
      <c r="M275" t="n">
        <v>0</v>
      </c>
      <c r="N275" t="n">
        <v>0</v>
      </c>
      <c r="O275" t="n">
        <v>0</v>
      </c>
      <c r="P275" t="n">
        <v>0</v>
      </c>
      <c r="Q275" t="n">
        <v>1</v>
      </c>
      <c r="R275" s="2" t="inlineStr">
        <is>
          <t>Kransrams</t>
        </is>
      </c>
      <c r="S275">
        <f>HYPERLINK("https://klasma.github.io/Logging_2309/artfynd/A 64951-2021 artfynd.xlsx", "A 64951-2021")</f>
        <v/>
      </c>
      <c r="T275">
        <f>HYPERLINK("https://klasma.github.io/Logging_2309/kartor/A 64951-2021 karta.png", "A 64951-2021")</f>
        <v/>
      </c>
      <c r="V275">
        <f>HYPERLINK("https://klasma.github.io/Logging_2309/klagomål/A 64951-2021 FSC-klagomål.docx", "A 64951-2021")</f>
        <v/>
      </c>
      <c r="W275">
        <f>HYPERLINK("https://klasma.github.io/Logging_2309/klagomålsmail/A 64951-2021 FSC-klagomål mail.docx", "A 64951-2021")</f>
        <v/>
      </c>
      <c r="X275">
        <f>HYPERLINK("https://klasma.github.io/Logging_2309/tillsyn/A 64951-2021 tillsynsbegäran.docx", "A 64951-2021")</f>
        <v/>
      </c>
      <c r="Y275">
        <f>HYPERLINK("https://klasma.github.io/Logging_2309/tillsynsmail/A 64951-2021 tillsynsbegäran mail.docx", "A 64951-2021")</f>
        <v/>
      </c>
    </row>
    <row r="276" ht="15" customHeight="1">
      <c r="A276" t="inlineStr">
        <is>
          <t>A 64968-2021</t>
        </is>
      </c>
      <c r="B276" s="1" t="n">
        <v>44512</v>
      </c>
      <c r="C276" s="1" t="n">
        <v>45741</v>
      </c>
      <c r="D276" t="inlineStr">
        <is>
          <t>JÄMTLANDS LÄN</t>
        </is>
      </c>
      <c r="E276" t="inlineStr">
        <is>
          <t>KROKOM</t>
        </is>
      </c>
      <c r="F276" t="inlineStr">
        <is>
          <t>SCA</t>
        </is>
      </c>
      <c r="G276" t="n">
        <v>3.2</v>
      </c>
      <c r="H276" t="n">
        <v>0</v>
      </c>
      <c r="I276" t="n">
        <v>0</v>
      </c>
      <c r="J276" t="n">
        <v>1</v>
      </c>
      <c r="K276" t="n">
        <v>0</v>
      </c>
      <c r="L276" t="n">
        <v>0</v>
      </c>
      <c r="M276" t="n">
        <v>0</v>
      </c>
      <c r="N276" t="n">
        <v>0</v>
      </c>
      <c r="O276" t="n">
        <v>1</v>
      </c>
      <c r="P276" t="n">
        <v>0</v>
      </c>
      <c r="Q276" t="n">
        <v>1</v>
      </c>
      <c r="R276" s="2" t="inlineStr">
        <is>
          <t>Skrovellav</t>
        </is>
      </c>
      <c r="S276">
        <f>HYPERLINK("https://klasma.github.io/Logging_2309/artfynd/A 64968-2021 artfynd.xlsx", "A 64968-2021")</f>
        <v/>
      </c>
      <c r="T276">
        <f>HYPERLINK("https://klasma.github.io/Logging_2309/kartor/A 64968-2021 karta.png", "A 64968-2021")</f>
        <v/>
      </c>
      <c r="V276">
        <f>HYPERLINK("https://klasma.github.io/Logging_2309/klagomål/A 64968-2021 FSC-klagomål.docx", "A 64968-2021")</f>
        <v/>
      </c>
      <c r="W276">
        <f>HYPERLINK("https://klasma.github.io/Logging_2309/klagomålsmail/A 64968-2021 FSC-klagomål mail.docx", "A 64968-2021")</f>
        <v/>
      </c>
      <c r="X276">
        <f>HYPERLINK("https://klasma.github.io/Logging_2309/tillsyn/A 64968-2021 tillsynsbegäran.docx", "A 64968-2021")</f>
        <v/>
      </c>
      <c r="Y276">
        <f>HYPERLINK("https://klasma.github.io/Logging_2309/tillsynsmail/A 64968-2021 tillsynsbegäran mail.docx", "A 64968-2021")</f>
        <v/>
      </c>
    </row>
    <row r="277" ht="15" customHeight="1">
      <c r="A277" t="inlineStr">
        <is>
          <t>A 67701-2021</t>
        </is>
      </c>
      <c r="B277" s="1" t="n">
        <v>44524</v>
      </c>
      <c r="C277" s="1" t="n">
        <v>45741</v>
      </c>
      <c r="D277" t="inlineStr">
        <is>
          <t>JÄMTLANDS LÄN</t>
        </is>
      </c>
      <c r="E277" t="inlineStr">
        <is>
          <t>KROKOM</t>
        </is>
      </c>
      <c r="F277" t="inlineStr">
        <is>
          <t>SCA</t>
        </is>
      </c>
      <c r="G277" t="n">
        <v>3.1</v>
      </c>
      <c r="H277" t="n">
        <v>0</v>
      </c>
      <c r="I277" t="n">
        <v>1</v>
      </c>
      <c r="J277" t="n">
        <v>0</v>
      </c>
      <c r="K277" t="n">
        <v>0</v>
      </c>
      <c r="L277" t="n">
        <v>0</v>
      </c>
      <c r="M277" t="n">
        <v>0</v>
      </c>
      <c r="N277" t="n">
        <v>0</v>
      </c>
      <c r="O277" t="n">
        <v>0</v>
      </c>
      <c r="P277" t="n">
        <v>0</v>
      </c>
      <c r="Q277" t="n">
        <v>1</v>
      </c>
      <c r="R277" s="2" t="inlineStr">
        <is>
          <t>Trådticka</t>
        </is>
      </c>
      <c r="S277">
        <f>HYPERLINK("https://klasma.github.io/Logging_2309/artfynd/A 67701-2021 artfynd.xlsx", "A 67701-2021")</f>
        <v/>
      </c>
      <c r="T277">
        <f>HYPERLINK("https://klasma.github.io/Logging_2309/kartor/A 67701-2021 karta.png", "A 67701-2021")</f>
        <v/>
      </c>
      <c r="V277">
        <f>HYPERLINK("https://klasma.github.io/Logging_2309/klagomål/A 67701-2021 FSC-klagomål.docx", "A 67701-2021")</f>
        <v/>
      </c>
      <c r="W277">
        <f>HYPERLINK("https://klasma.github.io/Logging_2309/klagomålsmail/A 67701-2021 FSC-klagomål mail.docx", "A 67701-2021")</f>
        <v/>
      </c>
      <c r="X277">
        <f>HYPERLINK("https://klasma.github.io/Logging_2309/tillsyn/A 67701-2021 tillsynsbegäran.docx", "A 67701-2021")</f>
        <v/>
      </c>
      <c r="Y277">
        <f>HYPERLINK("https://klasma.github.io/Logging_2309/tillsynsmail/A 67701-2021 tillsynsbegäran mail.docx", "A 67701-2021")</f>
        <v/>
      </c>
    </row>
    <row r="278" ht="15" customHeight="1">
      <c r="A278" t="inlineStr">
        <is>
          <t>A 69137-2021</t>
        </is>
      </c>
      <c r="B278" s="1" t="n">
        <v>44530</v>
      </c>
      <c r="C278" s="1" t="n">
        <v>45741</v>
      </c>
      <c r="D278" t="inlineStr">
        <is>
          <t>JÄMTLANDS LÄN</t>
        </is>
      </c>
      <c r="E278" t="inlineStr">
        <is>
          <t>KROKOM</t>
        </is>
      </c>
      <c r="F278" t="inlineStr">
        <is>
          <t>SCA</t>
        </is>
      </c>
      <c r="G278" t="n">
        <v>30.5</v>
      </c>
      <c r="H278" t="n">
        <v>0</v>
      </c>
      <c r="I278" t="n">
        <v>0</v>
      </c>
      <c r="J278" t="n">
        <v>1</v>
      </c>
      <c r="K278" t="n">
        <v>0</v>
      </c>
      <c r="L278" t="n">
        <v>0</v>
      </c>
      <c r="M278" t="n">
        <v>0</v>
      </c>
      <c r="N278" t="n">
        <v>0</v>
      </c>
      <c r="O278" t="n">
        <v>1</v>
      </c>
      <c r="P278" t="n">
        <v>0</v>
      </c>
      <c r="Q278" t="n">
        <v>1</v>
      </c>
      <c r="R278" s="2" t="inlineStr">
        <is>
          <t>Garnlav</t>
        </is>
      </c>
      <c r="S278">
        <f>HYPERLINK("https://klasma.github.io/Logging_2309/artfynd/A 69137-2021 artfynd.xlsx", "A 69137-2021")</f>
        <v/>
      </c>
      <c r="T278">
        <f>HYPERLINK("https://klasma.github.io/Logging_2309/kartor/A 69137-2021 karta.png", "A 69137-2021")</f>
        <v/>
      </c>
      <c r="V278">
        <f>HYPERLINK("https://klasma.github.io/Logging_2309/klagomål/A 69137-2021 FSC-klagomål.docx", "A 69137-2021")</f>
        <v/>
      </c>
      <c r="W278">
        <f>HYPERLINK("https://klasma.github.io/Logging_2309/klagomålsmail/A 69137-2021 FSC-klagomål mail.docx", "A 69137-2021")</f>
        <v/>
      </c>
      <c r="X278">
        <f>HYPERLINK("https://klasma.github.io/Logging_2309/tillsyn/A 69137-2021 tillsynsbegäran.docx", "A 69137-2021")</f>
        <v/>
      </c>
      <c r="Y278">
        <f>HYPERLINK("https://klasma.github.io/Logging_2309/tillsynsmail/A 69137-2021 tillsynsbegäran mail.docx", "A 69137-2021")</f>
        <v/>
      </c>
    </row>
    <row r="279" ht="15" customHeight="1">
      <c r="A279" t="inlineStr">
        <is>
          <t>A 71575-2021</t>
        </is>
      </c>
      <c r="B279" s="1" t="n">
        <v>44540</v>
      </c>
      <c r="C279" s="1" t="n">
        <v>45741</v>
      </c>
      <c r="D279" t="inlineStr">
        <is>
          <t>JÄMTLANDS LÄN</t>
        </is>
      </c>
      <c r="E279" t="inlineStr">
        <is>
          <t>KROKOM</t>
        </is>
      </c>
      <c r="G279" t="n">
        <v>0.9</v>
      </c>
      <c r="H279" t="n">
        <v>0</v>
      </c>
      <c r="I279" t="n">
        <v>0</v>
      </c>
      <c r="J279" t="n">
        <v>1</v>
      </c>
      <c r="K279" t="n">
        <v>0</v>
      </c>
      <c r="L279" t="n">
        <v>0</v>
      </c>
      <c r="M279" t="n">
        <v>0</v>
      </c>
      <c r="N279" t="n">
        <v>0</v>
      </c>
      <c r="O279" t="n">
        <v>1</v>
      </c>
      <c r="P279" t="n">
        <v>0</v>
      </c>
      <c r="Q279" t="n">
        <v>1</v>
      </c>
      <c r="R279" s="2" t="inlineStr">
        <is>
          <t>Gultoppig fingersvamp</t>
        </is>
      </c>
      <c r="S279">
        <f>HYPERLINK("https://klasma.github.io/Logging_2309/artfynd/A 71575-2021 artfynd.xlsx", "A 71575-2021")</f>
        <v/>
      </c>
      <c r="T279">
        <f>HYPERLINK("https://klasma.github.io/Logging_2309/kartor/A 71575-2021 karta.png", "A 71575-2021")</f>
        <v/>
      </c>
      <c r="V279">
        <f>HYPERLINK("https://klasma.github.io/Logging_2309/klagomål/A 71575-2021 FSC-klagomål.docx", "A 71575-2021")</f>
        <v/>
      </c>
      <c r="W279">
        <f>HYPERLINK("https://klasma.github.io/Logging_2309/klagomålsmail/A 71575-2021 FSC-klagomål mail.docx", "A 71575-2021")</f>
        <v/>
      </c>
      <c r="X279">
        <f>HYPERLINK("https://klasma.github.io/Logging_2309/tillsyn/A 71575-2021 tillsynsbegäran.docx", "A 71575-2021")</f>
        <v/>
      </c>
      <c r="Y279">
        <f>HYPERLINK("https://klasma.github.io/Logging_2309/tillsynsmail/A 71575-2021 tillsynsbegäran mail.docx", "A 71575-2021")</f>
        <v/>
      </c>
    </row>
    <row r="280" ht="15" customHeight="1">
      <c r="A280" t="inlineStr">
        <is>
          <t>A 71574-2021</t>
        </is>
      </c>
      <c r="B280" s="1" t="n">
        <v>44540</v>
      </c>
      <c r="C280" s="1" t="n">
        <v>45741</v>
      </c>
      <c r="D280" t="inlineStr">
        <is>
          <t>JÄMTLANDS LÄN</t>
        </is>
      </c>
      <c r="E280" t="inlineStr">
        <is>
          <t>KROKOM</t>
        </is>
      </c>
      <c r="G280" t="n">
        <v>1.1</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71574-2021 artfynd.xlsx", "A 71574-2021")</f>
        <v/>
      </c>
      <c r="T280">
        <f>HYPERLINK("https://klasma.github.io/Logging_2309/kartor/A 71574-2021 karta.png", "A 71574-2021")</f>
        <v/>
      </c>
      <c r="V280">
        <f>HYPERLINK("https://klasma.github.io/Logging_2309/klagomål/A 71574-2021 FSC-klagomål.docx", "A 71574-2021")</f>
        <v/>
      </c>
      <c r="W280">
        <f>HYPERLINK("https://klasma.github.io/Logging_2309/klagomålsmail/A 71574-2021 FSC-klagomål mail.docx", "A 71574-2021")</f>
        <v/>
      </c>
      <c r="X280">
        <f>HYPERLINK("https://klasma.github.io/Logging_2309/tillsyn/A 71574-2021 tillsynsbegäran.docx", "A 71574-2021")</f>
        <v/>
      </c>
      <c r="Y280">
        <f>HYPERLINK("https://klasma.github.io/Logging_2309/tillsynsmail/A 71574-2021 tillsynsbegäran mail.docx", "A 71574-2021")</f>
        <v/>
      </c>
    </row>
    <row r="281" ht="15" customHeight="1">
      <c r="A281" t="inlineStr">
        <is>
          <t>A 806-2022</t>
        </is>
      </c>
      <c r="B281" s="1" t="n">
        <v>44568</v>
      </c>
      <c r="C281" s="1" t="n">
        <v>45741</v>
      </c>
      <c r="D281" t="inlineStr">
        <is>
          <t>JÄMTLANDS LÄN</t>
        </is>
      </c>
      <c r="E281" t="inlineStr">
        <is>
          <t>KROKOM</t>
        </is>
      </c>
      <c r="G281" t="n">
        <v>46.8</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806-2022 artfynd.xlsx", "A 806-2022")</f>
        <v/>
      </c>
      <c r="T281">
        <f>HYPERLINK("https://klasma.github.io/Logging_2309/kartor/A 806-2022 karta.png", "A 806-2022")</f>
        <v/>
      </c>
      <c r="V281">
        <f>HYPERLINK("https://klasma.github.io/Logging_2309/klagomål/A 806-2022 FSC-klagomål.docx", "A 806-2022")</f>
        <v/>
      </c>
      <c r="W281">
        <f>HYPERLINK("https://klasma.github.io/Logging_2309/klagomålsmail/A 806-2022 FSC-klagomål mail.docx", "A 806-2022")</f>
        <v/>
      </c>
      <c r="X281">
        <f>HYPERLINK("https://klasma.github.io/Logging_2309/tillsyn/A 806-2022 tillsynsbegäran.docx", "A 806-2022")</f>
        <v/>
      </c>
      <c r="Y281">
        <f>HYPERLINK("https://klasma.github.io/Logging_2309/tillsynsmail/A 806-2022 tillsynsbegäran mail.docx", "A 806-2022")</f>
        <v/>
      </c>
      <c r="Z281">
        <f>HYPERLINK("https://klasma.github.io/Logging_2309/fåglar/A 806-2022 prioriterade fågelarter.docx", "A 806-2022")</f>
        <v/>
      </c>
    </row>
    <row r="282" ht="15" customHeight="1">
      <c r="A282" t="inlineStr">
        <is>
          <t>A 814-2022</t>
        </is>
      </c>
      <c r="B282" s="1" t="n">
        <v>44568</v>
      </c>
      <c r="C282" s="1" t="n">
        <v>45741</v>
      </c>
      <c r="D282" t="inlineStr">
        <is>
          <t>JÄMTLANDS LÄN</t>
        </is>
      </c>
      <c r="E282" t="inlineStr">
        <is>
          <t>KROKOM</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814-2022 artfynd.xlsx", "A 814-2022")</f>
        <v/>
      </c>
      <c r="T282">
        <f>HYPERLINK("https://klasma.github.io/Logging_2309/kartor/A 814-2022 karta.png", "A 814-2022")</f>
        <v/>
      </c>
      <c r="V282">
        <f>HYPERLINK("https://klasma.github.io/Logging_2309/klagomål/A 814-2022 FSC-klagomål.docx", "A 814-2022")</f>
        <v/>
      </c>
      <c r="W282">
        <f>HYPERLINK("https://klasma.github.io/Logging_2309/klagomålsmail/A 814-2022 FSC-klagomål mail.docx", "A 814-2022")</f>
        <v/>
      </c>
      <c r="X282">
        <f>HYPERLINK("https://klasma.github.io/Logging_2309/tillsyn/A 814-2022 tillsynsbegäran.docx", "A 814-2022")</f>
        <v/>
      </c>
      <c r="Y282">
        <f>HYPERLINK("https://klasma.github.io/Logging_2309/tillsynsmail/A 814-2022 tillsynsbegäran mail.docx", "A 814-2022")</f>
        <v/>
      </c>
      <c r="Z282">
        <f>HYPERLINK("https://klasma.github.io/Logging_2309/fåglar/A 814-2022 prioriterade fågelarter.docx", "A 814-2022")</f>
        <v/>
      </c>
    </row>
    <row r="283" ht="15" customHeight="1">
      <c r="A283" t="inlineStr">
        <is>
          <t>A 804-2022</t>
        </is>
      </c>
      <c r="B283" s="1" t="n">
        <v>44568</v>
      </c>
      <c r="C283" s="1" t="n">
        <v>45741</v>
      </c>
      <c r="D283" t="inlineStr">
        <is>
          <t>JÄMTLANDS LÄN</t>
        </is>
      </c>
      <c r="E283" t="inlineStr">
        <is>
          <t>KROKOM</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804-2022 artfynd.xlsx", "A 804-2022")</f>
        <v/>
      </c>
      <c r="T283">
        <f>HYPERLINK("https://klasma.github.io/Logging_2309/kartor/A 804-2022 karta.png", "A 804-2022")</f>
        <v/>
      </c>
      <c r="V283">
        <f>HYPERLINK("https://klasma.github.io/Logging_2309/klagomål/A 804-2022 FSC-klagomål.docx", "A 804-2022")</f>
        <v/>
      </c>
      <c r="W283">
        <f>HYPERLINK("https://klasma.github.io/Logging_2309/klagomålsmail/A 804-2022 FSC-klagomål mail.docx", "A 804-2022")</f>
        <v/>
      </c>
      <c r="X283">
        <f>HYPERLINK("https://klasma.github.io/Logging_2309/tillsyn/A 804-2022 tillsynsbegäran.docx", "A 804-2022")</f>
        <v/>
      </c>
      <c r="Y283">
        <f>HYPERLINK("https://klasma.github.io/Logging_2309/tillsynsmail/A 804-2022 tillsynsbegäran mail.docx", "A 804-2022")</f>
        <v/>
      </c>
      <c r="Z283">
        <f>HYPERLINK("https://klasma.github.io/Logging_2309/fåglar/A 804-2022 prioriterade fågelarter.docx", "A 804-2022")</f>
        <v/>
      </c>
    </row>
    <row r="284" ht="15" customHeight="1">
      <c r="A284" t="inlineStr">
        <is>
          <t>A 7005-2022</t>
        </is>
      </c>
      <c r="B284" s="1" t="n">
        <v>44603</v>
      </c>
      <c r="C284" s="1" t="n">
        <v>45741</v>
      </c>
      <c r="D284" t="inlineStr">
        <is>
          <t>JÄMTLANDS LÄN</t>
        </is>
      </c>
      <c r="E284" t="inlineStr">
        <is>
          <t>KROKOM</t>
        </is>
      </c>
      <c r="G284" t="n">
        <v>46</v>
      </c>
      <c r="H284" t="n">
        <v>0</v>
      </c>
      <c r="I284" t="n">
        <v>1</v>
      </c>
      <c r="J284" t="n">
        <v>0</v>
      </c>
      <c r="K284" t="n">
        <v>0</v>
      </c>
      <c r="L284" t="n">
        <v>0</v>
      </c>
      <c r="M284" t="n">
        <v>0</v>
      </c>
      <c r="N284" t="n">
        <v>0</v>
      </c>
      <c r="O284" t="n">
        <v>0</v>
      </c>
      <c r="P284" t="n">
        <v>0</v>
      </c>
      <c r="Q284" t="n">
        <v>1</v>
      </c>
      <c r="R284" s="2" t="inlineStr">
        <is>
          <t>Stuplav</t>
        </is>
      </c>
      <c r="S284">
        <f>HYPERLINK("https://klasma.github.io/Logging_2309/artfynd/A 7005-2022 artfynd.xlsx", "A 7005-2022")</f>
        <v/>
      </c>
      <c r="T284">
        <f>HYPERLINK("https://klasma.github.io/Logging_2309/kartor/A 7005-2022 karta.png", "A 7005-2022")</f>
        <v/>
      </c>
      <c r="V284">
        <f>HYPERLINK("https://klasma.github.io/Logging_2309/klagomål/A 7005-2022 FSC-klagomål.docx", "A 7005-2022")</f>
        <v/>
      </c>
      <c r="W284">
        <f>HYPERLINK("https://klasma.github.io/Logging_2309/klagomålsmail/A 7005-2022 FSC-klagomål mail.docx", "A 7005-2022")</f>
        <v/>
      </c>
      <c r="X284">
        <f>HYPERLINK("https://klasma.github.io/Logging_2309/tillsyn/A 7005-2022 tillsynsbegäran.docx", "A 7005-2022")</f>
        <v/>
      </c>
      <c r="Y284">
        <f>HYPERLINK("https://klasma.github.io/Logging_2309/tillsynsmail/A 7005-2022 tillsynsbegäran mail.docx", "A 7005-2022")</f>
        <v/>
      </c>
    </row>
    <row r="285" ht="15" customHeight="1">
      <c r="A285" t="inlineStr">
        <is>
          <t>A 18032-2022</t>
        </is>
      </c>
      <c r="B285" s="1" t="n">
        <v>44683</v>
      </c>
      <c r="C285" s="1" t="n">
        <v>45741</v>
      </c>
      <c r="D285" t="inlineStr">
        <is>
          <t>JÄMTLANDS LÄN</t>
        </is>
      </c>
      <c r="E285" t="inlineStr">
        <is>
          <t>KROKOM</t>
        </is>
      </c>
      <c r="G285" t="n">
        <v>15.8</v>
      </c>
      <c r="H285" t="n">
        <v>0</v>
      </c>
      <c r="I285" t="n">
        <v>0</v>
      </c>
      <c r="J285" t="n">
        <v>1</v>
      </c>
      <c r="K285" t="n">
        <v>0</v>
      </c>
      <c r="L285" t="n">
        <v>0</v>
      </c>
      <c r="M285" t="n">
        <v>0</v>
      </c>
      <c r="N285" t="n">
        <v>0</v>
      </c>
      <c r="O285" t="n">
        <v>1</v>
      </c>
      <c r="P285" t="n">
        <v>0</v>
      </c>
      <c r="Q285" t="n">
        <v>1</v>
      </c>
      <c r="R285" s="2" t="inlineStr">
        <is>
          <t>Brunklöver</t>
        </is>
      </c>
      <c r="S285">
        <f>HYPERLINK("https://klasma.github.io/Logging_2309/artfynd/A 18032-2022 artfynd.xlsx", "A 18032-2022")</f>
        <v/>
      </c>
      <c r="T285">
        <f>HYPERLINK("https://klasma.github.io/Logging_2309/kartor/A 18032-2022 karta.png", "A 18032-2022")</f>
        <v/>
      </c>
      <c r="V285">
        <f>HYPERLINK("https://klasma.github.io/Logging_2309/klagomål/A 18032-2022 FSC-klagomål.docx", "A 18032-2022")</f>
        <v/>
      </c>
      <c r="W285">
        <f>HYPERLINK("https://klasma.github.io/Logging_2309/klagomålsmail/A 18032-2022 FSC-klagomål mail.docx", "A 18032-2022")</f>
        <v/>
      </c>
      <c r="X285">
        <f>HYPERLINK("https://klasma.github.io/Logging_2309/tillsyn/A 18032-2022 tillsynsbegäran.docx", "A 18032-2022")</f>
        <v/>
      </c>
      <c r="Y285">
        <f>HYPERLINK("https://klasma.github.io/Logging_2309/tillsynsmail/A 18032-2022 tillsynsbegäran mail.docx", "A 18032-2022")</f>
        <v/>
      </c>
    </row>
    <row r="286" ht="15" customHeight="1">
      <c r="A286" t="inlineStr">
        <is>
          <t>A 25041-2022</t>
        </is>
      </c>
      <c r="B286" s="1" t="n">
        <v>44728</v>
      </c>
      <c r="C286" s="1" t="n">
        <v>45741</v>
      </c>
      <c r="D286" t="inlineStr">
        <is>
          <t>JÄMTLANDS LÄN</t>
        </is>
      </c>
      <c r="E286" t="inlineStr">
        <is>
          <t>KROKOM</t>
        </is>
      </c>
      <c r="F286" t="inlineStr">
        <is>
          <t>SCA</t>
        </is>
      </c>
      <c r="G286" t="n">
        <v>5.5</v>
      </c>
      <c r="H286" t="n">
        <v>0</v>
      </c>
      <c r="I286" t="n">
        <v>0</v>
      </c>
      <c r="J286" t="n">
        <v>1</v>
      </c>
      <c r="K286" t="n">
        <v>0</v>
      </c>
      <c r="L286" t="n">
        <v>0</v>
      </c>
      <c r="M286" t="n">
        <v>0</v>
      </c>
      <c r="N286" t="n">
        <v>0</v>
      </c>
      <c r="O286" t="n">
        <v>1</v>
      </c>
      <c r="P286" t="n">
        <v>0</v>
      </c>
      <c r="Q286" t="n">
        <v>1</v>
      </c>
      <c r="R286" s="2" t="inlineStr">
        <is>
          <t>Harticka</t>
        </is>
      </c>
      <c r="S286">
        <f>HYPERLINK("https://klasma.github.io/Logging_2309/artfynd/A 25041-2022 artfynd.xlsx", "A 25041-2022")</f>
        <v/>
      </c>
      <c r="T286">
        <f>HYPERLINK("https://klasma.github.io/Logging_2309/kartor/A 25041-2022 karta.png", "A 25041-2022")</f>
        <v/>
      </c>
      <c r="V286">
        <f>HYPERLINK("https://klasma.github.io/Logging_2309/klagomål/A 25041-2022 FSC-klagomål.docx", "A 25041-2022")</f>
        <v/>
      </c>
      <c r="W286">
        <f>HYPERLINK("https://klasma.github.io/Logging_2309/klagomålsmail/A 25041-2022 FSC-klagomål mail.docx", "A 25041-2022")</f>
        <v/>
      </c>
      <c r="X286">
        <f>HYPERLINK("https://klasma.github.io/Logging_2309/tillsyn/A 25041-2022 tillsynsbegäran.docx", "A 25041-2022")</f>
        <v/>
      </c>
      <c r="Y286">
        <f>HYPERLINK("https://klasma.github.io/Logging_2309/tillsynsmail/A 25041-2022 tillsynsbegäran mail.docx", "A 25041-2022")</f>
        <v/>
      </c>
    </row>
    <row r="287" ht="15" customHeight="1">
      <c r="A287" t="inlineStr">
        <is>
          <t>A 27579-2022</t>
        </is>
      </c>
      <c r="B287" s="1" t="n">
        <v>44742</v>
      </c>
      <c r="C287" s="1" t="n">
        <v>45741</v>
      </c>
      <c r="D287" t="inlineStr">
        <is>
          <t>JÄMTLANDS LÄN</t>
        </is>
      </c>
      <c r="E287" t="inlineStr">
        <is>
          <t>KROKOM</t>
        </is>
      </c>
      <c r="F287" t="inlineStr">
        <is>
          <t>SCA</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HYPERLINK("https://klasma.github.io/Logging_2309/artfynd/A 27579-2022 artfynd.xlsx", "A 27579-2022")</f>
        <v/>
      </c>
      <c r="T287">
        <f>HYPERLINK("https://klasma.github.io/Logging_2309/kartor/A 27579-2022 karta.png", "A 27579-2022")</f>
        <v/>
      </c>
      <c r="V287">
        <f>HYPERLINK("https://klasma.github.io/Logging_2309/klagomål/A 27579-2022 FSC-klagomål.docx", "A 27579-2022")</f>
        <v/>
      </c>
      <c r="W287">
        <f>HYPERLINK("https://klasma.github.io/Logging_2309/klagomålsmail/A 27579-2022 FSC-klagomål mail.docx", "A 27579-2022")</f>
        <v/>
      </c>
      <c r="X287">
        <f>HYPERLINK("https://klasma.github.io/Logging_2309/tillsyn/A 27579-2022 tillsynsbegäran.docx", "A 27579-2022")</f>
        <v/>
      </c>
      <c r="Y287">
        <f>HYPERLINK("https://klasma.github.io/Logging_2309/tillsynsmail/A 27579-2022 tillsynsbegäran mail.docx", "A 27579-2022")</f>
        <v/>
      </c>
    </row>
    <row r="288" ht="15" customHeight="1">
      <c r="A288" t="inlineStr">
        <is>
          <t>A 28490-2022</t>
        </is>
      </c>
      <c r="B288" s="1" t="n">
        <v>44747</v>
      </c>
      <c r="C288" s="1" t="n">
        <v>45741</v>
      </c>
      <c r="D288" t="inlineStr">
        <is>
          <t>JÄMTLANDS LÄN</t>
        </is>
      </c>
      <c r="E288" t="inlineStr">
        <is>
          <t>KROKOM</t>
        </is>
      </c>
      <c r="F288" t="inlineStr">
        <is>
          <t>SCA</t>
        </is>
      </c>
      <c r="G288" t="n">
        <v>57.9</v>
      </c>
      <c r="H288" t="n">
        <v>0</v>
      </c>
      <c r="I288" t="n">
        <v>0</v>
      </c>
      <c r="J288" t="n">
        <v>1</v>
      </c>
      <c r="K288" t="n">
        <v>0</v>
      </c>
      <c r="L288" t="n">
        <v>0</v>
      </c>
      <c r="M288" t="n">
        <v>0</v>
      </c>
      <c r="N288" t="n">
        <v>0</v>
      </c>
      <c r="O288" t="n">
        <v>1</v>
      </c>
      <c r="P288" t="n">
        <v>0</v>
      </c>
      <c r="Q288" t="n">
        <v>1</v>
      </c>
      <c r="R288" s="2" t="inlineStr">
        <is>
          <t>Kolflarnlav</t>
        </is>
      </c>
      <c r="S288">
        <f>HYPERLINK("https://klasma.github.io/Logging_2309/artfynd/A 28490-2022 artfynd.xlsx", "A 28490-2022")</f>
        <v/>
      </c>
      <c r="T288">
        <f>HYPERLINK("https://klasma.github.io/Logging_2309/kartor/A 28490-2022 karta.png", "A 28490-2022")</f>
        <v/>
      </c>
      <c r="V288">
        <f>HYPERLINK("https://klasma.github.io/Logging_2309/klagomål/A 28490-2022 FSC-klagomål.docx", "A 28490-2022")</f>
        <v/>
      </c>
      <c r="W288">
        <f>HYPERLINK("https://klasma.github.io/Logging_2309/klagomålsmail/A 28490-2022 FSC-klagomål mail.docx", "A 28490-2022")</f>
        <v/>
      </c>
      <c r="X288">
        <f>HYPERLINK("https://klasma.github.io/Logging_2309/tillsyn/A 28490-2022 tillsynsbegäran.docx", "A 28490-2022")</f>
        <v/>
      </c>
      <c r="Y288">
        <f>HYPERLINK("https://klasma.github.io/Logging_2309/tillsynsmail/A 28490-2022 tillsynsbegäran mail.docx", "A 28490-2022")</f>
        <v/>
      </c>
    </row>
    <row r="289" ht="15" customHeight="1">
      <c r="A289" t="inlineStr">
        <is>
          <t>A 33316-2022</t>
        </is>
      </c>
      <c r="B289" s="1" t="n">
        <v>44788</v>
      </c>
      <c r="C289" s="1" t="n">
        <v>45741</v>
      </c>
      <c r="D289" t="inlineStr">
        <is>
          <t>JÄMTLANDS LÄN</t>
        </is>
      </c>
      <c r="E289" t="inlineStr">
        <is>
          <t>KROKOM</t>
        </is>
      </c>
      <c r="G289" t="n">
        <v>10.4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33316-2022 artfynd.xlsx", "A 33316-2022")</f>
        <v/>
      </c>
      <c r="T289">
        <f>HYPERLINK("https://klasma.github.io/Logging_2309/kartor/A 33316-2022 karta.png", "A 33316-2022")</f>
        <v/>
      </c>
      <c r="V289">
        <f>HYPERLINK("https://klasma.github.io/Logging_2309/klagomål/A 33316-2022 FSC-klagomål.docx", "A 33316-2022")</f>
        <v/>
      </c>
      <c r="W289">
        <f>HYPERLINK("https://klasma.github.io/Logging_2309/klagomålsmail/A 33316-2022 FSC-klagomål mail.docx", "A 33316-2022")</f>
        <v/>
      </c>
      <c r="X289">
        <f>HYPERLINK("https://klasma.github.io/Logging_2309/tillsyn/A 33316-2022 tillsynsbegäran.docx", "A 33316-2022")</f>
        <v/>
      </c>
      <c r="Y289">
        <f>HYPERLINK("https://klasma.github.io/Logging_2309/tillsynsmail/A 33316-2022 tillsynsbegäran mail.docx", "A 33316-2022")</f>
        <v/>
      </c>
      <c r="Z289">
        <f>HYPERLINK("https://klasma.github.io/Logging_2309/fåglar/A 33316-2022 prioriterade fågelarter.docx", "A 33316-2022")</f>
        <v/>
      </c>
    </row>
    <row r="290" ht="15" customHeight="1">
      <c r="A290" t="inlineStr">
        <is>
          <t>A 35246-2022</t>
        </is>
      </c>
      <c r="B290" s="1" t="n">
        <v>44797</v>
      </c>
      <c r="C290" s="1" t="n">
        <v>45741</v>
      </c>
      <c r="D290" t="inlineStr">
        <is>
          <t>JÄMTLANDS LÄN</t>
        </is>
      </c>
      <c r="E290" t="inlineStr">
        <is>
          <t>KROKOM</t>
        </is>
      </c>
      <c r="G290" t="n">
        <v>29.4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35246-2022 artfynd.xlsx", "A 35246-2022")</f>
        <v/>
      </c>
      <c r="T290">
        <f>HYPERLINK("https://klasma.github.io/Logging_2309/kartor/A 35246-2022 karta.png", "A 35246-2022")</f>
        <v/>
      </c>
      <c r="V290">
        <f>HYPERLINK("https://klasma.github.io/Logging_2309/klagomål/A 35246-2022 FSC-klagomål.docx", "A 35246-2022")</f>
        <v/>
      </c>
      <c r="W290">
        <f>HYPERLINK("https://klasma.github.io/Logging_2309/klagomålsmail/A 35246-2022 FSC-klagomål mail.docx", "A 35246-2022")</f>
        <v/>
      </c>
      <c r="X290">
        <f>HYPERLINK("https://klasma.github.io/Logging_2309/tillsyn/A 35246-2022 tillsynsbegäran.docx", "A 35246-2022")</f>
        <v/>
      </c>
      <c r="Y290">
        <f>HYPERLINK("https://klasma.github.io/Logging_2309/tillsynsmail/A 35246-2022 tillsynsbegäran mail.docx", "A 35246-2022")</f>
        <v/>
      </c>
      <c r="Z290">
        <f>HYPERLINK("https://klasma.github.io/Logging_2309/fåglar/A 35246-2022 prioriterade fågelarter.docx", "A 35246-2022")</f>
        <v/>
      </c>
    </row>
    <row r="291" ht="15" customHeight="1">
      <c r="A291" t="inlineStr">
        <is>
          <t>A 45595-2022</t>
        </is>
      </c>
      <c r="B291" s="1" t="n">
        <v>44845</v>
      </c>
      <c r="C291" s="1" t="n">
        <v>45741</v>
      </c>
      <c r="D291" t="inlineStr">
        <is>
          <t>JÄMTLANDS LÄN</t>
        </is>
      </c>
      <c r="E291" t="inlineStr">
        <is>
          <t>KROKOM</t>
        </is>
      </c>
      <c r="G291" t="n">
        <v>10.2</v>
      </c>
      <c r="H291" t="n">
        <v>1</v>
      </c>
      <c r="I291" t="n">
        <v>0</v>
      </c>
      <c r="J291" t="n">
        <v>0</v>
      </c>
      <c r="K291" t="n">
        <v>0</v>
      </c>
      <c r="L291" t="n">
        <v>0</v>
      </c>
      <c r="M291" t="n">
        <v>0</v>
      </c>
      <c r="N291" t="n">
        <v>0</v>
      </c>
      <c r="O291" t="n">
        <v>0</v>
      </c>
      <c r="P291" t="n">
        <v>0</v>
      </c>
      <c r="Q291" t="n">
        <v>1</v>
      </c>
      <c r="R291" s="2" t="inlineStr">
        <is>
          <t>Revlummer</t>
        </is>
      </c>
      <c r="S291">
        <f>HYPERLINK("https://klasma.github.io/Logging_2309/artfynd/A 45595-2022 artfynd.xlsx", "A 45595-2022")</f>
        <v/>
      </c>
      <c r="T291">
        <f>HYPERLINK("https://klasma.github.io/Logging_2309/kartor/A 45595-2022 karta.png", "A 45595-2022")</f>
        <v/>
      </c>
      <c r="V291">
        <f>HYPERLINK("https://klasma.github.io/Logging_2309/klagomål/A 45595-2022 FSC-klagomål.docx", "A 45595-2022")</f>
        <v/>
      </c>
      <c r="W291">
        <f>HYPERLINK("https://klasma.github.io/Logging_2309/klagomålsmail/A 45595-2022 FSC-klagomål mail.docx", "A 45595-2022")</f>
        <v/>
      </c>
      <c r="X291">
        <f>HYPERLINK("https://klasma.github.io/Logging_2309/tillsyn/A 45595-2022 tillsynsbegäran.docx", "A 45595-2022")</f>
        <v/>
      </c>
      <c r="Y291">
        <f>HYPERLINK("https://klasma.github.io/Logging_2309/tillsynsmail/A 45595-2022 tillsynsbegäran mail.docx", "A 45595-2022")</f>
        <v/>
      </c>
    </row>
    <row r="292" ht="15" customHeight="1">
      <c r="A292" t="inlineStr">
        <is>
          <t>A 15430-2023</t>
        </is>
      </c>
      <c r="B292" s="1" t="n">
        <v>45020</v>
      </c>
      <c r="C292" s="1" t="n">
        <v>45741</v>
      </c>
      <c r="D292" t="inlineStr">
        <is>
          <t>JÄMTLANDS LÄN</t>
        </is>
      </c>
      <c r="E292" t="inlineStr">
        <is>
          <t>KROKOM</t>
        </is>
      </c>
      <c r="G292" t="n">
        <v>31.8</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15430-2023 artfynd.xlsx", "A 15430-2023")</f>
        <v/>
      </c>
      <c r="T292">
        <f>HYPERLINK("https://klasma.github.io/Logging_2309/kartor/A 15430-2023 karta.png", "A 15430-2023")</f>
        <v/>
      </c>
      <c r="V292">
        <f>HYPERLINK("https://klasma.github.io/Logging_2309/klagomål/A 15430-2023 FSC-klagomål.docx", "A 15430-2023")</f>
        <v/>
      </c>
      <c r="W292">
        <f>HYPERLINK("https://klasma.github.io/Logging_2309/klagomålsmail/A 15430-2023 FSC-klagomål mail.docx", "A 15430-2023")</f>
        <v/>
      </c>
      <c r="X292">
        <f>HYPERLINK("https://klasma.github.io/Logging_2309/tillsyn/A 15430-2023 tillsynsbegäran.docx", "A 15430-2023")</f>
        <v/>
      </c>
      <c r="Y292">
        <f>HYPERLINK("https://klasma.github.io/Logging_2309/tillsynsmail/A 15430-2023 tillsynsbegäran mail.docx", "A 15430-2023")</f>
        <v/>
      </c>
      <c r="Z292">
        <f>HYPERLINK("https://klasma.github.io/Logging_2309/fåglar/A 15430-2023 prioriterade fågelarter.docx", "A 15430-2023")</f>
        <v/>
      </c>
    </row>
    <row r="293" ht="15" customHeight="1">
      <c r="A293" t="inlineStr">
        <is>
          <t>A 25285-2023</t>
        </is>
      </c>
      <c r="B293" s="1" t="n">
        <v>45079</v>
      </c>
      <c r="C293" s="1" t="n">
        <v>45741</v>
      </c>
      <c r="D293" t="inlineStr">
        <is>
          <t>JÄMTLANDS LÄN</t>
        </is>
      </c>
      <c r="E293" t="inlineStr">
        <is>
          <t>KROKOM</t>
        </is>
      </c>
      <c r="G293" t="n">
        <v>14.9</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25285-2023 artfynd.xlsx", "A 25285-2023")</f>
        <v/>
      </c>
      <c r="T293">
        <f>HYPERLINK("https://klasma.github.io/Logging_2309/kartor/A 25285-2023 karta.png", "A 25285-2023")</f>
        <v/>
      </c>
      <c r="V293">
        <f>HYPERLINK("https://klasma.github.io/Logging_2309/klagomål/A 25285-2023 FSC-klagomål.docx", "A 25285-2023")</f>
        <v/>
      </c>
      <c r="W293">
        <f>HYPERLINK("https://klasma.github.io/Logging_2309/klagomålsmail/A 25285-2023 FSC-klagomål mail.docx", "A 25285-2023")</f>
        <v/>
      </c>
      <c r="X293">
        <f>HYPERLINK("https://klasma.github.io/Logging_2309/tillsyn/A 25285-2023 tillsynsbegäran.docx", "A 25285-2023")</f>
        <v/>
      </c>
      <c r="Y293">
        <f>HYPERLINK("https://klasma.github.io/Logging_2309/tillsynsmail/A 25285-2023 tillsynsbegäran mail.docx", "A 25285-2023")</f>
        <v/>
      </c>
      <c r="Z293">
        <f>HYPERLINK("https://klasma.github.io/Logging_2309/fåglar/A 25285-2023 prioriterade fågelarter.docx", "A 25285-2023")</f>
        <v/>
      </c>
    </row>
    <row r="294" ht="15" customHeight="1">
      <c r="A294" t="inlineStr">
        <is>
          <t>A 27753-2023</t>
        </is>
      </c>
      <c r="B294" s="1" t="n">
        <v>45098</v>
      </c>
      <c r="C294" s="1" t="n">
        <v>45741</v>
      </c>
      <c r="D294" t="inlineStr">
        <is>
          <t>JÄMTLANDS LÄN</t>
        </is>
      </c>
      <c r="E294" t="inlineStr">
        <is>
          <t>KROKOM</t>
        </is>
      </c>
      <c r="F294" t="inlineStr">
        <is>
          <t>Övriga Aktiebolag</t>
        </is>
      </c>
      <c r="G294" t="n">
        <v>20.9</v>
      </c>
      <c r="H294" t="n">
        <v>0</v>
      </c>
      <c r="I294" t="n">
        <v>0</v>
      </c>
      <c r="J294" t="n">
        <v>1</v>
      </c>
      <c r="K294" t="n">
        <v>0</v>
      </c>
      <c r="L294" t="n">
        <v>0</v>
      </c>
      <c r="M294" t="n">
        <v>0</v>
      </c>
      <c r="N294" t="n">
        <v>0</v>
      </c>
      <c r="O294" t="n">
        <v>1</v>
      </c>
      <c r="P294" t="n">
        <v>0</v>
      </c>
      <c r="Q294" t="n">
        <v>1</v>
      </c>
      <c r="R294" s="2" t="inlineStr">
        <is>
          <t>Mörk kolflarnlav</t>
        </is>
      </c>
      <c r="S294">
        <f>HYPERLINK("https://klasma.github.io/Logging_2309/artfynd/A 27753-2023 artfynd.xlsx", "A 27753-2023")</f>
        <v/>
      </c>
      <c r="T294">
        <f>HYPERLINK("https://klasma.github.io/Logging_2309/kartor/A 27753-2023 karta.png", "A 27753-2023")</f>
        <v/>
      </c>
      <c r="V294">
        <f>HYPERLINK("https://klasma.github.io/Logging_2309/klagomål/A 27753-2023 FSC-klagomål.docx", "A 27753-2023")</f>
        <v/>
      </c>
      <c r="W294">
        <f>HYPERLINK("https://klasma.github.io/Logging_2309/klagomålsmail/A 27753-2023 FSC-klagomål mail.docx", "A 27753-2023")</f>
        <v/>
      </c>
      <c r="X294">
        <f>HYPERLINK("https://klasma.github.io/Logging_2309/tillsyn/A 27753-2023 tillsynsbegäran.docx", "A 27753-2023")</f>
        <v/>
      </c>
      <c r="Y294">
        <f>HYPERLINK("https://klasma.github.io/Logging_2309/tillsynsmail/A 27753-2023 tillsynsbegäran mail.docx", "A 27753-2023")</f>
        <v/>
      </c>
    </row>
    <row r="295" ht="15" customHeight="1">
      <c r="A295" t="inlineStr">
        <is>
          <t>A 31959-2023</t>
        </is>
      </c>
      <c r="B295" s="1" t="n">
        <v>45107</v>
      </c>
      <c r="C295" s="1" t="n">
        <v>45741</v>
      </c>
      <c r="D295" t="inlineStr">
        <is>
          <t>JÄMTLANDS LÄN</t>
        </is>
      </c>
      <c r="E295" t="inlineStr">
        <is>
          <t>KROKOM</t>
        </is>
      </c>
      <c r="G295" t="n">
        <v>12.1</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31959-2023 artfynd.xlsx", "A 31959-2023")</f>
        <v/>
      </c>
      <c r="T295">
        <f>HYPERLINK("https://klasma.github.io/Logging_2309/kartor/A 31959-2023 karta.png", "A 31959-2023")</f>
        <v/>
      </c>
      <c r="V295">
        <f>HYPERLINK("https://klasma.github.io/Logging_2309/klagomål/A 31959-2023 FSC-klagomål.docx", "A 31959-2023")</f>
        <v/>
      </c>
      <c r="W295">
        <f>HYPERLINK("https://klasma.github.io/Logging_2309/klagomålsmail/A 31959-2023 FSC-klagomål mail.docx", "A 31959-2023")</f>
        <v/>
      </c>
      <c r="X295">
        <f>HYPERLINK("https://klasma.github.io/Logging_2309/tillsyn/A 31959-2023 tillsynsbegäran.docx", "A 31959-2023")</f>
        <v/>
      </c>
      <c r="Y295">
        <f>HYPERLINK("https://klasma.github.io/Logging_2309/tillsynsmail/A 31959-2023 tillsynsbegäran mail.docx", "A 31959-2023")</f>
        <v/>
      </c>
      <c r="Z295">
        <f>HYPERLINK("https://klasma.github.io/Logging_2309/fåglar/A 31959-2023 prioriterade fågelarter.docx", "A 31959-2023")</f>
        <v/>
      </c>
    </row>
    <row r="296" ht="15" customHeight="1">
      <c r="A296" t="inlineStr">
        <is>
          <t>A 32756-2023</t>
        </is>
      </c>
      <c r="B296" s="1" t="n">
        <v>45123</v>
      </c>
      <c r="C296" s="1" t="n">
        <v>45741</v>
      </c>
      <c r="D296" t="inlineStr">
        <is>
          <t>JÄMTLANDS LÄN</t>
        </is>
      </c>
      <c r="E296" t="inlineStr">
        <is>
          <t>KROKOM</t>
        </is>
      </c>
      <c r="F296" t="inlineStr">
        <is>
          <t>Övriga Aktiebolag</t>
        </is>
      </c>
      <c r="G296" t="n">
        <v>6.8</v>
      </c>
      <c r="H296" t="n">
        <v>0</v>
      </c>
      <c r="I296" t="n">
        <v>1</v>
      </c>
      <c r="J296" t="n">
        <v>0</v>
      </c>
      <c r="K296" t="n">
        <v>0</v>
      </c>
      <c r="L296" t="n">
        <v>0</v>
      </c>
      <c r="M296" t="n">
        <v>0</v>
      </c>
      <c r="N296" t="n">
        <v>0</v>
      </c>
      <c r="O296" t="n">
        <v>0</v>
      </c>
      <c r="P296" t="n">
        <v>0</v>
      </c>
      <c r="Q296" t="n">
        <v>1</v>
      </c>
      <c r="R296" s="2" t="inlineStr">
        <is>
          <t>Kransrams</t>
        </is>
      </c>
      <c r="S296">
        <f>HYPERLINK("https://klasma.github.io/Logging_2309/artfynd/A 32756-2023 artfynd.xlsx", "A 32756-2023")</f>
        <v/>
      </c>
      <c r="T296">
        <f>HYPERLINK("https://klasma.github.io/Logging_2309/kartor/A 32756-2023 karta.png", "A 32756-2023")</f>
        <v/>
      </c>
      <c r="V296">
        <f>HYPERLINK("https://klasma.github.io/Logging_2309/klagomål/A 32756-2023 FSC-klagomål.docx", "A 32756-2023")</f>
        <v/>
      </c>
      <c r="W296">
        <f>HYPERLINK("https://klasma.github.io/Logging_2309/klagomålsmail/A 32756-2023 FSC-klagomål mail.docx", "A 32756-2023")</f>
        <v/>
      </c>
      <c r="X296">
        <f>HYPERLINK("https://klasma.github.io/Logging_2309/tillsyn/A 32756-2023 tillsynsbegäran.docx", "A 32756-2023")</f>
        <v/>
      </c>
      <c r="Y296">
        <f>HYPERLINK("https://klasma.github.io/Logging_2309/tillsynsmail/A 32756-2023 tillsynsbegäran mail.docx", "A 32756-2023")</f>
        <v/>
      </c>
    </row>
    <row r="297" ht="15" customHeight="1">
      <c r="A297" t="inlineStr">
        <is>
          <t>A 36639-2023</t>
        </is>
      </c>
      <c r="B297" s="1" t="n">
        <v>45153</v>
      </c>
      <c r="C297" s="1" t="n">
        <v>45741</v>
      </c>
      <c r="D297" t="inlineStr">
        <is>
          <t>JÄMTLANDS LÄN</t>
        </is>
      </c>
      <c r="E297" t="inlineStr">
        <is>
          <t>KROKOM</t>
        </is>
      </c>
      <c r="F297" t="inlineStr">
        <is>
          <t>Övriga Aktiebolag</t>
        </is>
      </c>
      <c r="G297" t="n">
        <v>5.5</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36639-2023 artfynd.xlsx", "A 36639-2023")</f>
        <v/>
      </c>
      <c r="T297">
        <f>HYPERLINK("https://klasma.github.io/Logging_2309/kartor/A 36639-2023 karta.png", "A 36639-2023")</f>
        <v/>
      </c>
      <c r="V297">
        <f>HYPERLINK("https://klasma.github.io/Logging_2309/klagomål/A 36639-2023 FSC-klagomål.docx", "A 36639-2023")</f>
        <v/>
      </c>
      <c r="W297">
        <f>HYPERLINK("https://klasma.github.io/Logging_2309/klagomålsmail/A 36639-2023 FSC-klagomål mail.docx", "A 36639-2023")</f>
        <v/>
      </c>
      <c r="X297">
        <f>HYPERLINK("https://klasma.github.io/Logging_2309/tillsyn/A 36639-2023 tillsynsbegäran.docx", "A 36639-2023")</f>
        <v/>
      </c>
      <c r="Y297">
        <f>HYPERLINK("https://klasma.github.io/Logging_2309/tillsynsmail/A 36639-2023 tillsynsbegäran mail.docx", "A 36639-2023")</f>
        <v/>
      </c>
      <c r="Z297">
        <f>HYPERLINK("https://klasma.github.io/Logging_2309/fåglar/A 36639-2023 prioriterade fågelarter.docx", "A 36639-2023")</f>
        <v/>
      </c>
    </row>
    <row r="298" ht="15" customHeight="1">
      <c r="A298" t="inlineStr">
        <is>
          <t>A 42156-2023</t>
        </is>
      </c>
      <c r="B298" s="1" t="n">
        <v>45177</v>
      </c>
      <c r="C298" s="1" t="n">
        <v>45741</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Granticka</t>
        </is>
      </c>
      <c r="S298">
        <f>HYPERLINK("https://klasma.github.io/Logging_2309/artfynd/A 42156-2023 artfynd.xlsx", "A 42156-2023")</f>
        <v/>
      </c>
      <c r="T298">
        <f>HYPERLINK("https://klasma.github.io/Logging_2309/kartor/A 42156-2023 karta.png", "A 42156-2023")</f>
        <v/>
      </c>
      <c r="V298">
        <f>HYPERLINK("https://klasma.github.io/Logging_2309/klagomål/A 42156-2023 FSC-klagomål.docx", "A 42156-2023")</f>
        <v/>
      </c>
      <c r="W298">
        <f>HYPERLINK("https://klasma.github.io/Logging_2309/klagomålsmail/A 42156-2023 FSC-klagomål mail.docx", "A 42156-2023")</f>
        <v/>
      </c>
      <c r="X298">
        <f>HYPERLINK("https://klasma.github.io/Logging_2309/tillsyn/A 42156-2023 tillsynsbegäran.docx", "A 42156-2023")</f>
        <v/>
      </c>
      <c r="Y298">
        <f>HYPERLINK("https://klasma.github.io/Logging_2309/tillsynsmail/A 42156-2023 tillsynsbegäran mail.docx", "A 42156-2023")</f>
        <v/>
      </c>
    </row>
    <row r="299" ht="15" customHeight="1">
      <c r="A299" t="inlineStr">
        <is>
          <t>A 42258-2023</t>
        </is>
      </c>
      <c r="B299" s="1" t="n">
        <v>45180</v>
      </c>
      <c r="C299" s="1" t="n">
        <v>45741</v>
      </c>
      <c r="D299" t="inlineStr">
        <is>
          <t>JÄMTLANDS LÄN</t>
        </is>
      </c>
      <c r="E299" t="inlineStr">
        <is>
          <t>KROKOM</t>
        </is>
      </c>
      <c r="F299" t="inlineStr">
        <is>
          <t>Övriga Aktiebolag</t>
        </is>
      </c>
      <c r="G299" t="n">
        <v>0.2</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42258-2023 artfynd.xlsx", "A 42258-2023")</f>
        <v/>
      </c>
      <c r="T299">
        <f>HYPERLINK("https://klasma.github.io/Logging_2309/kartor/A 42258-2023 karta.png", "A 42258-2023")</f>
        <v/>
      </c>
      <c r="V299">
        <f>HYPERLINK("https://klasma.github.io/Logging_2309/klagomål/A 42258-2023 FSC-klagomål.docx", "A 42258-2023")</f>
        <v/>
      </c>
      <c r="W299">
        <f>HYPERLINK("https://klasma.github.io/Logging_2309/klagomålsmail/A 42258-2023 FSC-klagomål mail.docx", "A 42258-2023")</f>
        <v/>
      </c>
      <c r="X299">
        <f>HYPERLINK("https://klasma.github.io/Logging_2309/tillsyn/A 42258-2023 tillsynsbegäran.docx", "A 42258-2023")</f>
        <v/>
      </c>
      <c r="Y299">
        <f>HYPERLINK("https://klasma.github.io/Logging_2309/tillsynsmail/A 42258-2023 tillsynsbegäran mail.docx", "A 42258-2023")</f>
        <v/>
      </c>
      <c r="Z299">
        <f>HYPERLINK("https://klasma.github.io/Logging_2309/fåglar/A 42258-2023 prioriterade fågelarter.docx", "A 42258-2023")</f>
        <v/>
      </c>
    </row>
    <row r="300" ht="15" customHeight="1">
      <c r="A300" t="inlineStr">
        <is>
          <t>A 47338-2023</t>
        </is>
      </c>
      <c r="B300" s="1" t="n">
        <v>45196</v>
      </c>
      <c r="C300" s="1" t="n">
        <v>45741</v>
      </c>
      <c r="D300" t="inlineStr">
        <is>
          <t>JÄMTLANDS LÄN</t>
        </is>
      </c>
      <c r="E300" t="inlineStr">
        <is>
          <t>KROKOM</t>
        </is>
      </c>
      <c r="G300" t="n">
        <v>13</v>
      </c>
      <c r="H300" t="n">
        <v>0</v>
      </c>
      <c r="I300" t="n">
        <v>1</v>
      </c>
      <c r="J300" t="n">
        <v>0</v>
      </c>
      <c r="K300" t="n">
        <v>0</v>
      </c>
      <c r="L300" t="n">
        <v>0</v>
      </c>
      <c r="M300" t="n">
        <v>0</v>
      </c>
      <c r="N300" t="n">
        <v>0</v>
      </c>
      <c r="O300" t="n">
        <v>0</v>
      </c>
      <c r="P300" t="n">
        <v>0</v>
      </c>
      <c r="Q300" t="n">
        <v>1</v>
      </c>
      <c r="R300" s="2" t="inlineStr">
        <is>
          <t>Skinnlav</t>
        </is>
      </c>
      <c r="S300">
        <f>HYPERLINK("https://klasma.github.io/Logging_2309/artfynd/A 47338-2023 artfynd.xlsx", "A 47338-2023")</f>
        <v/>
      </c>
      <c r="T300">
        <f>HYPERLINK("https://klasma.github.io/Logging_2309/kartor/A 47338-2023 karta.png", "A 47338-2023")</f>
        <v/>
      </c>
      <c r="V300">
        <f>HYPERLINK("https://klasma.github.io/Logging_2309/klagomål/A 47338-2023 FSC-klagomål.docx", "A 47338-2023")</f>
        <v/>
      </c>
      <c r="W300">
        <f>HYPERLINK("https://klasma.github.io/Logging_2309/klagomålsmail/A 47338-2023 FSC-klagomål mail.docx", "A 47338-2023")</f>
        <v/>
      </c>
      <c r="X300">
        <f>HYPERLINK("https://klasma.github.io/Logging_2309/tillsyn/A 47338-2023 tillsynsbegäran.docx", "A 47338-2023")</f>
        <v/>
      </c>
      <c r="Y300">
        <f>HYPERLINK("https://klasma.github.io/Logging_2309/tillsynsmail/A 47338-2023 tillsynsbegäran mail.docx", "A 47338-2023")</f>
        <v/>
      </c>
    </row>
    <row r="301" ht="15" customHeight="1">
      <c r="A301" t="inlineStr">
        <is>
          <t>A 56572-2023</t>
        </is>
      </c>
      <c r="B301" s="1" t="n">
        <v>45243</v>
      </c>
      <c r="C301" s="1" t="n">
        <v>45741</v>
      </c>
      <c r="D301" t="inlineStr">
        <is>
          <t>JÄMTLANDS LÄN</t>
        </is>
      </c>
      <c r="E301" t="inlineStr">
        <is>
          <t>KROKOM</t>
        </is>
      </c>
      <c r="F301" t="inlineStr">
        <is>
          <t>Övriga Aktiebolag</t>
        </is>
      </c>
      <c r="G301" t="n">
        <v>0.8</v>
      </c>
      <c r="H301" t="n">
        <v>1</v>
      </c>
      <c r="I301" t="n">
        <v>0</v>
      </c>
      <c r="J301" t="n">
        <v>0</v>
      </c>
      <c r="K301" t="n">
        <v>0</v>
      </c>
      <c r="L301" t="n">
        <v>0</v>
      </c>
      <c r="M301" t="n">
        <v>0</v>
      </c>
      <c r="N301" t="n">
        <v>0</v>
      </c>
      <c r="O301" t="n">
        <v>0</v>
      </c>
      <c r="P301" t="n">
        <v>0</v>
      </c>
      <c r="Q301" t="n">
        <v>1</v>
      </c>
      <c r="R301" s="2" t="inlineStr">
        <is>
          <t>Vanlig groda</t>
        </is>
      </c>
      <c r="S301">
        <f>HYPERLINK("https://klasma.github.io/Logging_2309/artfynd/A 56572-2023 artfynd.xlsx", "A 56572-2023")</f>
        <v/>
      </c>
      <c r="T301">
        <f>HYPERLINK("https://klasma.github.io/Logging_2309/kartor/A 56572-2023 karta.png", "A 56572-2023")</f>
        <v/>
      </c>
      <c r="V301">
        <f>HYPERLINK("https://klasma.github.io/Logging_2309/klagomål/A 56572-2023 FSC-klagomål.docx", "A 56572-2023")</f>
        <v/>
      </c>
      <c r="W301">
        <f>HYPERLINK("https://klasma.github.io/Logging_2309/klagomålsmail/A 56572-2023 FSC-klagomål mail.docx", "A 56572-2023")</f>
        <v/>
      </c>
      <c r="X301">
        <f>HYPERLINK("https://klasma.github.io/Logging_2309/tillsyn/A 56572-2023 tillsynsbegäran.docx", "A 56572-2023")</f>
        <v/>
      </c>
      <c r="Y301">
        <f>HYPERLINK("https://klasma.github.io/Logging_2309/tillsynsmail/A 56572-2023 tillsynsbegäran mail.docx", "A 56572-2023")</f>
        <v/>
      </c>
    </row>
    <row r="302" ht="15" customHeight="1">
      <c r="A302" t="inlineStr">
        <is>
          <t>A 56628-2023</t>
        </is>
      </c>
      <c r="B302" s="1" t="n">
        <v>45243</v>
      </c>
      <c r="C302" s="1" t="n">
        <v>45741</v>
      </c>
      <c r="D302" t="inlineStr">
        <is>
          <t>JÄMTLANDS LÄN</t>
        </is>
      </c>
      <c r="E302" t="inlineStr">
        <is>
          <t>KROKOM</t>
        </is>
      </c>
      <c r="G302" t="n">
        <v>17.8</v>
      </c>
      <c r="H302" t="n">
        <v>1</v>
      </c>
      <c r="I302" t="n">
        <v>0</v>
      </c>
      <c r="J302" t="n">
        <v>0</v>
      </c>
      <c r="K302" t="n">
        <v>0</v>
      </c>
      <c r="L302" t="n">
        <v>0</v>
      </c>
      <c r="M302" t="n">
        <v>0</v>
      </c>
      <c r="N302" t="n">
        <v>0</v>
      </c>
      <c r="O302" t="n">
        <v>0</v>
      </c>
      <c r="P302" t="n">
        <v>0</v>
      </c>
      <c r="Q302" t="n">
        <v>1</v>
      </c>
      <c r="R302" s="2" t="inlineStr">
        <is>
          <t>Blåsippa</t>
        </is>
      </c>
      <c r="S302">
        <f>HYPERLINK("https://klasma.github.io/Logging_2309/artfynd/A 56628-2023 artfynd.xlsx", "A 56628-2023")</f>
        <v/>
      </c>
      <c r="T302">
        <f>HYPERLINK("https://klasma.github.io/Logging_2309/kartor/A 56628-2023 karta.png", "A 56628-2023")</f>
        <v/>
      </c>
      <c r="V302">
        <f>HYPERLINK("https://klasma.github.io/Logging_2309/klagomål/A 56628-2023 FSC-klagomål.docx", "A 56628-2023")</f>
        <v/>
      </c>
      <c r="W302">
        <f>HYPERLINK("https://klasma.github.io/Logging_2309/klagomålsmail/A 56628-2023 FSC-klagomål mail.docx", "A 56628-2023")</f>
        <v/>
      </c>
      <c r="X302">
        <f>HYPERLINK("https://klasma.github.io/Logging_2309/tillsyn/A 56628-2023 tillsynsbegäran.docx", "A 56628-2023")</f>
        <v/>
      </c>
      <c r="Y302">
        <f>HYPERLINK("https://klasma.github.io/Logging_2309/tillsynsmail/A 56628-2023 tillsynsbegäran mail.docx", "A 56628-2023")</f>
        <v/>
      </c>
    </row>
    <row r="303" ht="15" customHeight="1">
      <c r="A303" t="inlineStr">
        <is>
          <t>A 62936-2023</t>
        </is>
      </c>
      <c r="B303" s="1" t="n">
        <v>45271</v>
      </c>
      <c r="C303" s="1" t="n">
        <v>45741</v>
      </c>
      <c r="D303" t="inlineStr">
        <is>
          <t>JÄMTLANDS LÄN</t>
        </is>
      </c>
      <c r="E303" t="inlineStr">
        <is>
          <t>KROKOM</t>
        </is>
      </c>
      <c r="G303" t="n">
        <v>55.4</v>
      </c>
      <c r="H303" t="n">
        <v>0</v>
      </c>
      <c r="I303" t="n">
        <v>1</v>
      </c>
      <c r="J303" t="n">
        <v>0</v>
      </c>
      <c r="K303" t="n">
        <v>0</v>
      </c>
      <c r="L303" t="n">
        <v>0</v>
      </c>
      <c r="M303" t="n">
        <v>0</v>
      </c>
      <c r="N303" t="n">
        <v>0</v>
      </c>
      <c r="O303" t="n">
        <v>0</v>
      </c>
      <c r="P303" t="n">
        <v>0</v>
      </c>
      <c r="Q303" t="n">
        <v>1</v>
      </c>
      <c r="R303" s="2" t="inlineStr">
        <is>
          <t>Stuplav</t>
        </is>
      </c>
      <c r="S303">
        <f>HYPERLINK("https://klasma.github.io/Logging_2309/artfynd/A 62936-2023 artfynd.xlsx", "A 62936-2023")</f>
        <v/>
      </c>
      <c r="T303">
        <f>HYPERLINK("https://klasma.github.io/Logging_2309/kartor/A 62936-2023 karta.png", "A 62936-2023")</f>
        <v/>
      </c>
      <c r="V303">
        <f>HYPERLINK("https://klasma.github.io/Logging_2309/klagomål/A 62936-2023 FSC-klagomål.docx", "A 62936-2023")</f>
        <v/>
      </c>
      <c r="W303">
        <f>HYPERLINK("https://klasma.github.io/Logging_2309/klagomålsmail/A 62936-2023 FSC-klagomål mail.docx", "A 62936-2023")</f>
        <v/>
      </c>
      <c r="X303">
        <f>HYPERLINK("https://klasma.github.io/Logging_2309/tillsyn/A 62936-2023 tillsynsbegäran.docx", "A 62936-2023")</f>
        <v/>
      </c>
      <c r="Y303">
        <f>HYPERLINK("https://klasma.github.io/Logging_2309/tillsynsmail/A 62936-2023 tillsynsbegäran mail.docx", "A 62936-2023")</f>
        <v/>
      </c>
    </row>
    <row r="304" ht="15" customHeight="1">
      <c r="A304" t="inlineStr">
        <is>
          <t>A 12818-2024</t>
        </is>
      </c>
      <c r="B304" s="1" t="n">
        <v>45384</v>
      </c>
      <c r="C304" s="1" t="n">
        <v>45741</v>
      </c>
      <c r="D304" t="inlineStr">
        <is>
          <t>JÄMTLANDS LÄN</t>
        </is>
      </c>
      <c r="E304" t="inlineStr">
        <is>
          <t>KROKOM</t>
        </is>
      </c>
      <c r="G304" t="n">
        <v>12.1</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12818-2024 artfynd.xlsx", "A 12818-2024")</f>
        <v/>
      </c>
      <c r="T304">
        <f>HYPERLINK("https://klasma.github.io/Logging_2309/kartor/A 12818-2024 karta.png", "A 12818-2024")</f>
        <v/>
      </c>
      <c r="V304">
        <f>HYPERLINK("https://klasma.github.io/Logging_2309/klagomål/A 12818-2024 FSC-klagomål.docx", "A 12818-2024")</f>
        <v/>
      </c>
      <c r="W304">
        <f>HYPERLINK("https://klasma.github.io/Logging_2309/klagomålsmail/A 12818-2024 FSC-klagomål mail.docx", "A 12818-2024")</f>
        <v/>
      </c>
      <c r="X304">
        <f>HYPERLINK("https://klasma.github.io/Logging_2309/tillsyn/A 12818-2024 tillsynsbegäran.docx", "A 12818-2024")</f>
        <v/>
      </c>
      <c r="Y304">
        <f>HYPERLINK("https://klasma.github.io/Logging_2309/tillsynsmail/A 12818-2024 tillsynsbegäran mail.docx", "A 12818-2024")</f>
        <v/>
      </c>
      <c r="Z304">
        <f>HYPERLINK("https://klasma.github.io/Logging_2309/fåglar/A 12818-2024 prioriterade fågelarter.docx", "A 12818-2024")</f>
        <v/>
      </c>
    </row>
    <row r="305" ht="15" customHeight="1">
      <c r="A305" t="inlineStr">
        <is>
          <t>A 16426-2024</t>
        </is>
      </c>
      <c r="B305" s="1" t="n">
        <v>45407</v>
      </c>
      <c r="C305" s="1" t="n">
        <v>45741</v>
      </c>
      <c r="D305" t="inlineStr">
        <is>
          <t>JÄMTLANDS LÄN</t>
        </is>
      </c>
      <c r="E305" t="inlineStr">
        <is>
          <t>KROKOM</t>
        </is>
      </c>
      <c r="G305" t="n">
        <v>1.3</v>
      </c>
      <c r="H305" t="n">
        <v>0</v>
      </c>
      <c r="I305" t="n">
        <v>0</v>
      </c>
      <c r="J305" t="n">
        <v>1</v>
      </c>
      <c r="K305" t="n">
        <v>0</v>
      </c>
      <c r="L305" t="n">
        <v>0</v>
      </c>
      <c r="M305" t="n">
        <v>0</v>
      </c>
      <c r="N305" t="n">
        <v>0</v>
      </c>
      <c r="O305" t="n">
        <v>1</v>
      </c>
      <c r="P305" t="n">
        <v>0</v>
      </c>
      <c r="Q305" t="n">
        <v>1</v>
      </c>
      <c r="R305" s="2" t="inlineStr">
        <is>
          <t>Slåtterfibbla</t>
        </is>
      </c>
      <c r="S305">
        <f>HYPERLINK("https://klasma.github.io/Logging_2309/artfynd/A 16426-2024 artfynd.xlsx", "A 16426-2024")</f>
        <v/>
      </c>
      <c r="T305">
        <f>HYPERLINK("https://klasma.github.io/Logging_2309/kartor/A 16426-2024 karta.png", "A 16426-2024")</f>
        <v/>
      </c>
      <c r="V305">
        <f>HYPERLINK("https://klasma.github.io/Logging_2309/klagomål/A 16426-2024 FSC-klagomål.docx", "A 16426-2024")</f>
        <v/>
      </c>
      <c r="W305">
        <f>HYPERLINK("https://klasma.github.io/Logging_2309/klagomålsmail/A 16426-2024 FSC-klagomål mail.docx", "A 16426-2024")</f>
        <v/>
      </c>
      <c r="X305">
        <f>HYPERLINK("https://klasma.github.io/Logging_2309/tillsyn/A 16426-2024 tillsynsbegäran.docx", "A 16426-2024")</f>
        <v/>
      </c>
      <c r="Y305">
        <f>HYPERLINK("https://klasma.github.io/Logging_2309/tillsynsmail/A 16426-2024 tillsynsbegäran mail.docx", "A 16426-2024")</f>
        <v/>
      </c>
    </row>
    <row r="306" ht="15" customHeight="1">
      <c r="A306" t="inlineStr">
        <is>
          <t>A 19534-2024</t>
        </is>
      </c>
      <c r="B306" s="1" t="n">
        <v>45429</v>
      </c>
      <c r="C306" s="1" t="n">
        <v>45741</v>
      </c>
      <c r="D306" t="inlineStr">
        <is>
          <t>JÄMTLANDS LÄN</t>
        </is>
      </c>
      <c r="E306" t="inlineStr">
        <is>
          <t>KROKOM</t>
        </is>
      </c>
      <c r="F306" t="inlineStr">
        <is>
          <t>Övriga Aktiebolag</t>
        </is>
      </c>
      <c r="G306" t="n">
        <v>4.8</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19534-2024 artfynd.xlsx", "A 19534-2024")</f>
        <v/>
      </c>
      <c r="T306">
        <f>HYPERLINK("https://klasma.github.io/Logging_2309/kartor/A 19534-2024 karta.png", "A 19534-2024")</f>
        <v/>
      </c>
      <c r="V306">
        <f>HYPERLINK("https://klasma.github.io/Logging_2309/klagomål/A 19534-2024 FSC-klagomål.docx", "A 19534-2024")</f>
        <v/>
      </c>
      <c r="W306">
        <f>HYPERLINK("https://klasma.github.io/Logging_2309/klagomålsmail/A 19534-2024 FSC-klagomål mail.docx", "A 19534-2024")</f>
        <v/>
      </c>
      <c r="X306">
        <f>HYPERLINK("https://klasma.github.io/Logging_2309/tillsyn/A 19534-2024 tillsynsbegäran.docx", "A 19534-2024")</f>
        <v/>
      </c>
      <c r="Y306">
        <f>HYPERLINK("https://klasma.github.io/Logging_2309/tillsynsmail/A 19534-2024 tillsynsbegäran mail.docx", "A 19534-2024")</f>
        <v/>
      </c>
    </row>
    <row r="307" ht="15" customHeight="1">
      <c r="A307" t="inlineStr">
        <is>
          <t>A 22966-2024</t>
        </is>
      </c>
      <c r="B307" s="1" t="n">
        <v>45449</v>
      </c>
      <c r="C307" s="1" t="n">
        <v>45741</v>
      </c>
      <c r="D307" t="inlineStr">
        <is>
          <t>JÄMTLANDS LÄN</t>
        </is>
      </c>
      <c r="E307" t="inlineStr">
        <is>
          <t>KROKOM</t>
        </is>
      </c>
      <c r="G307" t="n">
        <v>1.8</v>
      </c>
      <c r="H307" t="n">
        <v>0</v>
      </c>
      <c r="I307" t="n">
        <v>0</v>
      </c>
      <c r="J307" t="n">
        <v>1</v>
      </c>
      <c r="K307" t="n">
        <v>0</v>
      </c>
      <c r="L307" t="n">
        <v>0</v>
      </c>
      <c r="M307" t="n">
        <v>0</v>
      </c>
      <c r="N307" t="n">
        <v>0</v>
      </c>
      <c r="O307" t="n">
        <v>1</v>
      </c>
      <c r="P307" t="n">
        <v>0</v>
      </c>
      <c r="Q307" t="n">
        <v>1</v>
      </c>
      <c r="R307" s="2" t="inlineStr">
        <is>
          <t>Kronskål</t>
        </is>
      </c>
      <c r="S307">
        <f>HYPERLINK("https://klasma.github.io/Logging_2309/artfynd/A 22966-2024 artfynd.xlsx", "A 22966-2024")</f>
        <v/>
      </c>
      <c r="T307">
        <f>HYPERLINK("https://klasma.github.io/Logging_2309/kartor/A 22966-2024 karta.png", "A 22966-2024")</f>
        <v/>
      </c>
      <c r="V307">
        <f>HYPERLINK("https://klasma.github.io/Logging_2309/klagomål/A 22966-2024 FSC-klagomål.docx", "A 22966-2024")</f>
        <v/>
      </c>
      <c r="W307">
        <f>HYPERLINK("https://klasma.github.io/Logging_2309/klagomålsmail/A 22966-2024 FSC-klagomål mail.docx", "A 22966-2024")</f>
        <v/>
      </c>
      <c r="X307">
        <f>HYPERLINK("https://klasma.github.io/Logging_2309/tillsyn/A 22966-2024 tillsynsbegäran.docx", "A 22966-2024")</f>
        <v/>
      </c>
      <c r="Y307">
        <f>HYPERLINK("https://klasma.github.io/Logging_2309/tillsynsmail/A 22966-2024 tillsynsbegäran mail.docx", "A 22966-2024")</f>
        <v/>
      </c>
    </row>
    <row r="308" ht="15" customHeight="1">
      <c r="A308" t="inlineStr">
        <is>
          <t>A 26290-2024</t>
        </is>
      </c>
      <c r="B308" s="1" t="n">
        <v>45468</v>
      </c>
      <c r="C308" s="1" t="n">
        <v>45741</v>
      </c>
      <c r="D308" t="inlineStr">
        <is>
          <t>JÄMTLANDS LÄN</t>
        </is>
      </c>
      <c r="E308" t="inlineStr">
        <is>
          <t>KROKOM</t>
        </is>
      </c>
      <c r="F308" t="inlineStr">
        <is>
          <t>Övriga Aktiebolag</t>
        </is>
      </c>
      <c r="G308" t="n">
        <v>1.3</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26290-2024 artfynd.xlsx", "A 26290-2024")</f>
        <v/>
      </c>
      <c r="T308">
        <f>HYPERLINK("https://klasma.github.io/Logging_2309/kartor/A 26290-2024 karta.png", "A 26290-2024")</f>
        <v/>
      </c>
      <c r="V308">
        <f>HYPERLINK("https://klasma.github.io/Logging_2309/klagomål/A 26290-2024 FSC-klagomål.docx", "A 26290-2024")</f>
        <v/>
      </c>
      <c r="W308">
        <f>HYPERLINK("https://klasma.github.io/Logging_2309/klagomålsmail/A 26290-2024 FSC-klagomål mail.docx", "A 26290-2024")</f>
        <v/>
      </c>
      <c r="X308">
        <f>HYPERLINK("https://klasma.github.io/Logging_2309/tillsyn/A 26290-2024 tillsynsbegäran.docx", "A 26290-2024")</f>
        <v/>
      </c>
      <c r="Y308">
        <f>HYPERLINK("https://klasma.github.io/Logging_2309/tillsynsmail/A 26290-2024 tillsynsbegäran mail.docx", "A 26290-2024")</f>
        <v/>
      </c>
      <c r="Z308">
        <f>HYPERLINK("https://klasma.github.io/Logging_2309/fåglar/A 26290-2024 prioriterade fågelarter.docx", "A 26290-2024")</f>
        <v/>
      </c>
    </row>
    <row r="309" ht="15" customHeight="1">
      <c r="A309" t="inlineStr">
        <is>
          <t>A 27133-2024</t>
        </is>
      </c>
      <c r="B309" s="1" t="n">
        <v>45471</v>
      </c>
      <c r="C309" s="1" t="n">
        <v>45741</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27133-2024 artfynd.xlsx", "A 27133-2024")</f>
        <v/>
      </c>
      <c r="T309">
        <f>HYPERLINK("https://klasma.github.io/Logging_2309/kartor/A 27133-2024 karta.png", "A 27133-2024")</f>
        <v/>
      </c>
      <c r="V309">
        <f>HYPERLINK("https://klasma.github.io/Logging_2309/klagomål/A 27133-2024 FSC-klagomål.docx", "A 27133-2024")</f>
        <v/>
      </c>
      <c r="W309">
        <f>HYPERLINK("https://klasma.github.io/Logging_2309/klagomålsmail/A 27133-2024 FSC-klagomål mail.docx", "A 27133-2024")</f>
        <v/>
      </c>
      <c r="X309">
        <f>HYPERLINK("https://klasma.github.io/Logging_2309/tillsyn/A 27133-2024 tillsynsbegäran.docx", "A 27133-2024")</f>
        <v/>
      </c>
      <c r="Y309">
        <f>HYPERLINK("https://klasma.github.io/Logging_2309/tillsynsmail/A 27133-2024 tillsynsbegäran mail.docx", "A 27133-2024")</f>
        <v/>
      </c>
    </row>
    <row r="310" ht="15" customHeight="1">
      <c r="A310" t="inlineStr">
        <is>
          <t>A 32770-2024</t>
        </is>
      </c>
      <c r="B310" s="1" t="n">
        <v>45516</v>
      </c>
      <c r="C310" s="1" t="n">
        <v>45741</v>
      </c>
      <c r="D310" t="inlineStr">
        <is>
          <t>JÄMTLANDS LÄN</t>
        </is>
      </c>
      <c r="E310" t="inlineStr">
        <is>
          <t>KROKOM</t>
        </is>
      </c>
      <c r="G310" t="n">
        <v>1</v>
      </c>
      <c r="H310" t="n">
        <v>0</v>
      </c>
      <c r="I310" t="n">
        <v>1</v>
      </c>
      <c r="J310" t="n">
        <v>0</v>
      </c>
      <c r="K310" t="n">
        <v>0</v>
      </c>
      <c r="L310" t="n">
        <v>0</v>
      </c>
      <c r="M310" t="n">
        <v>0</v>
      </c>
      <c r="N310" t="n">
        <v>0</v>
      </c>
      <c r="O310" t="n">
        <v>0</v>
      </c>
      <c r="P310" t="n">
        <v>0</v>
      </c>
      <c r="Q310" t="n">
        <v>1</v>
      </c>
      <c r="R310" s="2" t="inlineStr">
        <is>
          <t>Finbräken</t>
        </is>
      </c>
      <c r="S310">
        <f>HYPERLINK("https://klasma.github.io/Logging_2309/artfynd/A 32770-2024 artfynd.xlsx", "A 32770-2024")</f>
        <v/>
      </c>
      <c r="T310">
        <f>HYPERLINK("https://klasma.github.io/Logging_2309/kartor/A 32770-2024 karta.png", "A 32770-2024")</f>
        <v/>
      </c>
      <c r="V310">
        <f>HYPERLINK("https://klasma.github.io/Logging_2309/klagomål/A 32770-2024 FSC-klagomål.docx", "A 32770-2024")</f>
        <v/>
      </c>
      <c r="W310">
        <f>HYPERLINK("https://klasma.github.io/Logging_2309/klagomålsmail/A 32770-2024 FSC-klagomål mail.docx", "A 32770-2024")</f>
        <v/>
      </c>
      <c r="X310">
        <f>HYPERLINK("https://klasma.github.io/Logging_2309/tillsyn/A 32770-2024 tillsynsbegäran.docx", "A 32770-2024")</f>
        <v/>
      </c>
      <c r="Y310">
        <f>HYPERLINK("https://klasma.github.io/Logging_2309/tillsynsmail/A 32770-2024 tillsynsbegäran mail.docx", "A 32770-2024")</f>
        <v/>
      </c>
    </row>
    <row r="311" ht="15" customHeight="1">
      <c r="A311" t="inlineStr">
        <is>
          <t>A 49175-2024</t>
        </is>
      </c>
      <c r="B311" s="1" t="n">
        <v>45595</v>
      </c>
      <c r="C311" s="1" t="n">
        <v>45741</v>
      </c>
      <c r="D311" t="inlineStr">
        <is>
          <t>JÄMTLANDS LÄN</t>
        </is>
      </c>
      <c r="E311" t="inlineStr">
        <is>
          <t>KROKOM</t>
        </is>
      </c>
      <c r="G311" t="n">
        <v>172.9</v>
      </c>
      <c r="H311" t="n">
        <v>0</v>
      </c>
      <c r="I311" t="n">
        <v>0</v>
      </c>
      <c r="J311" t="n">
        <v>1</v>
      </c>
      <c r="K311" t="n">
        <v>0</v>
      </c>
      <c r="L311" t="n">
        <v>0</v>
      </c>
      <c r="M311" t="n">
        <v>0</v>
      </c>
      <c r="N311" t="n">
        <v>0</v>
      </c>
      <c r="O311" t="n">
        <v>1</v>
      </c>
      <c r="P311" t="n">
        <v>0</v>
      </c>
      <c r="Q311" t="n">
        <v>1</v>
      </c>
      <c r="R311" s="2" t="inlineStr">
        <is>
          <t>Granticka</t>
        </is>
      </c>
      <c r="S311">
        <f>HYPERLINK("https://klasma.github.io/Logging_2309/artfynd/A 49175-2024 artfynd.xlsx", "A 49175-2024")</f>
        <v/>
      </c>
      <c r="T311">
        <f>HYPERLINK("https://klasma.github.io/Logging_2309/kartor/A 49175-2024 karta.png", "A 49175-2024")</f>
        <v/>
      </c>
      <c r="V311">
        <f>HYPERLINK("https://klasma.github.io/Logging_2309/klagomål/A 49175-2024 FSC-klagomål.docx", "A 49175-2024")</f>
        <v/>
      </c>
      <c r="W311">
        <f>HYPERLINK("https://klasma.github.io/Logging_2309/klagomålsmail/A 49175-2024 FSC-klagomål mail.docx", "A 49175-2024")</f>
        <v/>
      </c>
      <c r="X311">
        <f>HYPERLINK("https://klasma.github.io/Logging_2309/tillsyn/A 49175-2024 tillsynsbegäran.docx", "A 49175-2024")</f>
        <v/>
      </c>
      <c r="Y311">
        <f>HYPERLINK("https://klasma.github.io/Logging_2309/tillsynsmail/A 49175-2024 tillsynsbegäran mail.docx", "A 49175-2024")</f>
        <v/>
      </c>
    </row>
    <row r="312" ht="15" customHeight="1">
      <c r="A312" t="inlineStr">
        <is>
          <t>A 49212-2024</t>
        </is>
      </c>
      <c r="B312" s="1" t="n">
        <v>45595</v>
      </c>
      <c r="C312" s="1" t="n">
        <v>45741</v>
      </c>
      <c r="D312" t="inlineStr">
        <is>
          <t>JÄMTLANDS LÄN</t>
        </is>
      </c>
      <c r="E312" t="inlineStr">
        <is>
          <t>KROKOM</t>
        </is>
      </c>
      <c r="G312" t="n">
        <v>2.8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49212-2024 artfynd.xlsx", "A 49212-2024")</f>
        <v/>
      </c>
      <c r="T312">
        <f>HYPERLINK("https://klasma.github.io/Logging_2309/kartor/A 49212-2024 karta.png", "A 49212-2024")</f>
        <v/>
      </c>
      <c r="V312">
        <f>HYPERLINK("https://klasma.github.io/Logging_2309/klagomål/A 49212-2024 FSC-klagomål.docx", "A 49212-2024")</f>
        <v/>
      </c>
      <c r="W312">
        <f>HYPERLINK("https://klasma.github.io/Logging_2309/klagomålsmail/A 49212-2024 FSC-klagomål mail.docx", "A 49212-2024")</f>
        <v/>
      </c>
      <c r="X312">
        <f>HYPERLINK("https://klasma.github.io/Logging_2309/tillsyn/A 49212-2024 tillsynsbegäran.docx", "A 49212-2024")</f>
        <v/>
      </c>
      <c r="Y312">
        <f>HYPERLINK("https://klasma.github.io/Logging_2309/tillsynsmail/A 49212-2024 tillsynsbegäran mail.docx", "A 49212-2024")</f>
        <v/>
      </c>
      <c r="Z312">
        <f>HYPERLINK("https://klasma.github.io/Logging_2309/fåglar/A 49212-2024 prioriterade fågelarter.docx", "A 49212-2024")</f>
        <v/>
      </c>
    </row>
    <row r="313" ht="15" customHeight="1">
      <c r="A313" t="inlineStr">
        <is>
          <t>A 49385-2024</t>
        </is>
      </c>
      <c r="B313" s="1" t="n">
        <v>45595</v>
      </c>
      <c r="C313" s="1" t="n">
        <v>45741</v>
      </c>
      <c r="D313" t="inlineStr">
        <is>
          <t>JÄMTLANDS LÄN</t>
        </is>
      </c>
      <c r="E313" t="inlineStr">
        <is>
          <t>KROKOM</t>
        </is>
      </c>
      <c r="G313" t="n">
        <v>10.5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49385-2024 artfynd.xlsx", "A 49385-2024")</f>
        <v/>
      </c>
      <c r="T313">
        <f>HYPERLINK("https://klasma.github.io/Logging_2309/kartor/A 49385-2024 karta.png", "A 49385-2024")</f>
        <v/>
      </c>
      <c r="V313">
        <f>HYPERLINK("https://klasma.github.io/Logging_2309/klagomål/A 49385-2024 FSC-klagomål.docx", "A 49385-2024")</f>
        <v/>
      </c>
      <c r="W313">
        <f>HYPERLINK("https://klasma.github.io/Logging_2309/klagomålsmail/A 49385-2024 FSC-klagomål mail.docx", "A 49385-2024")</f>
        <v/>
      </c>
      <c r="X313">
        <f>HYPERLINK("https://klasma.github.io/Logging_2309/tillsyn/A 49385-2024 tillsynsbegäran.docx", "A 49385-2024")</f>
        <v/>
      </c>
      <c r="Y313">
        <f>HYPERLINK("https://klasma.github.io/Logging_2309/tillsynsmail/A 49385-2024 tillsynsbegäran mail.docx", "A 49385-2024")</f>
        <v/>
      </c>
      <c r="Z313">
        <f>HYPERLINK("https://klasma.github.io/Logging_2309/fåglar/A 49385-2024 prioriterade fågelarter.docx", "A 49385-2024")</f>
        <v/>
      </c>
    </row>
    <row r="314" ht="15" customHeight="1">
      <c r="A314" t="inlineStr">
        <is>
          <t>A 49387-2024</t>
        </is>
      </c>
      <c r="B314" s="1" t="n">
        <v>45595</v>
      </c>
      <c r="C314" s="1" t="n">
        <v>45741</v>
      </c>
      <c r="D314" t="inlineStr">
        <is>
          <t>JÄMTLANDS LÄN</t>
        </is>
      </c>
      <c r="E314" t="inlineStr">
        <is>
          <t>KROKOM</t>
        </is>
      </c>
      <c r="G314" t="n">
        <v>0.8</v>
      </c>
      <c r="H314" t="n">
        <v>0</v>
      </c>
      <c r="I314" t="n">
        <v>0</v>
      </c>
      <c r="J314" t="n">
        <v>1</v>
      </c>
      <c r="K314" t="n">
        <v>0</v>
      </c>
      <c r="L314" t="n">
        <v>0</v>
      </c>
      <c r="M314" t="n">
        <v>0</v>
      </c>
      <c r="N314" t="n">
        <v>0</v>
      </c>
      <c r="O314" t="n">
        <v>1</v>
      </c>
      <c r="P314" t="n">
        <v>0</v>
      </c>
      <c r="Q314" t="n">
        <v>1</v>
      </c>
      <c r="R314" s="2" t="inlineStr">
        <is>
          <t>Garnlav</t>
        </is>
      </c>
      <c r="S314">
        <f>HYPERLINK("https://klasma.github.io/Logging_2309/artfynd/A 49387-2024 artfynd.xlsx", "A 49387-2024")</f>
        <v/>
      </c>
      <c r="T314">
        <f>HYPERLINK("https://klasma.github.io/Logging_2309/kartor/A 49387-2024 karta.png", "A 49387-2024")</f>
        <v/>
      </c>
      <c r="V314">
        <f>HYPERLINK("https://klasma.github.io/Logging_2309/klagomål/A 49387-2024 FSC-klagomål.docx", "A 49387-2024")</f>
        <v/>
      </c>
      <c r="W314">
        <f>HYPERLINK("https://klasma.github.io/Logging_2309/klagomålsmail/A 49387-2024 FSC-klagomål mail.docx", "A 49387-2024")</f>
        <v/>
      </c>
      <c r="X314">
        <f>HYPERLINK("https://klasma.github.io/Logging_2309/tillsyn/A 49387-2024 tillsynsbegäran.docx", "A 49387-2024")</f>
        <v/>
      </c>
      <c r="Y314">
        <f>HYPERLINK("https://klasma.github.io/Logging_2309/tillsynsmail/A 49387-2024 tillsynsbegäran mail.docx", "A 49387-2024")</f>
        <v/>
      </c>
    </row>
    <row r="315" ht="15" customHeight="1">
      <c r="A315" t="inlineStr">
        <is>
          <t>A 49388-2024</t>
        </is>
      </c>
      <c r="B315" s="1" t="n">
        <v>45595</v>
      </c>
      <c r="C315" s="1" t="n">
        <v>45741</v>
      </c>
      <c r="D315" t="inlineStr">
        <is>
          <t>JÄMTLANDS LÄN</t>
        </is>
      </c>
      <c r="E315" t="inlineStr">
        <is>
          <t>KROKOM</t>
        </is>
      </c>
      <c r="G315" t="n">
        <v>7.4</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49388-2024 artfynd.xlsx", "A 49388-2024")</f>
        <v/>
      </c>
      <c r="T315">
        <f>HYPERLINK("https://klasma.github.io/Logging_2309/kartor/A 49388-2024 karta.png", "A 49388-2024")</f>
        <v/>
      </c>
      <c r="V315">
        <f>HYPERLINK("https://klasma.github.io/Logging_2309/klagomål/A 49388-2024 FSC-klagomål.docx", "A 49388-2024")</f>
        <v/>
      </c>
      <c r="W315">
        <f>HYPERLINK("https://klasma.github.io/Logging_2309/klagomålsmail/A 49388-2024 FSC-klagomål mail.docx", "A 49388-2024")</f>
        <v/>
      </c>
      <c r="X315">
        <f>HYPERLINK("https://klasma.github.io/Logging_2309/tillsyn/A 49388-2024 tillsynsbegäran.docx", "A 49388-2024")</f>
        <v/>
      </c>
      <c r="Y315">
        <f>HYPERLINK("https://klasma.github.io/Logging_2309/tillsynsmail/A 49388-2024 tillsynsbegäran mail.docx", "A 49388-2024")</f>
        <v/>
      </c>
      <c r="Z315">
        <f>HYPERLINK("https://klasma.github.io/Logging_2309/fåglar/A 49388-2024 prioriterade fågelarter.docx", "A 49388-2024")</f>
        <v/>
      </c>
    </row>
    <row r="316" ht="15" customHeight="1">
      <c r="A316" t="inlineStr">
        <is>
          <t>A 52182-2024</t>
        </is>
      </c>
      <c r="B316" s="1" t="n">
        <v>45608</v>
      </c>
      <c r="C316" s="1" t="n">
        <v>45741</v>
      </c>
      <c r="D316" t="inlineStr">
        <is>
          <t>JÄMTLANDS LÄN</t>
        </is>
      </c>
      <c r="E316" t="inlineStr">
        <is>
          <t>KROKOM</t>
        </is>
      </c>
      <c r="G316" t="n">
        <v>11.3</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52182-2024 artfynd.xlsx", "A 52182-2024")</f>
        <v/>
      </c>
      <c r="T316">
        <f>HYPERLINK("https://klasma.github.io/Logging_2309/kartor/A 52182-2024 karta.png", "A 52182-2024")</f>
        <v/>
      </c>
      <c r="V316">
        <f>HYPERLINK("https://klasma.github.io/Logging_2309/klagomål/A 52182-2024 FSC-klagomål.docx", "A 52182-2024")</f>
        <v/>
      </c>
      <c r="W316">
        <f>HYPERLINK("https://klasma.github.io/Logging_2309/klagomålsmail/A 52182-2024 FSC-klagomål mail.docx", "A 52182-2024")</f>
        <v/>
      </c>
      <c r="X316">
        <f>HYPERLINK("https://klasma.github.io/Logging_2309/tillsyn/A 52182-2024 tillsynsbegäran.docx", "A 52182-2024")</f>
        <v/>
      </c>
      <c r="Y316">
        <f>HYPERLINK("https://klasma.github.io/Logging_2309/tillsynsmail/A 52182-2024 tillsynsbegäran mail.docx", "A 52182-2024")</f>
        <v/>
      </c>
      <c r="Z316">
        <f>HYPERLINK("https://klasma.github.io/Logging_2309/fåglar/A 52182-2024 prioriterade fågelarter.docx", "A 52182-2024")</f>
        <v/>
      </c>
    </row>
    <row r="317" ht="15" customHeight="1">
      <c r="A317" t="inlineStr">
        <is>
          <t>A 52473-2024</t>
        </is>
      </c>
      <c r="B317" s="1" t="n">
        <v>45609</v>
      </c>
      <c r="C317" s="1" t="n">
        <v>45741</v>
      </c>
      <c r="D317" t="inlineStr">
        <is>
          <t>JÄMTLANDS LÄN</t>
        </is>
      </c>
      <c r="E317" t="inlineStr">
        <is>
          <t>KROKOM</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52473-2024 artfynd.xlsx", "A 52473-2024")</f>
        <v/>
      </c>
      <c r="T317">
        <f>HYPERLINK("https://klasma.github.io/Logging_2309/kartor/A 52473-2024 karta.png", "A 52473-2024")</f>
        <v/>
      </c>
      <c r="V317">
        <f>HYPERLINK("https://klasma.github.io/Logging_2309/klagomål/A 52473-2024 FSC-klagomål.docx", "A 52473-2024")</f>
        <v/>
      </c>
      <c r="W317">
        <f>HYPERLINK("https://klasma.github.io/Logging_2309/klagomålsmail/A 52473-2024 FSC-klagomål mail.docx", "A 52473-2024")</f>
        <v/>
      </c>
      <c r="X317">
        <f>HYPERLINK("https://klasma.github.io/Logging_2309/tillsyn/A 52473-2024 tillsynsbegäran.docx", "A 52473-2024")</f>
        <v/>
      </c>
      <c r="Y317">
        <f>HYPERLINK("https://klasma.github.io/Logging_2309/tillsynsmail/A 52473-2024 tillsynsbegäran mail.docx", "A 52473-2024")</f>
        <v/>
      </c>
      <c r="Z317">
        <f>HYPERLINK("https://klasma.github.io/Logging_2309/fåglar/A 52473-2024 prioriterade fågelarter.docx", "A 52473-2024")</f>
        <v/>
      </c>
    </row>
    <row r="318" ht="15" customHeight="1">
      <c r="A318" t="inlineStr">
        <is>
          <t>A 52486-2024</t>
        </is>
      </c>
      <c r="B318" s="1" t="n">
        <v>45609</v>
      </c>
      <c r="C318" s="1" t="n">
        <v>45741</v>
      </c>
      <c r="D318" t="inlineStr">
        <is>
          <t>JÄMTLANDS LÄN</t>
        </is>
      </c>
      <c r="E318" t="inlineStr">
        <is>
          <t>KROKOM</t>
        </is>
      </c>
      <c r="G318" t="n">
        <v>20.6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52486-2024 artfynd.xlsx", "A 52486-2024")</f>
        <v/>
      </c>
      <c r="T318">
        <f>HYPERLINK("https://klasma.github.io/Logging_2309/kartor/A 52486-2024 karta.png", "A 52486-2024")</f>
        <v/>
      </c>
      <c r="V318">
        <f>HYPERLINK("https://klasma.github.io/Logging_2309/klagomål/A 52486-2024 FSC-klagomål.docx", "A 52486-2024")</f>
        <v/>
      </c>
      <c r="W318">
        <f>HYPERLINK("https://klasma.github.io/Logging_2309/klagomålsmail/A 52486-2024 FSC-klagomål mail.docx", "A 52486-2024")</f>
        <v/>
      </c>
      <c r="X318">
        <f>HYPERLINK("https://klasma.github.io/Logging_2309/tillsyn/A 52486-2024 tillsynsbegäran.docx", "A 52486-2024")</f>
        <v/>
      </c>
      <c r="Y318">
        <f>HYPERLINK("https://klasma.github.io/Logging_2309/tillsynsmail/A 52486-2024 tillsynsbegäran mail.docx", "A 52486-2024")</f>
        <v/>
      </c>
      <c r="Z318">
        <f>HYPERLINK("https://klasma.github.io/Logging_2309/fåglar/A 52486-2024 prioriterade fågelarter.docx", "A 52486-2024")</f>
        <v/>
      </c>
    </row>
    <row r="319" ht="15" customHeight="1">
      <c r="A319" t="inlineStr">
        <is>
          <t>A 55387-2024</t>
        </is>
      </c>
      <c r="B319" s="1" t="n">
        <v>45622</v>
      </c>
      <c r="C319" s="1" t="n">
        <v>45741</v>
      </c>
      <c r="D319" t="inlineStr">
        <is>
          <t>JÄMTLANDS LÄN</t>
        </is>
      </c>
      <c r="E319" t="inlineStr">
        <is>
          <t>KROKOM</t>
        </is>
      </c>
      <c r="G319" t="n">
        <v>8.6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55387-2024 artfynd.xlsx", "A 55387-2024")</f>
        <v/>
      </c>
      <c r="T319">
        <f>HYPERLINK("https://klasma.github.io/Logging_2309/kartor/A 55387-2024 karta.png", "A 55387-2024")</f>
        <v/>
      </c>
      <c r="V319">
        <f>HYPERLINK("https://klasma.github.io/Logging_2309/klagomål/A 55387-2024 FSC-klagomål.docx", "A 55387-2024")</f>
        <v/>
      </c>
      <c r="W319">
        <f>HYPERLINK("https://klasma.github.io/Logging_2309/klagomålsmail/A 55387-2024 FSC-klagomål mail.docx", "A 55387-2024")</f>
        <v/>
      </c>
      <c r="X319">
        <f>HYPERLINK("https://klasma.github.io/Logging_2309/tillsyn/A 55387-2024 tillsynsbegäran.docx", "A 55387-2024")</f>
        <v/>
      </c>
      <c r="Y319">
        <f>HYPERLINK("https://klasma.github.io/Logging_2309/tillsynsmail/A 55387-2024 tillsynsbegäran mail.docx", "A 55387-2024")</f>
        <v/>
      </c>
      <c r="Z319">
        <f>HYPERLINK("https://klasma.github.io/Logging_2309/fåglar/A 55387-2024 prioriterade fågelarter.docx", "A 55387-2024")</f>
        <v/>
      </c>
    </row>
    <row r="320" ht="15" customHeight="1">
      <c r="A320" t="inlineStr">
        <is>
          <t>A 56122-2024</t>
        </is>
      </c>
      <c r="B320" s="1" t="n">
        <v>45624</v>
      </c>
      <c r="C320" s="1" t="n">
        <v>45741</v>
      </c>
      <c r="D320" t="inlineStr">
        <is>
          <t>JÄMTLANDS LÄN</t>
        </is>
      </c>
      <c r="E320" t="inlineStr">
        <is>
          <t>KROKOM</t>
        </is>
      </c>
      <c r="G320" t="n">
        <v>5.1</v>
      </c>
      <c r="H320" t="n">
        <v>0</v>
      </c>
      <c r="I320" t="n">
        <v>1</v>
      </c>
      <c r="J320" t="n">
        <v>0</v>
      </c>
      <c r="K320" t="n">
        <v>0</v>
      </c>
      <c r="L320" t="n">
        <v>0</v>
      </c>
      <c r="M320" t="n">
        <v>0</v>
      </c>
      <c r="N320" t="n">
        <v>0</v>
      </c>
      <c r="O320" t="n">
        <v>0</v>
      </c>
      <c r="P320" t="n">
        <v>0</v>
      </c>
      <c r="Q320" t="n">
        <v>1</v>
      </c>
      <c r="R320" s="2" t="inlineStr">
        <is>
          <t>Kransrams</t>
        </is>
      </c>
      <c r="S320">
        <f>HYPERLINK("https://klasma.github.io/Logging_2309/artfynd/A 56122-2024 artfynd.xlsx", "A 56122-2024")</f>
        <v/>
      </c>
      <c r="T320">
        <f>HYPERLINK("https://klasma.github.io/Logging_2309/kartor/A 56122-2024 karta.png", "A 56122-2024")</f>
        <v/>
      </c>
      <c r="V320">
        <f>HYPERLINK("https://klasma.github.io/Logging_2309/klagomål/A 56122-2024 FSC-klagomål.docx", "A 56122-2024")</f>
        <v/>
      </c>
      <c r="W320">
        <f>HYPERLINK("https://klasma.github.io/Logging_2309/klagomålsmail/A 56122-2024 FSC-klagomål mail.docx", "A 56122-2024")</f>
        <v/>
      </c>
      <c r="X320">
        <f>HYPERLINK("https://klasma.github.io/Logging_2309/tillsyn/A 56122-2024 tillsynsbegäran.docx", "A 56122-2024")</f>
        <v/>
      </c>
      <c r="Y320">
        <f>HYPERLINK("https://klasma.github.io/Logging_2309/tillsynsmail/A 56122-2024 tillsynsbegäran mail.docx", "A 56122-2024")</f>
        <v/>
      </c>
    </row>
    <row r="321" ht="15" customHeight="1">
      <c r="A321" t="inlineStr">
        <is>
          <t>A 57468-2024</t>
        </is>
      </c>
      <c r="B321" s="1" t="n">
        <v>45630</v>
      </c>
      <c r="C321" s="1" t="n">
        <v>45741</v>
      </c>
      <c r="D321" t="inlineStr">
        <is>
          <t>JÄMTLANDS LÄN</t>
        </is>
      </c>
      <c r="E321" t="inlineStr">
        <is>
          <t>KROKOM</t>
        </is>
      </c>
      <c r="G321" t="n">
        <v>38.8</v>
      </c>
      <c r="H321" t="n">
        <v>0</v>
      </c>
      <c r="I321" t="n">
        <v>0</v>
      </c>
      <c r="J321" t="n">
        <v>1</v>
      </c>
      <c r="K321" t="n">
        <v>0</v>
      </c>
      <c r="L321" t="n">
        <v>0</v>
      </c>
      <c r="M321" t="n">
        <v>0</v>
      </c>
      <c r="N321" t="n">
        <v>0</v>
      </c>
      <c r="O321" t="n">
        <v>1</v>
      </c>
      <c r="P321" t="n">
        <v>0</v>
      </c>
      <c r="Q321" t="n">
        <v>1</v>
      </c>
      <c r="R321" s="2" t="inlineStr">
        <is>
          <t>Gränsticka</t>
        </is>
      </c>
      <c r="S321">
        <f>HYPERLINK("https://klasma.github.io/Logging_2309/artfynd/A 57468-2024 artfynd.xlsx", "A 57468-2024")</f>
        <v/>
      </c>
      <c r="T321">
        <f>HYPERLINK("https://klasma.github.io/Logging_2309/kartor/A 57468-2024 karta.png", "A 57468-2024")</f>
        <v/>
      </c>
      <c r="V321">
        <f>HYPERLINK("https://klasma.github.io/Logging_2309/klagomål/A 57468-2024 FSC-klagomål.docx", "A 57468-2024")</f>
        <v/>
      </c>
      <c r="W321">
        <f>HYPERLINK("https://klasma.github.io/Logging_2309/klagomålsmail/A 57468-2024 FSC-klagomål mail.docx", "A 57468-2024")</f>
        <v/>
      </c>
      <c r="X321">
        <f>HYPERLINK("https://klasma.github.io/Logging_2309/tillsyn/A 57468-2024 tillsynsbegäran.docx", "A 57468-2024")</f>
        <v/>
      </c>
      <c r="Y321">
        <f>HYPERLINK("https://klasma.github.io/Logging_2309/tillsynsmail/A 57468-2024 tillsynsbegäran mail.docx", "A 57468-2024")</f>
        <v/>
      </c>
    </row>
    <row r="322" ht="15" customHeight="1">
      <c r="A322" t="inlineStr">
        <is>
          <t>A 58805-2024</t>
        </is>
      </c>
      <c r="B322" s="1" t="n">
        <v>45635</v>
      </c>
      <c r="C322" s="1" t="n">
        <v>45741</v>
      </c>
      <c r="D322" t="inlineStr">
        <is>
          <t>JÄMTLANDS LÄN</t>
        </is>
      </c>
      <c r="E322" t="inlineStr">
        <is>
          <t>KROKOM</t>
        </is>
      </c>
      <c r="G322" t="n">
        <v>4.7</v>
      </c>
      <c r="H322" t="n">
        <v>1</v>
      </c>
      <c r="I322" t="n">
        <v>0</v>
      </c>
      <c r="J322" t="n">
        <v>0</v>
      </c>
      <c r="K322" t="n">
        <v>0</v>
      </c>
      <c r="L322" t="n">
        <v>0</v>
      </c>
      <c r="M322" t="n">
        <v>0</v>
      </c>
      <c r="N322" t="n">
        <v>0</v>
      </c>
      <c r="O322" t="n">
        <v>0</v>
      </c>
      <c r="P322" t="n">
        <v>0</v>
      </c>
      <c r="Q322" t="n">
        <v>1</v>
      </c>
      <c r="R322" s="2" t="inlineStr">
        <is>
          <t>Brudsporre</t>
        </is>
      </c>
      <c r="S322">
        <f>HYPERLINK("https://klasma.github.io/Logging_2309/artfynd/A 58805-2024 artfynd.xlsx", "A 58805-2024")</f>
        <v/>
      </c>
      <c r="T322">
        <f>HYPERLINK("https://klasma.github.io/Logging_2309/kartor/A 58805-2024 karta.png", "A 58805-2024")</f>
        <v/>
      </c>
      <c r="V322">
        <f>HYPERLINK("https://klasma.github.io/Logging_2309/klagomål/A 58805-2024 FSC-klagomål.docx", "A 58805-2024")</f>
        <v/>
      </c>
      <c r="W322">
        <f>HYPERLINK("https://klasma.github.io/Logging_2309/klagomålsmail/A 58805-2024 FSC-klagomål mail.docx", "A 58805-2024")</f>
        <v/>
      </c>
      <c r="X322">
        <f>HYPERLINK("https://klasma.github.io/Logging_2309/tillsyn/A 58805-2024 tillsynsbegäran.docx", "A 58805-2024")</f>
        <v/>
      </c>
      <c r="Y322">
        <f>HYPERLINK("https://klasma.github.io/Logging_2309/tillsynsmail/A 58805-2024 tillsynsbegäran mail.docx", "A 58805-2024")</f>
        <v/>
      </c>
    </row>
    <row r="323" ht="15" customHeight="1">
      <c r="A323" t="inlineStr">
        <is>
          <t>A 60415-2024</t>
        </is>
      </c>
      <c r="B323" s="1" t="n">
        <v>45643</v>
      </c>
      <c r="C323" s="1" t="n">
        <v>45741</v>
      </c>
      <c r="D323" t="inlineStr">
        <is>
          <t>JÄMTLANDS LÄN</t>
        </is>
      </c>
      <c r="E323" t="inlineStr">
        <is>
          <t>KROKOM</t>
        </is>
      </c>
      <c r="G323" t="n">
        <v>21.4</v>
      </c>
      <c r="H323" t="n">
        <v>0</v>
      </c>
      <c r="I323" t="n">
        <v>1</v>
      </c>
      <c r="J323" t="n">
        <v>0</v>
      </c>
      <c r="K323" t="n">
        <v>0</v>
      </c>
      <c r="L323" t="n">
        <v>0</v>
      </c>
      <c r="M323" t="n">
        <v>0</v>
      </c>
      <c r="N323" t="n">
        <v>0</v>
      </c>
      <c r="O323" t="n">
        <v>0</v>
      </c>
      <c r="P323" t="n">
        <v>0</v>
      </c>
      <c r="Q323" t="n">
        <v>1</v>
      </c>
      <c r="R323" s="2" t="inlineStr">
        <is>
          <t>Kransrams</t>
        </is>
      </c>
      <c r="S323">
        <f>HYPERLINK("https://klasma.github.io/Logging_2309/artfynd/A 60415-2024 artfynd.xlsx", "A 60415-2024")</f>
        <v/>
      </c>
      <c r="T323">
        <f>HYPERLINK("https://klasma.github.io/Logging_2309/kartor/A 60415-2024 karta.png", "A 60415-2024")</f>
        <v/>
      </c>
      <c r="V323">
        <f>HYPERLINK("https://klasma.github.io/Logging_2309/klagomål/A 60415-2024 FSC-klagomål.docx", "A 60415-2024")</f>
        <v/>
      </c>
      <c r="W323">
        <f>HYPERLINK("https://klasma.github.io/Logging_2309/klagomålsmail/A 60415-2024 FSC-klagomål mail.docx", "A 60415-2024")</f>
        <v/>
      </c>
      <c r="X323">
        <f>HYPERLINK("https://klasma.github.io/Logging_2309/tillsyn/A 60415-2024 tillsynsbegäran.docx", "A 60415-2024")</f>
        <v/>
      </c>
      <c r="Y323">
        <f>HYPERLINK("https://klasma.github.io/Logging_2309/tillsynsmail/A 60415-2024 tillsynsbegäran mail.docx", "A 60415-2024")</f>
        <v/>
      </c>
    </row>
    <row r="324" ht="15" customHeight="1">
      <c r="A324" t="inlineStr">
        <is>
          <t>A 60824-2024</t>
        </is>
      </c>
      <c r="B324" s="1" t="n">
        <v>45644</v>
      </c>
      <c r="C324" s="1" t="n">
        <v>45741</v>
      </c>
      <c r="D324" t="inlineStr">
        <is>
          <t>JÄMTLANDS LÄN</t>
        </is>
      </c>
      <c r="E324" t="inlineStr">
        <is>
          <t>KROKOM</t>
        </is>
      </c>
      <c r="G324" t="n">
        <v>19.5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60824-2024 artfynd.xlsx", "A 60824-2024")</f>
        <v/>
      </c>
      <c r="T324">
        <f>HYPERLINK("https://klasma.github.io/Logging_2309/kartor/A 60824-2024 karta.png", "A 60824-2024")</f>
        <v/>
      </c>
      <c r="V324">
        <f>HYPERLINK("https://klasma.github.io/Logging_2309/klagomål/A 60824-2024 FSC-klagomål.docx", "A 60824-2024")</f>
        <v/>
      </c>
      <c r="W324">
        <f>HYPERLINK("https://klasma.github.io/Logging_2309/klagomålsmail/A 60824-2024 FSC-klagomål mail.docx", "A 60824-2024")</f>
        <v/>
      </c>
      <c r="X324">
        <f>HYPERLINK("https://klasma.github.io/Logging_2309/tillsyn/A 60824-2024 tillsynsbegäran.docx", "A 60824-2024")</f>
        <v/>
      </c>
      <c r="Y324">
        <f>HYPERLINK("https://klasma.github.io/Logging_2309/tillsynsmail/A 60824-2024 tillsynsbegäran mail.docx", "A 60824-2024")</f>
        <v/>
      </c>
      <c r="Z324">
        <f>HYPERLINK("https://klasma.github.io/Logging_2309/fåglar/A 60824-2024 prioriterade fågelarter.docx", "A 60824-2024")</f>
        <v/>
      </c>
    </row>
    <row r="325" ht="15" customHeight="1">
      <c r="A325" t="inlineStr">
        <is>
          <t>A 61240-2024</t>
        </is>
      </c>
      <c r="B325" s="1" t="n">
        <v>45645</v>
      </c>
      <c r="C325" s="1" t="n">
        <v>45741</v>
      </c>
      <c r="D325" t="inlineStr">
        <is>
          <t>JÄMTLANDS LÄN</t>
        </is>
      </c>
      <c r="E325" t="inlineStr">
        <is>
          <t>KROKOM</t>
        </is>
      </c>
      <c r="G325" t="n">
        <v>5.7</v>
      </c>
      <c r="H325" t="n">
        <v>1</v>
      </c>
      <c r="I325" t="n">
        <v>0</v>
      </c>
      <c r="J325" t="n">
        <v>0</v>
      </c>
      <c r="K325" t="n">
        <v>0</v>
      </c>
      <c r="L325" t="n">
        <v>0</v>
      </c>
      <c r="M325" t="n">
        <v>0</v>
      </c>
      <c r="N325" t="n">
        <v>0</v>
      </c>
      <c r="O325" t="n">
        <v>0</v>
      </c>
      <c r="P325" t="n">
        <v>0</v>
      </c>
      <c r="Q325" t="n">
        <v>1</v>
      </c>
      <c r="R325" s="2" t="inlineStr">
        <is>
          <t>Pärluggla</t>
        </is>
      </c>
      <c r="S325">
        <f>HYPERLINK("https://klasma.github.io/Logging_2309/artfynd/A 61240-2024 artfynd.xlsx", "A 61240-2024")</f>
        <v/>
      </c>
      <c r="T325">
        <f>HYPERLINK("https://klasma.github.io/Logging_2309/kartor/A 61240-2024 karta.png", "A 61240-2024")</f>
        <v/>
      </c>
      <c r="V325">
        <f>HYPERLINK("https://klasma.github.io/Logging_2309/klagomål/A 61240-2024 FSC-klagomål.docx", "A 61240-2024")</f>
        <v/>
      </c>
      <c r="W325">
        <f>HYPERLINK("https://klasma.github.io/Logging_2309/klagomålsmail/A 61240-2024 FSC-klagomål mail.docx", "A 61240-2024")</f>
        <v/>
      </c>
      <c r="X325">
        <f>HYPERLINK("https://klasma.github.io/Logging_2309/tillsyn/A 61240-2024 tillsynsbegäran.docx", "A 61240-2024")</f>
        <v/>
      </c>
      <c r="Y325">
        <f>HYPERLINK("https://klasma.github.io/Logging_2309/tillsynsmail/A 61240-2024 tillsynsbegäran mail.docx", "A 61240-2024")</f>
        <v/>
      </c>
      <c r="Z325">
        <f>HYPERLINK("https://klasma.github.io/Logging_2309/fåglar/A 61240-2024 prioriterade fågelarter.docx", "A 61240-2024")</f>
        <v/>
      </c>
    </row>
    <row r="326" ht="15" customHeight="1">
      <c r="A326" t="inlineStr">
        <is>
          <t>A 62165-2024</t>
        </is>
      </c>
      <c r="B326" s="1" t="n">
        <v>45657</v>
      </c>
      <c r="C326" s="1" t="n">
        <v>45741</v>
      </c>
      <c r="D326" t="inlineStr">
        <is>
          <t>JÄMTLANDS LÄN</t>
        </is>
      </c>
      <c r="E326" t="inlineStr">
        <is>
          <t>KROKOM</t>
        </is>
      </c>
      <c r="G326" t="n">
        <v>5</v>
      </c>
      <c r="H326" t="n">
        <v>1</v>
      </c>
      <c r="I326" t="n">
        <v>1</v>
      </c>
      <c r="J326" t="n">
        <v>0</v>
      </c>
      <c r="K326" t="n">
        <v>0</v>
      </c>
      <c r="L326" t="n">
        <v>0</v>
      </c>
      <c r="M326" t="n">
        <v>0</v>
      </c>
      <c r="N326" t="n">
        <v>0</v>
      </c>
      <c r="O326" t="n">
        <v>0</v>
      </c>
      <c r="P326" t="n">
        <v>0</v>
      </c>
      <c r="Q326" t="n">
        <v>1</v>
      </c>
      <c r="R326" s="2" t="inlineStr">
        <is>
          <t>Guckusko</t>
        </is>
      </c>
      <c r="S326">
        <f>HYPERLINK("https://klasma.github.io/Logging_2309/artfynd/A 62165-2024 artfynd.xlsx", "A 62165-2024")</f>
        <v/>
      </c>
      <c r="T326">
        <f>HYPERLINK("https://klasma.github.io/Logging_2309/kartor/A 62165-2024 karta.png", "A 62165-2024")</f>
        <v/>
      </c>
      <c r="V326">
        <f>HYPERLINK("https://klasma.github.io/Logging_2309/klagomål/A 62165-2024 FSC-klagomål.docx", "A 62165-2024")</f>
        <v/>
      </c>
      <c r="W326">
        <f>HYPERLINK("https://klasma.github.io/Logging_2309/klagomålsmail/A 62165-2024 FSC-klagomål mail.docx", "A 62165-2024")</f>
        <v/>
      </c>
      <c r="X326">
        <f>HYPERLINK("https://klasma.github.io/Logging_2309/tillsyn/A 62165-2024 tillsynsbegäran.docx", "A 62165-2024")</f>
        <v/>
      </c>
      <c r="Y326">
        <f>HYPERLINK("https://klasma.github.io/Logging_2309/tillsynsmail/A 62165-2024 tillsynsbegäran mail.docx", "A 62165-2024")</f>
        <v/>
      </c>
    </row>
    <row r="327" ht="15" customHeight="1">
      <c r="A327" t="inlineStr">
        <is>
          <t>A 2021-2025</t>
        </is>
      </c>
      <c r="B327" s="1" t="n">
        <v>45672</v>
      </c>
      <c r="C327" s="1" t="n">
        <v>45741</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Guckusko</t>
        </is>
      </c>
      <c r="S327">
        <f>HYPERLINK("https://klasma.github.io/Logging_2309/artfynd/A 2021-2025 artfynd.xlsx", "A 2021-2025")</f>
        <v/>
      </c>
      <c r="T327">
        <f>HYPERLINK("https://klasma.github.io/Logging_2309/kartor/A 2021-2025 karta.png", "A 2021-2025")</f>
        <v/>
      </c>
      <c r="V327">
        <f>HYPERLINK("https://klasma.github.io/Logging_2309/klagomål/A 2021-2025 FSC-klagomål.docx", "A 2021-2025")</f>
        <v/>
      </c>
      <c r="W327">
        <f>HYPERLINK("https://klasma.github.io/Logging_2309/klagomålsmail/A 2021-2025 FSC-klagomål mail.docx", "A 2021-2025")</f>
        <v/>
      </c>
      <c r="X327">
        <f>HYPERLINK("https://klasma.github.io/Logging_2309/tillsyn/A 2021-2025 tillsynsbegäran.docx", "A 2021-2025")</f>
        <v/>
      </c>
      <c r="Y327">
        <f>HYPERLINK("https://klasma.github.io/Logging_2309/tillsynsmail/A 2021-2025 tillsynsbegäran mail.docx", "A 2021-2025")</f>
        <v/>
      </c>
    </row>
    <row r="328" ht="15" customHeight="1">
      <c r="A328" t="inlineStr">
        <is>
          <t>A 4331-2025</t>
        </is>
      </c>
      <c r="B328" s="1" t="n">
        <v>45685</v>
      </c>
      <c r="C328" s="1" t="n">
        <v>45741</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4331-2025 artfynd.xlsx", "A 4331-2025")</f>
        <v/>
      </c>
      <c r="T328">
        <f>HYPERLINK("https://klasma.github.io/Logging_2309/kartor/A 4331-2025 karta.png", "A 4331-2025")</f>
        <v/>
      </c>
      <c r="V328">
        <f>HYPERLINK("https://klasma.github.io/Logging_2309/klagomål/A 4331-2025 FSC-klagomål.docx", "A 4331-2025")</f>
        <v/>
      </c>
      <c r="W328">
        <f>HYPERLINK("https://klasma.github.io/Logging_2309/klagomålsmail/A 4331-2025 FSC-klagomål mail.docx", "A 4331-2025")</f>
        <v/>
      </c>
      <c r="X328">
        <f>HYPERLINK("https://klasma.github.io/Logging_2309/tillsyn/A 4331-2025 tillsynsbegäran.docx", "A 4331-2025")</f>
        <v/>
      </c>
      <c r="Y328">
        <f>HYPERLINK("https://klasma.github.io/Logging_2309/tillsynsmail/A 4331-2025 tillsynsbegäran mail.docx", "A 4331-2025")</f>
        <v/>
      </c>
    </row>
    <row r="329" ht="15" customHeight="1">
      <c r="A329" t="inlineStr">
        <is>
          <t>A 4348-2025</t>
        </is>
      </c>
      <c r="B329" s="1" t="n">
        <v>45686</v>
      </c>
      <c r="C329" s="1" t="n">
        <v>45741</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4348-2025 artfynd.xlsx", "A 4348-2025")</f>
        <v/>
      </c>
      <c r="T329">
        <f>HYPERLINK("https://klasma.github.io/Logging_2309/kartor/A 4348-2025 karta.png", "A 4348-2025")</f>
        <v/>
      </c>
      <c r="V329">
        <f>HYPERLINK("https://klasma.github.io/Logging_2309/klagomål/A 4348-2025 FSC-klagomål.docx", "A 4348-2025")</f>
        <v/>
      </c>
      <c r="W329">
        <f>HYPERLINK("https://klasma.github.io/Logging_2309/klagomålsmail/A 4348-2025 FSC-klagomål mail.docx", "A 4348-2025")</f>
        <v/>
      </c>
      <c r="X329">
        <f>HYPERLINK("https://klasma.github.io/Logging_2309/tillsyn/A 4348-2025 tillsynsbegäran.docx", "A 4348-2025")</f>
        <v/>
      </c>
      <c r="Y329">
        <f>HYPERLINK("https://klasma.github.io/Logging_2309/tillsynsmail/A 4348-2025 tillsynsbegäran mail.docx", "A 4348-2025")</f>
        <v/>
      </c>
    </row>
    <row r="330" ht="15" customHeight="1">
      <c r="A330" t="inlineStr">
        <is>
          <t>A 5919-2025</t>
        </is>
      </c>
      <c r="B330" s="1" t="n">
        <v>45695</v>
      </c>
      <c r="C330" s="1" t="n">
        <v>45741</v>
      </c>
      <c r="D330" t="inlineStr">
        <is>
          <t>JÄMTLANDS LÄN</t>
        </is>
      </c>
      <c r="E330" t="inlineStr">
        <is>
          <t>KROKOM</t>
        </is>
      </c>
      <c r="G330" t="n">
        <v>2.7</v>
      </c>
      <c r="H330" t="n">
        <v>0</v>
      </c>
      <c r="I330" t="n">
        <v>0</v>
      </c>
      <c r="J330" t="n">
        <v>1</v>
      </c>
      <c r="K330" t="n">
        <v>0</v>
      </c>
      <c r="L330" t="n">
        <v>0</v>
      </c>
      <c r="M330" t="n">
        <v>0</v>
      </c>
      <c r="N330" t="n">
        <v>0</v>
      </c>
      <c r="O330" t="n">
        <v>1</v>
      </c>
      <c r="P330" t="n">
        <v>0</v>
      </c>
      <c r="Q330" t="n">
        <v>1</v>
      </c>
      <c r="R330" s="2" t="inlineStr">
        <is>
          <t>Skogshare</t>
        </is>
      </c>
      <c r="S330">
        <f>HYPERLINK("https://klasma.github.io/Logging_2309/artfynd/A 5919-2025 artfynd.xlsx", "A 5919-2025")</f>
        <v/>
      </c>
      <c r="T330">
        <f>HYPERLINK("https://klasma.github.io/Logging_2309/kartor/A 5919-2025 karta.png", "A 5919-2025")</f>
        <v/>
      </c>
      <c r="V330">
        <f>HYPERLINK("https://klasma.github.io/Logging_2309/klagomål/A 5919-2025 FSC-klagomål.docx", "A 5919-2025")</f>
        <v/>
      </c>
      <c r="W330">
        <f>HYPERLINK("https://klasma.github.io/Logging_2309/klagomålsmail/A 5919-2025 FSC-klagomål mail.docx", "A 5919-2025")</f>
        <v/>
      </c>
      <c r="X330">
        <f>HYPERLINK("https://klasma.github.io/Logging_2309/tillsyn/A 5919-2025 tillsynsbegäran.docx", "A 5919-2025")</f>
        <v/>
      </c>
      <c r="Y330">
        <f>HYPERLINK("https://klasma.github.io/Logging_2309/tillsynsmail/A 5919-2025 tillsynsbegäran mail.docx", "A 5919-2025")</f>
        <v/>
      </c>
    </row>
    <row r="331" ht="15" customHeight="1">
      <c r="A331" t="inlineStr">
        <is>
          <t>A 5918-2025</t>
        </is>
      </c>
      <c r="B331" s="1" t="n">
        <v>45695</v>
      </c>
      <c r="C331" s="1" t="n">
        <v>45741</v>
      </c>
      <c r="D331" t="inlineStr">
        <is>
          <t>JÄMTLANDS LÄN</t>
        </is>
      </c>
      <c r="E331" t="inlineStr">
        <is>
          <t>KROKOM</t>
        </is>
      </c>
      <c r="G331" t="n">
        <v>5.7</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5918-2025 artfynd.xlsx", "A 5918-2025")</f>
        <v/>
      </c>
      <c r="T331">
        <f>HYPERLINK("https://klasma.github.io/Logging_2309/kartor/A 5918-2025 karta.png", "A 5918-2025")</f>
        <v/>
      </c>
      <c r="V331">
        <f>HYPERLINK("https://klasma.github.io/Logging_2309/klagomål/A 5918-2025 FSC-klagomål.docx", "A 5918-2025")</f>
        <v/>
      </c>
      <c r="W331">
        <f>HYPERLINK("https://klasma.github.io/Logging_2309/klagomålsmail/A 5918-2025 FSC-klagomål mail.docx", "A 5918-2025")</f>
        <v/>
      </c>
      <c r="X331">
        <f>HYPERLINK("https://klasma.github.io/Logging_2309/tillsyn/A 5918-2025 tillsynsbegäran.docx", "A 5918-2025")</f>
        <v/>
      </c>
      <c r="Y331">
        <f>HYPERLINK("https://klasma.github.io/Logging_2309/tillsynsmail/A 5918-2025 tillsynsbegäran mail.docx", "A 5918-2025")</f>
        <v/>
      </c>
      <c r="Z331">
        <f>HYPERLINK("https://klasma.github.io/Logging_2309/fåglar/A 5918-2025 prioriterade fågelarter.docx", "A 5918-2025")</f>
        <v/>
      </c>
    </row>
    <row r="332" ht="15" customHeight="1">
      <c r="A332" t="inlineStr">
        <is>
          <t>A 6398-2025</t>
        </is>
      </c>
      <c r="B332" s="1" t="n">
        <v>45699</v>
      </c>
      <c r="C332" s="1" t="n">
        <v>45741</v>
      </c>
      <c r="D332" t="inlineStr">
        <is>
          <t>JÄMTLANDS LÄN</t>
        </is>
      </c>
      <c r="E332" t="inlineStr">
        <is>
          <t>KROKOM</t>
        </is>
      </c>
      <c r="G332" t="n">
        <v>5.2</v>
      </c>
      <c r="H332" t="n">
        <v>0</v>
      </c>
      <c r="I332" t="n">
        <v>0</v>
      </c>
      <c r="J332" t="n">
        <v>0</v>
      </c>
      <c r="K332" t="n">
        <v>0</v>
      </c>
      <c r="L332" t="n">
        <v>1</v>
      </c>
      <c r="M332" t="n">
        <v>0</v>
      </c>
      <c r="N332" t="n">
        <v>0</v>
      </c>
      <c r="O332" t="n">
        <v>1</v>
      </c>
      <c r="P332" t="n">
        <v>1</v>
      </c>
      <c r="Q332" t="n">
        <v>1</v>
      </c>
      <c r="R332" s="2" t="inlineStr">
        <is>
          <t>Fältgentiana</t>
        </is>
      </c>
      <c r="S332">
        <f>HYPERLINK("https://klasma.github.io/Logging_2309/artfynd/A 6398-2025 artfynd.xlsx", "A 6398-2025")</f>
        <v/>
      </c>
      <c r="T332">
        <f>HYPERLINK("https://klasma.github.io/Logging_2309/kartor/A 6398-2025 karta.png", "A 6398-2025")</f>
        <v/>
      </c>
      <c r="V332">
        <f>HYPERLINK("https://klasma.github.io/Logging_2309/klagomål/A 6398-2025 FSC-klagomål.docx", "A 6398-2025")</f>
        <v/>
      </c>
      <c r="W332">
        <f>HYPERLINK("https://klasma.github.io/Logging_2309/klagomålsmail/A 6398-2025 FSC-klagomål mail.docx", "A 6398-2025")</f>
        <v/>
      </c>
      <c r="X332">
        <f>HYPERLINK("https://klasma.github.io/Logging_2309/tillsyn/A 6398-2025 tillsynsbegäran.docx", "A 6398-2025")</f>
        <v/>
      </c>
      <c r="Y332">
        <f>HYPERLINK("https://klasma.github.io/Logging_2309/tillsynsmail/A 6398-2025 tillsynsbegäran mail.docx", "A 6398-2025")</f>
        <v/>
      </c>
    </row>
    <row r="333" ht="15" customHeight="1">
      <c r="A333" t="inlineStr">
        <is>
          <t>A 7175-2025</t>
        </is>
      </c>
      <c r="B333" s="1" t="n">
        <v>45702</v>
      </c>
      <c r="C333" s="1" t="n">
        <v>45741</v>
      </c>
      <c r="D333" t="inlineStr">
        <is>
          <t>JÄMTLANDS LÄN</t>
        </is>
      </c>
      <c r="E333" t="inlineStr">
        <is>
          <t>KROKOM</t>
        </is>
      </c>
      <c r="F333" t="inlineStr">
        <is>
          <t>Övriga Aktiebolag</t>
        </is>
      </c>
      <c r="G333" t="n">
        <v>23</v>
      </c>
      <c r="H333" t="n">
        <v>0</v>
      </c>
      <c r="I333" t="n">
        <v>0</v>
      </c>
      <c r="J333" t="n">
        <v>1</v>
      </c>
      <c r="K333" t="n">
        <v>0</v>
      </c>
      <c r="L333" t="n">
        <v>0</v>
      </c>
      <c r="M333" t="n">
        <v>0</v>
      </c>
      <c r="N333" t="n">
        <v>0</v>
      </c>
      <c r="O333" t="n">
        <v>1</v>
      </c>
      <c r="P333" t="n">
        <v>0</v>
      </c>
      <c r="Q333" t="n">
        <v>1</v>
      </c>
      <c r="R333" s="2" t="inlineStr">
        <is>
          <t>Gränsticka</t>
        </is>
      </c>
      <c r="S333">
        <f>HYPERLINK("https://klasma.github.io/Logging_2309/artfynd/A 7175-2025 artfynd.xlsx", "A 7175-2025")</f>
        <v/>
      </c>
      <c r="T333">
        <f>HYPERLINK("https://klasma.github.io/Logging_2309/kartor/A 7175-2025 karta.png", "A 7175-2025")</f>
        <v/>
      </c>
      <c r="V333">
        <f>HYPERLINK("https://klasma.github.io/Logging_2309/klagomål/A 7175-2025 FSC-klagomål.docx", "A 7175-2025")</f>
        <v/>
      </c>
      <c r="W333">
        <f>HYPERLINK("https://klasma.github.io/Logging_2309/klagomålsmail/A 7175-2025 FSC-klagomål mail.docx", "A 7175-2025")</f>
        <v/>
      </c>
      <c r="X333">
        <f>HYPERLINK("https://klasma.github.io/Logging_2309/tillsyn/A 7175-2025 tillsynsbegäran.docx", "A 7175-2025")</f>
        <v/>
      </c>
      <c r="Y333">
        <f>HYPERLINK("https://klasma.github.io/Logging_2309/tillsynsmail/A 7175-2025 tillsynsbegäran mail.docx", "A 7175-2025")</f>
        <v/>
      </c>
    </row>
    <row r="334" ht="15" customHeight="1">
      <c r="A334" t="inlineStr">
        <is>
          <t>A 7208-2025</t>
        </is>
      </c>
      <c r="B334" s="1" t="n">
        <v>45702</v>
      </c>
      <c r="C334" s="1" t="n">
        <v>45741</v>
      </c>
      <c r="D334" t="inlineStr">
        <is>
          <t>JÄMTLANDS LÄN</t>
        </is>
      </c>
      <c r="E334" t="inlineStr">
        <is>
          <t>KROKOM</t>
        </is>
      </c>
      <c r="F334" t="inlineStr">
        <is>
          <t>Övriga Aktiebolag</t>
        </is>
      </c>
      <c r="G334" t="n">
        <v>39.4</v>
      </c>
      <c r="H334" t="n">
        <v>0</v>
      </c>
      <c r="I334" t="n">
        <v>0</v>
      </c>
      <c r="J334" t="n">
        <v>1</v>
      </c>
      <c r="K334" t="n">
        <v>0</v>
      </c>
      <c r="L334" t="n">
        <v>0</v>
      </c>
      <c r="M334" t="n">
        <v>0</v>
      </c>
      <c r="N334" t="n">
        <v>0</v>
      </c>
      <c r="O334" t="n">
        <v>1</v>
      </c>
      <c r="P334" t="n">
        <v>0</v>
      </c>
      <c r="Q334" t="n">
        <v>1</v>
      </c>
      <c r="R334" s="2" t="inlineStr">
        <is>
          <t>Ullticka</t>
        </is>
      </c>
      <c r="S334">
        <f>HYPERLINK("https://klasma.github.io/Logging_2309/artfynd/A 7208-2025 artfynd.xlsx", "A 7208-2025")</f>
        <v/>
      </c>
      <c r="T334">
        <f>HYPERLINK("https://klasma.github.io/Logging_2309/kartor/A 7208-2025 karta.png", "A 7208-2025")</f>
        <v/>
      </c>
      <c r="V334">
        <f>HYPERLINK("https://klasma.github.io/Logging_2309/klagomål/A 7208-2025 FSC-klagomål.docx", "A 7208-2025")</f>
        <v/>
      </c>
      <c r="W334">
        <f>HYPERLINK("https://klasma.github.io/Logging_2309/klagomålsmail/A 7208-2025 FSC-klagomål mail.docx", "A 7208-2025")</f>
        <v/>
      </c>
      <c r="X334">
        <f>HYPERLINK("https://klasma.github.io/Logging_2309/tillsyn/A 7208-2025 tillsynsbegäran.docx", "A 7208-2025")</f>
        <v/>
      </c>
      <c r="Y334">
        <f>HYPERLINK("https://klasma.github.io/Logging_2309/tillsynsmail/A 7208-2025 tillsynsbegäran mail.docx", "A 7208-2025")</f>
        <v/>
      </c>
    </row>
    <row r="335" ht="15" customHeight="1">
      <c r="A335" t="inlineStr">
        <is>
          <t>A 13485-2025</t>
        </is>
      </c>
      <c r="B335" s="1" t="n">
        <v>45736</v>
      </c>
      <c r="C335" s="1" t="n">
        <v>45741</v>
      </c>
      <c r="D335" t="inlineStr">
        <is>
          <t>JÄMTLANDS LÄN</t>
        </is>
      </c>
      <c r="E335" t="inlineStr">
        <is>
          <t>KROKOM</t>
        </is>
      </c>
      <c r="F335" t="inlineStr">
        <is>
          <t>SCA</t>
        </is>
      </c>
      <c r="G335" t="n">
        <v>4</v>
      </c>
      <c r="H335" t="n">
        <v>0</v>
      </c>
      <c r="I335" t="n">
        <v>0</v>
      </c>
      <c r="J335" t="n">
        <v>1</v>
      </c>
      <c r="K335" t="n">
        <v>0</v>
      </c>
      <c r="L335" t="n">
        <v>0</v>
      </c>
      <c r="M335" t="n">
        <v>0</v>
      </c>
      <c r="N335" t="n">
        <v>0</v>
      </c>
      <c r="O335" t="n">
        <v>1</v>
      </c>
      <c r="P335" t="n">
        <v>0</v>
      </c>
      <c r="Q335" t="n">
        <v>1</v>
      </c>
      <c r="R335" s="2" t="inlineStr">
        <is>
          <t>Brunklöver</t>
        </is>
      </c>
      <c r="S335">
        <f>HYPERLINK("https://klasma.github.io/Logging_2309/artfynd/A 13485-2025 artfynd.xlsx", "A 13485-2025")</f>
        <v/>
      </c>
      <c r="T335">
        <f>HYPERLINK("https://klasma.github.io/Logging_2309/kartor/A 13485-2025 karta.png", "A 13485-2025")</f>
        <v/>
      </c>
      <c r="V335">
        <f>HYPERLINK("https://klasma.github.io/Logging_2309/klagomål/A 13485-2025 FSC-klagomål.docx", "A 13485-2025")</f>
        <v/>
      </c>
      <c r="W335">
        <f>HYPERLINK("https://klasma.github.io/Logging_2309/klagomålsmail/A 13485-2025 FSC-klagomål mail.docx", "A 13485-2025")</f>
        <v/>
      </c>
      <c r="X335">
        <f>HYPERLINK("https://klasma.github.io/Logging_2309/tillsyn/A 13485-2025 tillsynsbegäran.docx", "A 13485-2025")</f>
        <v/>
      </c>
      <c r="Y335">
        <f>HYPERLINK("https://klasma.github.io/Logging_2309/tillsynsmail/A 13485-2025 tillsynsbegäran mail.docx", "A 13485-2025")</f>
        <v/>
      </c>
    </row>
    <row r="336" ht="15" customHeight="1">
      <c r="A336" t="inlineStr">
        <is>
          <t>A 17853-2019</t>
        </is>
      </c>
      <c r="B336" s="1" t="n">
        <v>43556</v>
      </c>
      <c r="C336" s="1" t="n">
        <v>45741</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18183-2019</t>
        </is>
      </c>
      <c r="B337" s="1" t="n">
        <v>43558</v>
      </c>
      <c r="C337" s="1" t="n">
        <v>45741</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18477-2019</t>
        </is>
      </c>
      <c r="B338" s="1" t="n">
        <v>43559</v>
      </c>
      <c r="C338" s="1" t="n">
        <v>45741</v>
      </c>
      <c r="D338" t="inlineStr">
        <is>
          <t>JÄMTLANDS LÄN</t>
        </is>
      </c>
      <c r="E338" t="inlineStr">
        <is>
          <t>KROKOM</t>
        </is>
      </c>
      <c r="G338" t="n">
        <v>3</v>
      </c>
      <c r="H338" t="n">
        <v>0</v>
      </c>
      <c r="I338" t="n">
        <v>0</v>
      </c>
      <c r="J338" t="n">
        <v>0</v>
      </c>
      <c r="K338" t="n">
        <v>0</v>
      </c>
      <c r="L338" t="n">
        <v>0</v>
      </c>
      <c r="M338" t="n">
        <v>0</v>
      </c>
      <c r="N338" t="n">
        <v>0</v>
      </c>
      <c r="O338" t="n">
        <v>0</v>
      </c>
      <c r="P338" t="n">
        <v>0</v>
      </c>
      <c r="Q338" t="n">
        <v>0</v>
      </c>
      <c r="R338" s="2" t="inlineStr"/>
    </row>
    <row r="339" ht="15" customHeight="1">
      <c r="A339" t="inlineStr">
        <is>
          <t>A 18565-2019</t>
        </is>
      </c>
      <c r="B339" s="1" t="n">
        <v>43559</v>
      </c>
      <c r="C339" s="1" t="n">
        <v>45741</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18407-2019</t>
        </is>
      </c>
      <c r="B340" s="1" t="n">
        <v>43559</v>
      </c>
      <c r="C340" s="1" t="n">
        <v>45741</v>
      </c>
      <c r="D340" t="inlineStr">
        <is>
          <t>JÄMTLANDS LÄN</t>
        </is>
      </c>
      <c r="E340" t="inlineStr">
        <is>
          <t>KROKOM</t>
        </is>
      </c>
      <c r="G340" t="n">
        <v>43.1</v>
      </c>
      <c r="H340" t="n">
        <v>0</v>
      </c>
      <c r="I340" t="n">
        <v>0</v>
      </c>
      <c r="J340" t="n">
        <v>0</v>
      </c>
      <c r="K340" t="n">
        <v>0</v>
      </c>
      <c r="L340" t="n">
        <v>0</v>
      </c>
      <c r="M340" t="n">
        <v>0</v>
      </c>
      <c r="N340" t="n">
        <v>0</v>
      </c>
      <c r="O340" t="n">
        <v>0</v>
      </c>
      <c r="P340" t="n">
        <v>0</v>
      </c>
      <c r="Q340" t="n">
        <v>0</v>
      </c>
      <c r="R340" s="2" t="inlineStr"/>
    </row>
    <row r="341" ht="15" customHeight="1">
      <c r="A341" t="inlineStr">
        <is>
          <t>A 18397-2019</t>
        </is>
      </c>
      <c r="B341" s="1" t="n">
        <v>43559</v>
      </c>
      <c r="C341" s="1" t="n">
        <v>45741</v>
      </c>
      <c r="D341" t="inlineStr">
        <is>
          <t>JÄMTLANDS LÄN</t>
        </is>
      </c>
      <c r="E341" t="inlineStr">
        <is>
          <t>KROKOM</t>
        </is>
      </c>
      <c r="G341" t="n">
        <v>2.8</v>
      </c>
      <c r="H341" t="n">
        <v>0</v>
      </c>
      <c r="I341" t="n">
        <v>0</v>
      </c>
      <c r="J341" t="n">
        <v>0</v>
      </c>
      <c r="K341" t="n">
        <v>0</v>
      </c>
      <c r="L341" t="n">
        <v>0</v>
      </c>
      <c r="M341" t="n">
        <v>0</v>
      </c>
      <c r="N341" t="n">
        <v>0</v>
      </c>
      <c r="O341" t="n">
        <v>0</v>
      </c>
      <c r="P341" t="n">
        <v>0</v>
      </c>
      <c r="Q341" t="n">
        <v>0</v>
      </c>
      <c r="R341" s="2" t="inlineStr"/>
    </row>
    <row r="342" ht="15" customHeight="1">
      <c r="A342" t="inlineStr">
        <is>
          <t>A 18602-2019</t>
        </is>
      </c>
      <c r="B342" s="1" t="n">
        <v>43560</v>
      </c>
      <c r="C342" s="1" t="n">
        <v>45741</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18831-2019</t>
        </is>
      </c>
      <c r="B343" s="1" t="n">
        <v>43563</v>
      </c>
      <c r="C343" s="1" t="n">
        <v>45741</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18847-2019</t>
        </is>
      </c>
      <c r="B344" s="1" t="n">
        <v>43563</v>
      </c>
      <c r="C344" s="1" t="n">
        <v>45741</v>
      </c>
      <c r="D344" t="inlineStr">
        <is>
          <t>JÄMTLANDS LÄN</t>
        </is>
      </c>
      <c r="E344" t="inlineStr">
        <is>
          <t>KROKOM</t>
        </is>
      </c>
      <c r="G344" t="n">
        <v>1</v>
      </c>
      <c r="H344" t="n">
        <v>0</v>
      </c>
      <c r="I344" t="n">
        <v>0</v>
      </c>
      <c r="J344" t="n">
        <v>0</v>
      </c>
      <c r="K344" t="n">
        <v>0</v>
      </c>
      <c r="L344" t="n">
        <v>0</v>
      </c>
      <c r="M344" t="n">
        <v>0</v>
      </c>
      <c r="N344" t="n">
        <v>0</v>
      </c>
      <c r="O344" t="n">
        <v>0</v>
      </c>
      <c r="P344" t="n">
        <v>0</v>
      </c>
      <c r="Q344" t="n">
        <v>0</v>
      </c>
      <c r="R344" s="2" t="inlineStr"/>
    </row>
    <row r="345" ht="15" customHeight="1">
      <c r="A345" t="inlineStr">
        <is>
          <t>A 19152-2019</t>
        </is>
      </c>
      <c r="B345" s="1" t="n">
        <v>43564</v>
      </c>
      <c r="C345" s="1" t="n">
        <v>45741</v>
      </c>
      <c r="D345" t="inlineStr">
        <is>
          <t>JÄMTLANDS LÄN</t>
        </is>
      </c>
      <c r="E345" t="inlineStr">
        <is>
          <t>KROKOM</t>
        </is>
      </c>
      <c r="G345" t="n">
        <v>4.1</v>
      </c>
      <c r="H345" t="n">
        <v>0</v>
      </c>
      <c r="I345" t="n">
        <v>0</v>
      </c>
      <c r="J345" t="n">
        <v>0</v>
      </c>
      <c r="K345" t="n">
        <v>0</v>
      </c>
      <c r="L345" t="n">
        <v>0</v>
      </c>
      <c r="M345" t="n">
        <v>0</v>
      </c>
      <c r="N345" t="n">
        <v>0</v>
      </c>
      <c r="O345" t="n">
        <v>0</v>
      </c>
      <c r="P345" t="n">
        <v>0</v>
      </c>
      <c r="Q345" t="n">
        <v>0</v>
      </c>
      <c r="R345" s="2" t="inlineStr"/>
    </row>
    <row r="346" ht="15" customHeight="1">
      <c r="A346" t="inlineStr">
        <is>
          <t>A 19325-2019</t>
        </is>
      </c>
      <c r="B346" s="1" t="n">
        <v>43565</v>
      </c>
      <c r="C346" s="1" t="n">
        <v>45741</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19708-2019</t>
        </is>
      </c>
      <c r="B347" s="1" t="n">
        <v>43566</v>
      </c>
      <c r="C347" s="1" t="n">
        <v>45741</v>
      </c>
      <c r="D347" t="inlineStr">
        <is>
          <t>JÄMTLANDS LÄN</t>
        </is>
      </c>
      <c r="E347" t="inlineStr">
        <is>
          <t>KROKOM</t>
        </is>
      </c>
      <c r="G347" t="n">
        <v>8.9</v>
      </c>
      <c r="H347" t="n">
        <v>0</v>
      </c>
      <c r="I347" t="n">
        <v>0</v>
      </c>
      <c r="J347" t="n">
        <v>0</v>
      </c>
      <c r="K347" t="n">
        <v>0</v>
      </c>
      <c r="L347" t="n">
        <v>0</v>
      </c>
      <c r="M347" t="n">
        <v>0</v>
      </c>
      <c r="N347" t="n">
        <v>0</v>
      </c>
      <c r="O347" t="n">
        <v>0</v>
      </c>
      <c r="P347" t="n">
        <v>0</v>
      </c>
      <c r="Q347" t="n">
        <v>0</v>
      </c>
      <c r="R347" s="2" t="inlineStr"/>
    </row>
    <row r="348" ht="15" customHeight="1">
      <c r="A348" t="inlineStr">
        <is>
          <t>A 20378-2019</t>
        </is>
      </c>
      <c r="B348" s="1" t="n">
        <v>43571</v>
      </c>
      <c r="C348" s="1" t="n">
        <v>45741</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20596-2019</t>
        </is>
      </c>
      <c r="B349" s="1" t="n">
        <v>43572</v>
      </c>
      <c r="C349" s="1" t="n">
        <v>45741</v>
      </c>
      <c r="D349" t="inlineStr">
        <is>
          <t>JÄMTLANDS LÄN</t>
        </is>
      </c>
      <c r="E349" t="inlineStr">
        <is>
          <t>KROKOM</t>
        </is>
      </c>
      <c r="G349" t="n">
        <v>10.6</v>
      </c>
      <c r="H349" t="n">
        <v>0</v>
      </c>
      <c r="I349" t="n">
        <v>0</v>
      </c>
      <c r="J349" t="n">
        <v>0</v>
      </c>
      <c r="K349" t="n">
        <v>0</v>
      </c>
      <c r="L349" t="n">
        <v>0</v>
      </c>
      <c r="M349" t="n">
        <v>0</v>
      </c>
      <c r="N349" t="n">
        <v>0</v>
      </c>
      <c r="O349" t="n">
        <v>0</v>
      </c>
      <c r="P349" t="n">
        <v>0</v>
      </c>
      <c r="Q349" t="n">
        <v>0</v>
      </c>
      <c r="R349" s="2" t="inlineStr"/>
    </row>
    <row r="350" ht="15" customHeight="1">
      <c r="A350" t="inlineStr">
        <is>
          <t>A 21269-2019</t>
        </is>
      </c>
      <c r="B350" s="1" t="n">
        <v>43579</v>
      </c>
      <c r="C350" s="1" t="n">
        <v>45741</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21421-2019</t>
        </is>
      </c>
      <c r="B351" s="1" t="n">
        <v>43580</v>
      </c>
      <c r="C351" s="1" t="n">
        <v>45741</v>
      </c>
      <c r="D351" t="inlineStr">
        <is>
          <t>JÄMTLANDS LÄN</t>
        </is>
      </c>
      <c r="E351" t="inlineStr">
        <is>
          <t>KROKOM</t>
        </is>
      </c>
      <c r="G351" t="n">
        <v>13.1</v>
      </c>
      <c r="H351" t="n">
        <v>0</v>
      </c>
      <c r="I351" t="n">
        <v>0</v>
      </c>
      <c r="J351" t="n">
        <v>0</v>
      </c>
      <c r="K351" t="n">
        <v>0</v>
      </c>
      <c r="L351" t="n">
        <v>0</v>
      </c>
      <c r="M351" t="n">
        <v>0</v>
      </c>
      <c r="N351" t="n">
        <v>0</v>
      </c>
      <c r="O351" t="n">
        <v>0</v>
      </c>
      <c r="P351" t="n">
        <v>0</v>
      </c>
      <c r="Q351" t="n">
        <v>0</v>
      </c>
      <c r="R351" s="2" t="inlineStr"/>
    </row>
    <row r="352" ht="15" customHeight="1">
      <c r="A352" t="inlineStr">
        <is>
          <t>A 21716-2019</t>
        </is>
      </c>
      <c r="B352" s="1" t="n">
        <v>43581</v>
      </c>
      <c r="C352" s="1" t="n">
        <v>45741</v>
      </c>
      <c r="D352" t="inlineStr">
        <is>
          <t>JÄMTLANDS LÄN</t>
        </is>
      </c>
      <c r="E352" t="inlineStr">
        <is>
          <t>KROKOM</t>
        </is>
      </c>
      <c r="G352" t="n">
        <v>4.2</v>
      </c>
      <c r="H352" t="n">
        <v>0</v>
      </c>
      <c r="I352" t="n">
        <v>0</v>
      </c>
      <c r="J352" t="n">
        <v>0</v>
      </c>
      <c r="K352" t="n">
        <v>0</v>
      </c>
      <c r="L352" t="n">
        <v>0</v>
      </c>
      <c r="M352" t="n">
        <v>0</v>
      </c>
      <c r="N352" t="n">
        <v>0</v>
      </c>
      <c r="O352" t="n">
        <v>0</v>
      </c>
      <c r="P352" t="n">
        <v>0</v>
      </c>
      <c r="Q352" t="n">
        <v>0</v>
      </c>
      <c r="R352" s="2" t="inlineStr"/>
    </row>
    <row r="353" ht="15" customHeight="1">
      <c r="A353" t="inlineStr">
        <is>
          <t>A 21933-2019</t>
        </is>
      </c>
      <c r="B353" s="1" t="n">
        <v>43584</v>
      </c>
      <c r="C353" s="1" t="n">
        <v>45741</v>
      </c>
      <c r="D353" t="inlineStr">
        <is>
          <t>JÄMTLANDS LÄN</t>
        </is>
      </c>
      <c r="E353" t="inlineStr">
        <is>
          <t>KROKOM</t>
        </is>
      </c>
      <c r="G353" t="n">
        <v>12.8</v>
      </c>
      <c r="H353" t="n">
        <v>0</v>
      </c>
      <c r="I353" t="n">
        <v>0</v>
      </c>
      <c r="J353" t="n">
        <v>0</v>
      </c>
      <c r="K353" t="n">
        <v>0</v>
      </c>
      <c r="L353" t="n">
        <v>0</v>
      </c>
      <c r="M353" t="n">
        <v>0</v>
      </c>
      <c r="N353" t="n">
        <v>0</v>
      </c>
      <c r="O353" t="n">
        <v>0</v>
      </c>
      <c r="P353" t="n">
        <v>0</v>
      </c>
      <c r="Q353" t="n">
        <v>0</v>
      </c>
      <c r="R353" s="2" t="inlineStr"/>
    </row>
    <row r="354" ht="15" customHeight="1">
      <c r="A354" t="inlineStr">
        <is>
          <t>A 22208-2019</t>
        </is>
      </c>
      <c r="B354" s="1" t="n">
        <v>43585</v>
      </c>
      <c r="C354" s="1" t="n">
        <v>45741</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22135-2019</t>
        </is>
      </c>
      <c r="B355" s="1" t="n">
        <v>43585</v>
      </c>
      <c r="C355" s="1" t="n">
        <v>45741</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22129-2019</t>
        </is>
      </c>
      <c r="B356" s="1" t="n">
        <v>43585</v>
      </c>
      <c r="C356" s="1" t="n">
        <v>45741</v>
      </c>
      <c r="D356" t="inlineStr">
        <is>
          <t>JÄMTLANDS LÄN</t>
        </is>
      </c>
      <c r="E356" t="inlineStr">
        <is>
          <t>KROKOM</t>
        </is>
      </c>
      <c r="G356" t="n">
        <v>7</v>
      </c>
      <c r="H356" t="n">
        <v>0</v>
      </c>
      <c r="I356" t="n">
        <v>0</v>
      </c>
      <c r="J356" t="n">
        <v>0</v>
      </c>
      <c r="K356" t="n">
        <v>0</v>
      </c>
      <c r="L356" t="n">
        <v>0</v>
      </c>
      <c r="M356" t="n">
        <v>0</v>
      </c>
      <c r="N356" t="n">
        <v>0</v>
      </c>
      <c r="O356" t="n">
        <v>0</v>
      </c>
      <c r="P356" t="n">
        <v>0</v>
      </c>
      <c r="Q356" t="n">
        <v>0</v>
      </c>
      <c r="R356" s="2" t="inlineStr"/>
    </row>
    <row r="357" ht="15" customHeight="1">
      <c r="A357" t="inlineStr">
        <is>
          <t>A 22521-2019</t>
        </is>
      </c>
      <c r="B357" s="1" t="n">
        <v>43587</v>
      </c>
      <c r="C357" s="1" t="n">
        <v>45741</v>
      </c>
      <c r="D357" t="inlineStr">
        <is>
          <t>JÄMTLANDS LÄN</t>
        </is>
      </c>
      <c r="E357" t="inlineStr">
        <is>
          <t>KROKOM</t>
        </is>
      </c>
      <c r="F357" t="inlineStr">
        <is>
          <t>Kyrkan</t>
        </is>
      </c>
      <c r="G357" t="n">
        <v>14.5</v>
      </c>
      <c r="H357" t="n">
        <v>0</v>
      </c>
      <c r="I357" t="n">
        <v>0</v>
      </c>
      <c r="J357" t="n">
        <v>0</v>
      </c>
      <c r="K357" t="n">
        <v>0</v>
      </c>
      <c r="L357" t="n">
        <v>0</v>
      </c>
      <c r="M357" t="n">
        <v>0</v>
      </c>
      <c r="N357" t="n">
        <v>0</v>
      </c>
      <c r="O357" t="n">
        <v>0</v>
      </c>
      <c r="P357" t="n">
        <v>0</v>
      </c>
      <c r="Q357" t="n">
        <v>0</v>
      </c>
      <c r="R357" s="2" t="inlineStr"/>
    </row>
    <row r="358" ht="15" customHeight="1">
      <c r="A358" t="inlineStr">
        <is>
          <t>A 22533-2019</t>
        </is>
      </c>
      <c r="B358" s="1" t="n">
        <v>43587</v>
      </c>
      <c r="C358" s="1" t="n">
        <v>45741</v>
      </c>
      <c r="D358" t="inlineStr">
        <is>
          <t>JÄMTLANDS LÄN</t>
        </is>
      </c>
      <c r="E358" t="inlineStr">
        <is>
          <t>KROKOM</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22877-2019</t>
        </is>
      </c>
      <c r="B359" s="1" t="n">
        <v>43591</v>
      </c>
      <c r="C359" s="1" t="n">
        <v>45741</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23698-2019</t>
        </is>
      </c>
      <c r="B360" s="1" t="n">
        <v>43594</v>
      </c>
      <c r="C360" s="1" t="n">
        <v>45741</v>
      </c>
      <c r="D360" t="inlineStr">
        <is>
          <t>JÄMTLANDS LÄN</t>
        </is>
      </c>
      <c r="E360" t="inlineStr">
        <is>
          <t>KROKOM</t>
        </is>
      </c>
      <c r="G360" t="n">
        <v>14.3</v>
      </c>
      <c r="H360" t="n">
        <v>0</v>
      </c>
      <c r="I360" t="n">
        <v>0</v>
      </c>
      <c r="J360" t="n">
        <v>0</v>
      </c>
      <c r="K360" t="n">
        <v>0</v>
      </c>
      <c r="L360" t="n">
        <v>0</v>
      </c>
      <c r="M360" t="n">
        <v>0</v>
      </c>
      <c r="N360" t="n">
        <v>0</v>
      </c>
      <c r="O360" t="n">
        <v>0</v>
      </c>
      <c r="P360" t="n">
        <v>0</v>
      </c>
      <c r="Q360" t="n">
        <v>0</v>
      </c>
      <c r="R360" s="2" t="inlineStr"/>
    </row>
    <row r="361" ht="15" customHeight="1">
      <c r="A361" t="inlineStr">
        <is>
          <t>A 24900-2019</t>
        </is>
      </c>
      <c r="B361" s="1" t="n">
        <v>43599</v>
      </c>
      <c r="C361" s="1" t="n">
        <v>45741</v>
      </c>
      <c r="D361" t="inlineStr">
        <is>
          <t>JÄMTLANDS LÄN</t>
        </is>
      </c>
      <c r="E361" t="inlineStr">
        <is>
          <t>KROKOM</t>
        </is>
      </c>
      <c r="G361" t="n">
        <v>3.3</v>
      </c>
      <c r="H361" t="n">
        <v>0</v>
      </c>
      <c r="I361" t="n">
        <v>0</v>
      </c>
      <c r="J361" t="n">
        <v>0</v>
      </c>
      <c r="K361" t="n">
        <v>0</v>
      </c>
      <c r="L361" t="n">
        <v>0</v>
      </c>
      <c r="M361" t="n">
        <v>0</v>
      </c>
      <c r="N361" t="n">
        <v>0</v>
      </c>
      <c r="O361" t="n">
        <v>0</v>
      </c>
      <c r="P361" t="n">
        <v>0</v>
      </c>
      <c r="Q361" t="n">
        <v>0</v>
      </c>
      <c r="R361" s="2" t="inlineStr"/>
    </row>
    <row r="362" ht="15" customHeight="1">
      <c r="A362" t="inlineStr">
        <is>
          <t>A 25641-2019</t>
        </is>
      </c>
      <c r="B362" s="1" t="n">
        <v>43602</v>
      </c>
      <c r="C362" s="1" t="n">
        <v>45741</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25644-2019</t>
        </is>
      </c>
      <c r="B363" s="1" t="n">
        <v>43602</v>
      </c>
      <c r="C363" s="1" t="n">
        <v>45741</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25634-2019</t>
        </is>
      </c>
      <c r="B364" s="1" t="n">
        <v>43602</v>
      </c>
      <c r="C364" s="1" t="n">
        <v>45741</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25115-2019</t>
        </is>
      </c>
      <c r="B365" s="1" t="n">
        <v>43605</v>
      </c>
      <c r="C365" s="1" t="n">
        <v>45741</v>
      </c>
      <c r="D365" t="inlineStr">
        <is>
          <t>JÄMTLANDS LÄN</t>
        </is>
      </c>
      <c r="E365" t="inlineStr">
        <is>
          <t>KROKOM</t>
        </is>
      </c>
      <c r="G365" t="n">
        <v>2.2</v>
      </c>
      <c r="H365" t="n">
        <v>0</v>
      </c>
      <c r="I365" t="n">
        <v>0</v>
      </c>
      <c r="J365" t="n">
        <v>0</v>
      </c>
      <c r="K365" t="n">
        <v>0</v>
      </c>
      <c r="L365" t="n">
        <v>0</v>
      </c>
      <c r="M365" t="n">
        <v>0</v>
      </c>
      <c r="N365" t="n">
        <v>0</v>
      </c>
      <c r="O365" t="n">
        <v>0</v>
      </c>
      <c r="P365" t="n">
        <v>0</v>
      </c>
      <c r="Q365" t="n">
        <v>0</v>
      </c>
      <c r="R365" s="2" t="inlineStr"/>
    </row>
    <row r="366" ht="15" customHeight="1">
      <c r="A366" t="inlineStr">
        <is>
          <t>A 25858-2019</t>
        </is>
      </c>
      <c r="B366" s="1" t="n">
        <v>43608</v>
      </c>
      <c r="C366" s="1" t="n">
        <v>45741</v>
      </c>
      <c r="D366" t="inlineStr">
        <is>
          <t>JÄMTLANDS LÄN</t>
        </is>
      </c>
      <c r="E366" t="inlineStr">
        <is>
          <t>KROKOM</t>
        </is>
      </c>
      <c r="F366" t="inlineStr">
        <is>
          <t>Övriga Aktiebolag</t>
        </is>
      </c>
      <c r="G366" t="n">
        <v>32.2</v>
      </c>
      <c r="H366" t="n">
        <v>0</v>
      </c>
      <c r="I366" t="n">
        <v>0</v>
      </c>
      <c r="J366" t="n">
        <v>0</v>
      </c>
      <c r="K366" t="n">
        <v>0</v>
      </c>
      <c r="L366" t="n">
        <v>0</v>
      </c>
      <c r="M366" t="n">
        <v>0</v>
      </c>
      <c r="N366" t="n">
        <v>0</v>
      </c>
      <c r="O366" t="n">
        <v>0</v>
      </c>
      <c r="P366" t="n">
        <v>0</v>
      </c>
      <c r="Q366" t="n">
        <v>0</v>
      </c>
      <c r="R366" s="2" t="inlineStr"/>
    </row>
    <row r="367" ht="15" customHeight="1">
      <c r="A367" t="inlineStr">
        <is>
          <t>A 26486-2019</t>
        </is>
      </c>
      <c r="B367" s="1" t="n">
        <v>43612</v>
      </c>
      <c r="C367" s="1" t="n">
        <v>45741</v>
      </c>
      <c r="D367" t="inlineStr">
        <is>
          <t>JÄMTLANDS LÄN</t>
        </is>
      </c>
      <c r="E367" t="inlineStr">
        <is>
          <t>KROKOM</t>
        </is>
      </c>
      <c r="G367" t="n">
        <v>3.5</v>
      </c>
      <c r="H367" t="n">
        <v>0</v>
      </c>
      <c r="I367" t="n">
        <v>0</v>
      </c>
      <c r="J367" t="n">
        <v>0</v>
      </c>
      <c r="K367" t="n">
        <v>0</v>
      </c>
      <c r="L367" t="n">
        <v>0</v>
      </c>
      <c r="M367" t="n">
        <v>0</v>
      </c>
      <c r="N367" t="n">
        <v>0</v>
      </c>
      <c r="O367" t="n">
        <v>0</v>
      </c>
      <c r="P367" t="n">
        <v>0</v>
      </c>
      <c r="Q367" t="n">
        <v>0</v>
      </c>
      <c r="R367" s="2" t="inlineStr"/>
    </row>
    <row r="368" ht="15" customHeight="1">
      <c r="A368" t="inlineStr">
        <is>
          <t>A 26408-2019</t>
        </is>
      </c>
      <c r="B368" s="1" t="n">
        <v>43612</v>
      </c>
      <c r="C368" s="1" t="n">
        <v>45741</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28077-2019</t>
        </is>
      </c>
      <c r="B369" s="1" t="n">
        <v>43613</v>
      </c>
      <c r="C369" s="1" t="n">
        <v>45741</v>
      </c>
      <c r="D369" t="inlineStr">
        <is>
          <t>JÄMTLANDS LÄN</t>
        </is>
      </c>
      <c r="E369" t="inlineStr">
        <is>
          <t>KROKOM</t>
        </is>
      </c>
      <c r="F369" t="inlineStr">
        <is>
          <t>Övriga Aktiebolag</t>
        </is>
      </c>
      <c r="G369" t="n">
        <v>26.1</v>
      </c>
      <c r="H369" t="n">
        <v>0</v>
      </c>
      <c r="I369" t="n">
        <v>0</v>
      </c>
      <c r="J369" t="n">
        <v>0</v>
      </c>
      <c r="K369" t="n">
        <v>0</v>
      </c>
      <c r="L369" t="n">
        <v>0</v>
      </c>
      <c r="M369" t="n">
        <v>0</v>
      </c>
      <c r="N369" t="n">
        <v>0</v>
      </c>
      <c r="O369" t="n">
        <v>0</v>
      </c>
      <c r="P369" t="n">
        <v>0</v>
      </c>
      <c r="Q369" t="n">
        <v>0</v>
      </c>
      <c r="R369" s="2" t="inlineStr"/>
    </row>
    <row r="370" ht="15" customHeight="1">
      <c r="A370" t="inlineStr">
        <is>
          <t>A 27031-2019</t>
        </is>
      </c>
      <c r="B370" s="1" t="n">
        <v>43614</v>
      </c>
      <c r="C370" s="1" t="n">
        <v>45741</v>
      </c>
      <c r="D370" t="inlineStr">
        <is>
          <t>JÄMTLANDS LÄN</t>
        </is>
      </c>
      <c r="E370" t="inlineStr">
        <is>
          <t>KROKOM</t>
        </is>
      </c>
      <c r="G370" t="n">
        <v>3.4</v>
      </c>
      <c r="H370" t="n">
        <v>0</v>
      </c>
      <c r="I370" t="n">
        <v>0</v>
      </c>
      <c r="J370" t="n">
        <v>0</v>
      </c>
      <c r="K370" t="n">
        <v>0</v>
      </c>
      <c r="L370" t="n">
        <v>0</v>
      </c>
      <c r="M370" t="n">
        <v>0</v>
      </c>
      <c r="N370" t="n">
        <v>0</v>
      </c>
      <c r="O370" t="n">
        <v>0</v>
      </c>
      <c r="P370" t="n">
        <v>0</v>
      </c>
      <c r="Q370" t="n">
        <v>0</v>
      </c>
      <c r="R370" s="2" t="inlineStr"/>
    </row>
    <row r="371" ht="15" customHeight="1">
      <c r="A371" t="inlineStr">
        <is>
          <t>A 27348-2019</t>
        </is>
      </c>
      <c r="B371" s="1" t="n">
        <v>43616</v>
      </c>
      <c r="C371" s="1" t="n">
        <v>45741</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27765-2019</t>
        </is>
      </c>
      <c r="B372" s="1" t="n">
        <v>43619</v>
      </c>
      <c r="C372" s="1" t="n">
        <v>45741</v>
      </c>
      <c r="D372" t="inlineStr">
        <is>
          <t>JÄMTLANDS LÄN</t>
        </is>
      </c>
      <c r="E372" t="inlineStr">
        <is>
          <t>KROKOM</t>
        </is>
      </c>
      <c r="G372" t="n">
        <v>20.1</v>
      </c>
      <c r="H372" t="n">
        <v>0</v>
      </c>
      <c r="I372" t="n">
        <v>0</v>
      </c>
      <c r="J372" t="n">
        <v>0</v>
      </c>
      <c r="K372" t="n">
        <v>0</v>
      </c>
      <c r="L372" t="n">
        <v>0</v>
      </c>
      <c r="M372" t="n">
        <v>0</v>
      </c>
      <c r="N372" t="n">
        <v>0</v>
      </c>
      <c r="O372" t="n">
        <v>0</v>
      </c>
      <c r="P372" t="n">
        <v>0</v>
      </c>
      <c r="Q372" t="n">
        <v>0</v>
      </c>
      <c r="R372" s="2" t="inlineStr"/>
    </row>
    <row r="373" ht="15" customHeight="1">
      <c r="A373" t="inlineStr">
        <is>
          <t>A 27766-2019</t>
        </is>
      </c>
      <c r="B373" s="1" t="n">
        <v>43619</v>
      </c>
      <c r="C373" s="1" t="n">
        <v>45741</v>
      </c>
      <c r="D373" t="inlineStr">
        <is>
          <t>JÄMTLANDS LÄN</t>
        </is>
      </c>
      <c r="E373" t="inlineStr">
        <is>
          <t>KROKOM</t>
        </is>
      </c>
      <c r="G373" t="n">
        <v>17.7</v>
      </c>
      <c r="H373" t="n">
        <v>0</v>
      </c>
      <c r="I373" t="n">
        <v>0</v>
      </c>
      <c r="J373" t="n">
        <v>0</v>
      </c>
      <c r="K373" t="n">
        <v>0</v>
      </c>
      <c r="L373" t="n">
        <v>0</v>
      </c>
      <c r="M373" t="n">
        <v>0</v>
      </c>
      <c r="N373" t="n">
        <v>0</v>
      </c>
      <c r="O373" t="n">
        <v>0</v>
      </c>
      <c r="P373" t="n">
        <v>0</v>
      </c>
      <c r="Q373" t="n">
        <v>0</v>
      </c>
      <c r="R373" s="2" t="inlineStr"/>
    </row>
    <row r="374" ht="15" customHeight="1">
      <c r="A374" t="inlineStr">
        <is>
          <t>A 27764-2019</t>
        </is>
      </c>
      <c r="B374" s="1" t="n">
        <v>43619</v>
      </c>
      <c r="C374" s="1" t="n">
        <v>45741</v>
      </c>
      <c r="D374" t="inlineStr">
        <is>
          <t>JÄMTLANDS LÄN</t>
        </is>
      </c>
      <c r="E374" t="inlineStr">
        <is>
          <t>KROKOM</t>
        </is>
      </c>
      <c r="G374" t="n">
        <v>41.8</v>
      </c>
      <c r="H374" t="n">
        <v>0</v>
      </c>
      <c r="I374" t="n">
        <v>0</v>
      </c>
      <c r="J374" t="n">
        <v>0</v>
      </c>
      <c r="K374" t="n">
        <v>0</v>
      </c>
      <c r="L374" t="n">
        <v>0</v>
      </c>
      <c r="M374" t="n">
        <v>0</v>
      </c>
      <c r="N374" t="n">
        <v>0</v>
      </c>
      <c r="O374" t="n">
        <v>0</v>
      </c>
      <c r="P374" t="n">
        <v>0</v>
      </c>
      <c r="Q374" t="n">
        <v>0</v>
      </c>
      <c r="R374" s="2" t="inlineStr"/>
    </row>
    <row r="375" ht="15" customHeight="1">
      <c r="A375" t="inlineStr">
        <is>
          <t>A 27763-2019</t>
        </is>
      </c>
      <c r="B375" s="1" t="n">
        <v>43619</v>
      </c>
      <c r="C375" s="1" t="n">
        <v>45741</v>
      </c>
      <c r="D375" t="inlineStr">
        <is>
          <t>JÄMTLANDS LÄN</t>
        </is>
      </c>
      <c r="E375" t="inlineStr">
        <is>
          <t>KROKOM</t>
        </is>
      </c>
      <c r="G375" t="n">
        <v>15.1</v>
      </c>
      <c r="H375" t="n">
        <v>0</v>
      </c>
      <c r="I375" t="n">
        <v>0</v>
      </c>
      <c r="J375" t="n">
        <v>0</v>
      </c>
      <c r="K375" t="n">
        <v>0</v>
      </c>
      <c r="L375" t="n">
        <v>0</v>
      </c>
      <c r="M375" t="n">
        <v>0</v>
      </c>
      <c r="N375" t="n">
        <v>0</v>
      </c>
      <c r="O375" t="n">
        <v>0</v>
      </c>
      <c r="P375" t="n">
        <v>0</v>
      </c>
      <c r="Q375" t="n">
        <v>0</v>
      </c>
      <c r="R375" s="2" t="inlineStr"/>
    </row>
    <row r="376" ht="15" customHeight="1">
      <c r="A376" t="inlineStr">
        <is>
          <t>A 29270-2019</t>
        </is>
      </c>
      <c r="B376" s="1" t="n">
        <v>43623</v>
      </c>
      <c r="C376" s="1" t="n">
        <v>45741</v>
      </c>
      <c r="D376" t="inlineStr">
        <is>
          <t>JÄMTLANDS LÄN</t>
        </is>
      </c>
      <c r="E376" t="inlineStr">
        <is>
          <t>KROKOM</t>
        </is>
      </c>
      <c r="G376" t="n">
        <v>0.3</v>
      </c>
      <c r="H376" t="n">
        <v>0</v>
      </c>
      <c r="I376" t="n">
        <v>0</v>
      </c>
      <c r="J376" t="n">
        <v>0</v>
      </c>
      <c r="K376" t="n">
        <v>0</v>
      </c>
      <c r="L376" t="n">
        <v>0</v>
      </c>
      <c r="M376" t="n">
        <v>0</v>
      </c>
      <c r="N376" t="n">
        <v>0</v>
      </c>
      <c r="O376" t="n">
        <v>0</v>
      </c>
      <c r="P376" t="n">
        <v>0</v>
      </c>
      <c r="Q376" t="n">
        <v>0</v>
      </c>
      <c r="R376" s="2" t="inlineStr"/>
    </row>
    <row r="377" ht="15" customHeight="1">
      <c r="A377" t="inlineStr">
        <is>
          <t>A 29222-2019</t>
        </is>
      </c>
      <c r="B377" s="1" t="n">
        <v>43623</v>
      </c>
      <c r="C377" s="1" t="n">
        <v>45741</v>
      </c>
      <c r="D377" t="inlineStr">
        <is>
          <t>JÄMTLANDS LÄN</t>
        </is>
      </c>
      <c r="E377" t="inlineStr">
        <is>
          <t>KROKOM</t>
        </is>
      </c>
      <c r="G377" t="n">
        <v>5.9</v>
      </c>
      <c r="H377" t="n">
        <v>0</v>
      </c>
      <c r="I377" t="n">
        <v>0</v>
      </c>
      <c r="J377" t="n">
        <v>0</v>
      </c>
      <c r="K377" t="n">
        <v>0</v>
      </c>
      <c r="L377" t="n">
        <v>0</v>
      </c>
      <c r="M377" t="n">
        <v>0</v>
      </c>
      <c r="N377" t="n">
        <v>0</v>
      </c>
      <c r="O377" t="n">
        <v>0</v>
      </c>
      <c r="P377" t="n">
        <v>0</v>
      </c>
      <c r="Q377" t="n">
        <v>0</v>
      </c>
      <c r="R377" s="2" t="inlineStr"/>
    </row>
    <row r="378" ht="15" customHeight="1">
      <c r="A378" t="inlineStr">
        <is>
          <t>A 29211-2019</t>
        </is>
      </c>
      <c r="B378" s="1" t="n">
        <v>43623</v>
      </c>
      <c r="C378" s="1" t="n">
        <v>45741</v>
      </c>
      <c r="D378" t="inlineStr">
        <is>
          <t>JÄMTLANDS LÄN</t>
        </is>
      </c>
      <c r="E378" t="inlineStr">
        <is>
          <t>KROKOM</t>
        </is>
      </c>
      <c r="G378" t="n">
        <v>5</v>
      </c>
      <c r="H378" t="n">
        <v>0</v>
      </c>
      <c r="I378" t="n">
        <v>0</v>
      </c>
      <c r="J378" t="n">
        <v>0</v>
      </c>
      <c r="K378" t="n">
        <v>0</v>
      </c>
      <c r="L378" t="n">
        <v>0</v>
      </c>
      <c r="M378" t="n">
        <v>0</v>
      </c>
      <c r="N378" t="n">
        <v>0</v>
      </c>
      <c r="O378" t="n">
        <v>0</v>
      </c>
      <c r="P378" t="n">
        <v>0</v>
      </c>
      <c r="Q378" t="n">
        <v>0</v>
      </c>
      <c r="R378" s="2" t="inlineStr"/>
    </row>
    <row r="379" ht="15" customHeight="1">
      <c r="A379" t="inlineStr">
        <is>
          <t>A 28521-2019</t>
        </is>
      </c>
      <c r="B379" s="1" t="n">
        <v>43626</v>
      </c>
      <c r="C379" s="1" t="n">
        <v>45741</v>
      </c>
      <c r="D379" t="inlineStr">
        <is>
          <t>JÄMTLANDS LÄN</t>
        </is>
      </c>
      <c r="E379" t="inlineStr">
        <is>
          <t>KROKOM</t>
        </is>
      </c>
      <c r="G379" t="n">
        <v>1</v>
      </c>
      <c r="H379" t="n">
        <v>0</v>
      </c>
      <c r="I379" t="n">
        <v>0</v>
      </c>
      <c r="J379" t="n">
        <v>0</v>
      </c>
      <c r="K379" t="n">
        <v>0</v>
      </c>
      <c r="L379" t="n">
        <v>0</v>
      </c>
      <c r="M379" t="n">
        <v>0</v>
      </c>
      <c r="N379" t="n">
        <v>0</v>
      </c>
      <c r="O379" t="n">
        <v>0</v>
      </c>
      <c r="P379" t="n">
        <v>0</v>
      </c>
      <c r="Q379" t="n">
        <v>0</v>
      </c>
      <c r="R379" s="2" t="inlineStr"/>
    </row>
    <row r="380" ht="15" customHeight="1">
      <c r="A380" t="inlineStr">
        <is>
          <t>A 29153-2019</t>
        </is>
      </c>
      <c r="B380" s="1" t="n">
        <v>43628</v>
      </c>
      <c r="C380" s="1" t="n">
        <v>45741</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29705-2019</t>
        </is>
      </c>
      <c r="B381" s="1" t="n">
        <v>43628</v>
      </c>
      <c r="C381" s="1" t="n">
        <v>45741</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29925-2019</t>
        </is>
      </c>
      <c r="B382" s="1" t="n">
        <v>43633</v>
      </c>
      <c r="C382" s="1" t="n">
        <v>45741</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29823-2019</t>
        </is>
      </c>
      <c r="B383" s="1" t="n">
        <v>43633</v>
      </c>
      <c r="C383" s="1" t="n">
        <v>45741</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30032-2019</t>
        </is>
      </c>
      <c r="B384" s="1" t="n">
        <v>43633</v>
      </c>
      <c r="C384" s="1" t="n">
        <v>45741</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30138-2019</t>
        </is>
      </c>
      <c r="B385" s="1" t="n">
        <v>43634</v>
      </c>
      <c r="C385" s="1" t="n">
        <v>45741</v>
      </c>
      <c r="D385" t="inlineStr">
        <is>
          <t>JÄMTLANDS LÄN</t>
        </is>
      </c>
      <c r="E385" t="inlineStr">
        <is>
          <t>KROKOM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30691-2019</t>
        </is>
      </c>
      <c r="B386" s="1" t="n">
        <v>43636</v>
      </c>
      <c r="C386" s="1" t="n">
        <v>45741</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30758-2019</t>
        </is>
      </c>
      <c r="B387" s="1" t="n">
        <v>43636</v>
      </c>
      <c r="C387" s="1" t="n">
        <v>45741</v>
      </c>
      <c r="D387" t="inlineStr">
        <is>
          <t>JÄMTLANDS LÄN</t>
        </is>
      </c>
      <c r="E387" t="inlineStr">
        <is>
          <t>KROKOM</t>
        </is>
      </c>
      <c r="G387" t="n">
        <v>6.4</v>
      </c>
      <c r="H387" t="n">
        <v>0</v>
      </c>
      <c r="I387" t="n">
        <v>0</v>
      </c>
      <c r="J387" t="n">
        <v>0</v>
      </c>
      <c r="K387" t="n">
        <v>0</v>
      </c>
      <c r="L387" t="n">
        <v>0</v>
      </c>
      <c r="M387" t="n">
        <v>0</v>
      </c>
      <c r="N387" t="n">
        <v>0</v>
      </c>
      <c r="O387" t="n">
        <v>0</v>
      </c>
      <c r="P387" t="n">
        <v>0</v>
      </c>
      <c r="Q387" t="n">
        <v>0</v>
      </c>
      <c r="R387" s="2" t="inlineStr"/>
    </row>
    <row r="388" ht="15" customHeight="1">
      <c r="A388" t="inlineStr">
        <is>
          <t>A 31070-2019</t>
        </is>
      </c>
      <c r="B388" s="1" t="n">
        <v>43640</v>
      </c>
      <c r="C388" s="1" t="n">
        <v>45741</v>
      </c>
      <c r="D388" t="inlineStr">
        <is>
          <t>JÄMTLANDS LÄN</t>
        </is>
      </c>
      <c r="E388" t="inlineStr">
        <is>
          <t>KROKOM</t>
        </is>
      </c>
      <c r="G388" t="n">
        <v>5.1</v>
      </c>
      <c r="H388" t="n">
        <v>0</v>
      </c>
      <c r="I388" t="n">
        <v>0</v>
      </c>
      <c r="J388" t="n">
        <v>0</v>
      </c>
      <c r="K388" t="n">
        <v>0</v>
      </c>
      <c r="L388" t="n">
        <v>0</v>
      </c>
      <c r="M388" t="n">
        <v>0</v>
      </c>
      <c r="N388" t="n">
        <v>0</v>
      </c>
      <c r="O388" t="n">
        <v>0</v>
      </c>
      <c r="P388" t="n">
        <v>0</v>
      </c>
      <c r="Q388" t="n">
        <v>0</v>
      </c>
      <c r="R388" s="2" t="inlineStr"/>
    </row>
    <row r="389" ht="15" customHeight="1">
      <c r="A389" t="inlineStr">
        <is>
          <t>A 31032-2019</t>
        </is>
      </c>
      <c r="B389" s="1" t="n">
        <v>43640</v>
      </c>
      <c r="C389" s="1" t="n">
        <v>45741</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31071-2019</t>
        </is>
      </c>
      <c r="B390" s="1" t="n">
        <v>43640</v>
      </c>
      <c r="C390" s="1" t="n">
        <v>45741</v>
      </c>
      <c r="D390" t="inlineStr">
        <is>
          <t>JÄMTLANDS LÄN</t>
        </is>
      </c>
      <c r="E390" t="inlineStr">
        <is>
          <t>KROKOM</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31574-2019</t>
        </is>
      </c>
      <c r="B391" s="1" t="n">
        <v>43641</v>
      </c>
      <c r="C391" s="1" t="n">
        <v>45741</v>
      </c>
      <c r="D391" t="inlineStr">
        <is>
          <t>JÄMTLANDS LÄN</t>
        </is>
      </c>
      <c r="E391" t="inlineStr">
        <is>
          <t>KROKOM</t>
        </is>
      </c>
      <c r="G391" t="n">
        <v>5.7</v>
      </c>
      <c r="H391" t="n">
        <v>0</v>
      </c>
      <c r="I391" t="n">
        <v>0</v>
      </c>
      <c r="J391" t="n">
        <v>0</v>
      </c>
      <c r="K391" t="n">
        <v>0</v>
      </c>
      <c r="L391" t="n">
        <v>0</v>
      </c>
      <c r="M391" t="n">
        <v>0</v>
      </c>
      <c r="N391" t="n">
        <v>0</v>
      </c>
      <c r="O391" t="n">
        <v>0</v>
      </c>
      <c r="P391" t="n">
        <v>0</v>
      </c>
      <c r="Q391" t="n">
        <v>0</v>
      </c>
      <c r="R391" s="2" t="inlineStr"/>
    </row>
    <row r="392" ht="15" customHeight="1">
      <c r="A392" t="inlineStr">
        <is>
          <t>A 31575-2019</t>
        </is>
      </c>
      <c r="B392" s="1" t="n">
        <v>43641</v>
      </c>
      <c r="C392" s="1" t="n">
        <v>45741</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31911-2019</t>
        </is>
      </c>
      <c r="B393" s="1" t="n">
        <v>43642</v>
      </c>
      <c r="C393" s="1" t="n">
        <v>45741</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32053-2019</t>
        </is>
      </c>
      <c r="B394" s="1" t="n">
        <v>43642</v>
      </c>
      <c r="C394" s="1" t="n">
        <v>45741</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33001-2019</t>
        </is>
      </c>
      <c r="B395" s="1" t="n">
        <v>43649</v>
      </c>
      <c r="C395" s="1" t="n">
        <v>45741</v>
      </c>
      <c r="D395" t="inlineStr">
        <is>
          <t>JÄMTLANDS LÄN</t>
        </is>
      </c>
      <c r="E395" t="inlineStr">
        <is>
          <t>KROKOM</t>
        </is>
      </c>
      <c r="F395" t="inlineStr">
        <is>
          <t>Övriga Aktiebolag</t>
        </is>
      </c>
      <c r="G395" t="n">
        <v>7.8</v>
      </c>
      <c r="H395" t="n">
        <v>0</v>
      </c>
      <c r="I395" t="n">
        <v>0</v>
      </c>
      <c r="J395" t="n">
        <v>0</v>
      </c>
      <c r="K395" t="n">
        <v>0</v>
      </c>
      <c r="L395" t="n">
        <v>0</v>
      </c>
      <c r="M395" t="n">
        <v>0</v>
      </c>
      <c r="N395" t="n">
        <v>0</v>
      </c>
      <c r="O395" t="n">
        <v>0</v>
      </c>
      <c r="P395" t="n">
        <v>0</v>
      </c>
      <c r="Q395" t="n">
        <v>0</v>
      </c>
      <c r="R395" s="2" t="inlineStr"/>
    </row>
    <row r="396" ht="15" customHeight="1">
      <c r="A396" t="inlineStr">
        <is>
          <t>A 33015-2019</t>
        </is>
      </c>
      <c r="B396" s="1" t="n">
        <v>43649</v>
      </c>
      <c r="C396" s="1" t="n">
        <v>45741</v>
      </c>
      <c r="D396" t="inlineStr">
        <is>
          <t>JÄMTLANDS LÄN</t>
        </is>
      </c>
      <c r="E396" t="inlineStr">
        <is>
          <t>KROKOM</t>
        </is>
      </c>
      <c r="F396" t="inlineStr">
        <is>
          <t>Övriga Aktiebolag</t>
        </is>
      </c>
      <c r="G396" t="n">
        <v>12.7</v>
      </c>
      <c r="H396" t="n">
        <v>0</v>
      </c>
      <c r="I396" t="n">
        <v>0</v>
      </c>
      <c r="J396" t="n">
        <v>0</v>
      </c>
      <c r="K396" t="n">
        <v>0</v>
      </c>
      <c r="L396" t="n">
        <v>0</v>
      </c>
      <c r="M396" t="n">
        <v>0</v>
      </c>
      <c r="N396" t="n">
        <v>0</v>
      </c>
      <c r="O396" t="n">
        <v>0</v>
      </c>
      <c r="P396" t="n">
        <v>0</v>
      </c>
      <c r="Q396" t="n">
        <v>0</v>
      </c>
      <c r="R396" s="2" t="inlineStr"/>
    </row>
    <row r="397" ht="15" customHeight="1">
      <c r="A397" t="inlineStr">
        <is>
          <t>A 33360-2019</t>
        </is>
      </c>
      <c r="B397" s="1" t="n">
        <v>43650</v>
      </c>
      <c r="C397" s="1" t="n">
        <v>45741</v>
      </c>
      <c r="D397" t="inlineStr">
        <is>
          <t>JÄMTLANDS LÄN</t>
        </is>
      </c>
      <c r="E397" t="inlineStr">
        <is>
          <t>KROKOM</t>
        </is>
      </c>
      <c r="G397" t="n">
        <v>15.8</v>
      </c>
      <c r="H397" t="n">
        <v>0</v>
      </c>
      <c r="I397" t="n">
        <v>0</v>
      </c>
      <c r="J397" t="n">
        <v>0</v>
      </c>
      <c r="K397" t="n">
        <v>0</v>
      </c>
      <c r="L397" t="n">
        <v>0</v>
      </c>
      <c r="M397" t="n">
        <v>0</v>
      </c>
      <c r="N397" t="n">
        <v>0</v>
      </c>
      <c r="O397" t="n">
        <v>0</v>
      </c>
      <c r="P397" t="n">
        <v>0</v>
      </c>
      <c r="Q397" t="n">
        <v>0</v>
      </c>
      <c r="R397" s="2" t="inlineStr"/>
    </row>
    <row r="398" ht="15" customHeight="1">
      <c r="A398" t="inlineStr">
        <is>
          <t>A 35288-2019</t>
        </is>
      </c>
      <c r="B398" s="1" t="n">
        <v>43651</v>
      </c>
      <c r="C398" s="1" t="n">
        <v>45741</v>
      </c>
      <c r="D398" t="inlineStr">
        <is>
          <t>JÄMTLANDS LÄN</t>
        </is>
      </c>
      <c r="E398" t="inlineStr">
        <is>
          <t>KROKOM</t>
        </is>
      </c>
      <c r="G398" t="n">
        <v>6.9</v>
      </c>
      <c r="H398" t="n">
        <v>0</v>
      </c>
      <c r="I398" t="n">
        <v>0</v>
      </c>
      <c r="J398" t="n">
        <v>0</v>
      </c>
      <c r="K398" t="n">
        <v>0</v>
      </c>
      <c r="L398" t="n">
        <v>0</v>
      </c>
      <c r="M398" t="n">
        <v>0</v>
      </c>
      <c r="N398" t="n">
        <v>0</v>
      </c>
      <c r="O398" t="n">
        <v>0</v>
      </c>
      <c r="P398" t="n">
        <v>0</v>
      </c>
      <c r="Q398" t="n">
        <v>0</v>
      </c>
      <c r="R398" s="2" t="inlineStr"/>
    </row>
    <row r="399" ht="15" customHeight="1">
      <c r="A399" t="inlineStr">
        <is>
          <t>A 35337-2019</t>
        </is>
      </c>
      <c r="B399" s="1" t="n">
        <v>43651</v>
      </c>
      <c r="C399" s="1" t="n">
        <v>45741</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35264-2019</t>
        </is>
      </c>
      <c r="B400" s="1" t="n">
        <v>43651</v>
      </c>
      <c r="C400" s="1" t="n">
        <v>45741</v>
      </c>
      <c r="D400" t="inlineStr">
        <is>
          <t>JÄMTLANDS LÄN</t>
        </is>
      </c>
      <c r="E400" t="inlineStr">
        <is>
          <t>KROKOM</t>
        </is>
      </c>
      <c r="G400" t="n">
        <v>10</v>
      </c>
      <c r="H400" t="n">
        <v>0</v>
      </c>
      <c r="I400" t="n">
        <v>0</v>
      </c>
      <c r="J400" t="n">
        <v>0</v>
      </c>
      <c r="K400" t="n">
        <v>0</v>
      </c>
      <c r="L400" t="n">
        <v>0</v>
      </c>
      <c r="M400" t="n">
        <v>0</v>
      </c>
      <c r="N400" t="n">
        <v>0</v>
      </c>
      <c r="O400" t="n">
        <v>0</v>
      </c>
      <c r="P400" t="n">
        <v>0</v>
      </c>
      <c r="Q400" t="n">
        <v>0</v>
      </c>
      <c r="R400" s="2" t="inlineStr"/>
    </row>
    <row r="401" ht="15" customHeight="1">
      <c r="A401" t="inlineStr">
        <is>
          <t>A 35339-2019</t>
        </is>
      </c>
      <c r="B401" s="1" t="n">
        <v>43651</v>
      </c>
      <c r="C401" s="1" t="n">
        <v>45741</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35266-2019</t>
        </is>
      </c>
      <c r="B402" s="1" t="n">
        <v>43651</v>
      </c>
      <c r="C402" s="1" t="n">
        <v>45741</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34065-2019</t>
        </is>
      </c>
      <c r="B403" s="1" t="n">
        <v>43654</v>
      </c>
      <c r="C403" s="1" t="n">
        <v>45741</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34108-2019</t>
        </is>
      </c>
      <c r="B404" s="1" t="n">
        <v>43655</v>
      </c>
      <c r="C404" s="1" t="n">
        <v>45741</v>
      </c>
      <c r="D404" t="inlineStr">
        <is>
          <t>JÄMTLANDS LÄN</t>
        </is>
      </c>
      <c r="E404" t="inlineStr">
        <is>
          <t>KROKOM</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35668-2019</t>
        </is>
      </c>
      <c r="B405" s="1" t="n">
        <v>43655</v>
      </c>
      <c r="C405" s="1" t="n">
        <v>45741</v>
      </c>
      <c r="D405" t="inlineStr">
        <is>
          <t>JÄMTLANDS LÄN</t>
        </is>
      </c>
      <c r="E405" t="inlineStr">
        <is>
          <t>KROKOM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35754-2019</t>
        </is>
      </c>
      <c r="B406" s="1" t="n">
        <v>43656</v>
      </c>
      <c r="C406" s="1" t="n">
        <v>45741</v>
      </c>
      <c r="D406" t="inlineStr">
        <is>
          <t>JÄMTLANDS LÄN</t>
        </is>
      </c>
      <c r="E406" t="inlineStr">
        <is>
          <t>KROKOM</t>
        </is>
      </c>
      <c r="G406" t="n">
        <v>4.5</v>
      </c>
      <c r="H406" t="n">
        <v>0</v>
      </c>
      <c r="I406" t="n">
        <v>0</v>
      </c>
      <c r="J406" t="n">
        <v>0</v>
      </c>
      <c r="K406" t="n">
        <v>0</v>
      </c>
      <c r="L406" t="n">
        <v>0</v>
      </c>
      <c r="M406" t="n">
        <v>0</v>
      </c>
      <c r="N406" t="n">
        <v>0</v>
      </c>
      <c r="O406" t="n">
        <v>0</v>
      </c>
      <c r="P406" t="n">
        <v>0</v>
      </c>
      <c r="Q406" t="n">
        <v>0</v>
      </c>
      <c r="R406" s="2" t="inlineStr"/>
    </row>
    <row r="407" ht="15" customHeight="1">
      <c r="A407" t="inlineStr">
        <is>
          <t>A 34739-2019</t>
        </is>
      </c>
      <c r="B407" s="1" t="n">
        <v>43657</v>
      </c>
      <c r="C407" s="1" t="n">
        <v>45741</v>
      </c>
      <c r="D407" t="inlineStr">
        <is>
          <t>JÄMTLANDS LÄN</t>
        </is>
      </c>
      <c r="E407" t="inlineStr">
        <is>
          <t>KROKOM</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36009-2019</t>
        </is>
      </c>
      <c r="B408" s="1" t="n">
        <v>43657</v>
      </c>
      <c r="C408" s="1" t="n">
        <v>45741</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35131-2019</t>
        </is>
      </c>
      <c r="B409" s="1" t="n">
        <v>43661</v>
      </c>
      <c r="C409" s="1" t="n">
        <v>45741</v>
      </c>
      <c r="D409" t="inlineStr">
        <is>
          <t>JÄMTLANDS LÄN</t>
        </is>
      </c>
      <c r="E409" t="inlineStr">
        <is>
          <t>KROKOM</t>
        </is>
      </c>
      <c r="G409" t="n">
        <v>10.4</v>
      </c>
      <c r="H409" t="n">
        <v>0</v>
      </c>
      <c r="I409" t="n">
        <v>0</v>
      </c>
      <c r="J409" t="n">
        <v>0</v>
      </c>
      <c r="K409" t="n">
        <v>0</v>
      </c>
      <c r="L409" t="n">
        <v>0</v>
      </c>
      <c r="M409" t="n">
        <v>0</v>
      </c>
      <c r="N409" t="n">
        <v>0</v>
      </c>
      <c r="O409" t="n">
        <v>0</v>
      </c>
      <c r="P409" t="n">
        <v>0</v>
      </c>
      <c r="Q409" t="n">
        <v>0</v>
      </c>
      <c r="R409" s="2" t="inlineStr"/>
    </row>
    <row r="410" ht="15" customHeight="1">
      <c r="A410" t="inlineStr">
        <is>
          <t>A 35340-2019</t>
        </is>
      </c>
      <c r="B410" s="1" t="n">
        <v>43661</v>
      </c>
      <c r="C410" s="1" t="n">
        <v>45741</v>
      </c>
      <c r="D410" t="inlineStr">
        <is>
          <t>JÄMTLANDS LÄN</t>
        </is>
      </c>
      <c r="E410" t="inlineStr">
        <is>
          <t>KROKOM</t>
        </is>
      </c>
      <c r="G410" t="n">
        <v>4.4</v>
      </c>
      <c r="H410" t="n">
        <v>0</v>
      </c>
      <c r="I410" t="n">
        <v>0</v>
      </c>
      <c r="J410" t="n">
        <v>0</v>
      </c>
      <c r="K410" t="n">
        <v>0</v>
      </c>
      <c r="L410" t="n">
        <v>0</v>
      </c>
      <c r="M410" t="n">
        <v>0</v>
      </c>
      <c r="N410" t="n">
        <v>0</v>
      </c>
      <c r="O410" t="n">
        <v>0</v>
      </c>
      <c r="P410" t="n">
        <v>0</v>
      </c>
      <c r="Q410" t="n">
        <v>0</v>
      </c>
      <c r="R410" s="2" t="inlineStr"/>
    </row>
    <row r="411" ht="15" customHeight="1">
      <c r="A411" t="inlineStr">
        <is>
          <t>A 36271-2019</t>
        </is>
      </c>
      <c r="B411" s="1" t="n">
        <v>43661</v>
      </c>
      <c r="C411" s="1" t="n">
        <v>45741</v>
      </c>
      <c r="D411" t="inlineStr">
        <is>
          <t>JÄMTLANDS LÄN</t>
        </is>
      </c>
      <c r="E411" t="inlineStr">
        <is>
          <t>KROKOM</t>
        </is>
      </c>
      <c r="G411" t="n">
        <v>2.4</v>
      </c>
      <c r="H411" t="n">
        <v>0</v>
      </c>
      <c r="I411" t="n">
        <v>0</v>
      </c>
      <c r="J411" t="n">
        <v>0</v>
      </c>
      <c r="K411" t="n">
        <v>0</v>
      </c>
      <c r="L411" t="n">
        <v>0</v>
      </c>
      <c r="M411" t="n">
        <v>0</v>
      </c>
      <c r="N411" t="n">
        <v>0</v>
      </c>
      <c r="O411" t="n">
        <v>0</v>
      </c>
      <c r="P411" t="n">
        <v>0</v>
      </c>
      <c r="Q411" t="n">
        <v>0</v>
      </c>
      <c r="R411" s="2" t="inlineStr"/>
    </row>
    <row r="412" ht="15" customHeight="1">
      <c r="A412" t="inlineStr">
        <is>
          <t>A 37369-2019</t>
        </is>
      </c>
      <c r="B412" s="1" t="n">
        <v>43678</v>
      </c>
      <c r="C412" s="1" t="n">
        <v>45741</v>
      </c>
      <c r="D412" t="inlineStr">
        <is>
          <t>JÄMTLANDS LÄN</t>
        </is>
      </c>
      <c r="E412" t="inlineStr">
        <is>
          <t>KROKOM</t>
        </is>
      </c>
      <c r="G412" t="n">
        <v>1.9</v>
      </c>
      <c r="H412" t="n">
        <v>0</v>
      </c>
      <c r="I412" t="n">
        <v>0</v>
      </c>
      <c r="J412" t="n">
        <v>0</v>
      </c>
      <c r="K412" t="n">
        <v>0</v>
      </c>
      <c r="L412" t="n">
        <v>0</v>
      </c>
      <c r="M412" t="n">
        <v>0</v>
      </c>
      <c r="N412" t="n">
        <v>0</v>
      </c>
      <c r="O412" t="n">
        <v>0</v>
      </c>
      <c r="P412" t="n">
        <v>0</v>
      </c>
      <c r="Q412" t="n">
        <v>0</v>
      </c>
      <c r="R412" s="2" t="inlineStr"/>
    </row>
    <row r="413" ht="15" customHeight="1">
      <c r="A413" t="inlineStr">
        <is>
          <t>A 37756-2019</t>
        </is>
      </c>
      <c r="B413" s="1" t="n">
        <v>43682</v>
      </c>
      <c r="C413" s="1" t="n">
        <v>45741</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38208-2019</t>
        </is>
      </c>
      <c r="B414" s="1" t="n">
        <v>43684</v>
      </c>
      <c r="C414" s="1" t="n">
        <v>45741</v>
      </c>
      <c r="D414" t="inlineStr">
        <is>
          <t>JÄMTLANDS LÄN</t>
        </is>
      </c>
      <c r="E414" t="inlineStr">
        <is>
          <t>KROKOM</t>
        </is>
      </c>
      <c r="G414" t="n">
        <v>6.4</v>
      </c>
      <c r="H414" t="n">
        <v>0</v>
      </c>
      <c r="I414" t="n">
        <v>0</v>
      </c>
      <c r="J414" t="n">
        <v>0</v>
      </c>
      <c r="K414" t="n">
        <v>0</v>
      </c>
      <c r="L414" t="n">
        <v>0</v>
      </c>
      <c r="M414" t="n">
        <v>0</v>
      </c>
      <c r="N414" t="n">
        <v>0</v>
      </c>
      <c r="O414" t="n">
        <v>0</v>
      </c>
      <c r="P414" t="n">
        <v>0</v>
      </c>
      <c r="Q414" t="n">
        <v>0</v>
      </c>
      <c r="R414" s="2" t="inlineStr"/>
    </row>
    <row r="415" ht="15" customHeight="1">
      <c r="A415" t="inlineStr">
        <is>
          <t>A 39353-2019</t>
        </is>
      </c>
      <c r="B415" s="1" t="n">
        <v>43690</v>
      </c>
      <c r="C415" s="1" t="n">
        <v>45741</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39587-2019</t>
        </is>
      </c>
      <c r="B416" s="1" t="n">
        <v>43691</v>
      </c>
      <c r="C416" s="1" t="n">
        <v>45741</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39956-2019</t>
        </is>
      </c>
      <c r="B417" s="1" t="n">
        <v>43692</v>
      </c>
      <c r="C417" s="1" t="n">
        <v>45741</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39943-2019</t>
        </is>
      </c>
      <c r="B418" s="1" t="n">
        <v>43692</v>
      </c>
      <c r="C418" s="1" t="n">
        <v>45741</v>
      </c>
      <c r="D418" t="inlineStr">
        <is>
          <t>JÄMTLANDS LÄN</t>
        </is>
      </c>
      <c r="E418" t="inlineStr">
        <is>
          <t>KROKOM</t>
        </is>
      </c>
      <c r="G418" t="n">
        <v>17.9</v>
      </c>
      <c r="H418" t="n">
        <v>0</v>
      </c>
      <c r="I418" t="n">
        <v>0</v>
      </c>
      <c r="J418" t="n">
        <v>0</v>
      </c>
      <c r="K418" t="n">
        <v>0</v>
      </c>
      <c r="L418" t="n">
        <v>0</v>
      </c>
      <c r="M418" t="n">
        <v>0</v>
      </c>
      <c r="N418" t="n">
        <v>0</v>
      </c>
      <c r="O418" t="n">
        <v>0</v>
      </c>
      <c r="P418" t="n">
        <v>0</v>
      </c>
      <c r="Q418" t="n">
        <v>0</v>
      </c>
      <c r="R418" s="2" t="inlineStr"/>
    </row>
    <row r="419" ht="15" customHeight="1">
      <c r="A419" t="inlineStr">
        <is>
          <t>A 40929-2019</t>
        </is>
      </c>
      <c r="B419" s="1" t="n">
        <v>43693</v>
      </c>
      <c r="C419" s="1" t="n">
        <v>45741</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40491-2019</t>
        </is>
      </c>
      <c r="B420" s="1" t="n">
        <v>43696</v>
      </c>
      <c r="C420" s="1" t="n">
        <v>45741</v>
      </c>
      <c r="D420" t="inlineStr">
        <is>
          <t>JÄMTLANDS LÄN</t>
        </is>
      </c>
      <c r="E420" t="inlineStr">
        <is>
          <t>KROKOM</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41491-2019</t>
        </is>
      </c>
      <c r="B421" s="1" t="n">
        <v>43699</v>
      </c>
      <c r="C421" s="1" t="n">
        <v>45741</v>
      </c>
      <c r="D421" t="inlineStr">
        <is>
          <t>JÄMTLANDS LÄN</t>
        </is>
      </c>
      <c r="E421" t="inlineStr">
        <is>
          <t>KROKOM</t>
        </is>
      </c>
      <c r="G421" t="n">
        <v>9.1</v>
      </c>
      <c r="H421" t="n">
        <v>0</v>
      </c>
      <c r="I421" t="n">
        <v>0</v>
      </c>
      <c r="J421" t="n">
        <v>0</v>
      </c>
      <c r="K421" t="n">
        <v>0</v>
      </c>
      <c r="L421" t="n">
        <v>0</v>
      </c>
      <c r="M421" t="n">
        <v>0</v>
      </c>
      <c r="N421" t="n">
        <v>0</v>
      </c>
      <c r="O421" t="n">
        <v>0</v>
      </c>
      <c r="P421" t="n">
        <v>0</v>
      </c>
      <c r="Q421" t="n">
        <v>0</v>
      </c>
      <c r="R421" s="2" t="inlineStr"/>
    </row>
    <row r="422" ht="15" customHeight="1">
      <c r="A422" t="inlineStr">
        <is>
          <t>A 42258-2019</t>
        </is>
      </c>
      <c r="B422" s="1" t="n">
        <v>43703</v>
      </c>
      <c r="C422" s="1" t="n">
        <v>45741</v>
      </c>
      <c r="D422" t="inlineStr">
        <is>
          <t>JÄMTLANDS LÄN</t>
        </is>
      </c>
      <c r="E422" t="inlineStr">
        <is>
          <t>KROKOM</t>
        </is>
      </c>
      <c r="G422" t="n">
        <v>4.9</v>
      </c>
      <c r="H422" t="n">
        <v>0</v>
      </c>
      <c r="I422" t="n">
        <v>0</v>
      </c>
      <c r="J422" t="n">
        <v>0</v>
      </c>
      <c r="K422" t="n">
        <v>0</v>
      </c>
      <c r="L422" t="n">
        <v>0</v>
      </c>
      <c r="M422" t="n">
        <v>0</v>
      </c>
      <c r="N422" t="n">
        <v>0</v>
      </c>
      <c r="O422" t="n">
        <v>0</v>
      </c>
      <c r="P422" t="n">
        <v>0</v>
      </c>
      <c r="Q422" t="n">
        <v>0</v>
      </c>
      <c r="R422" s="2" t="inlineStr"/>
    </row>
    <row r="423" ht="15" customHeight="1">
      <c r="A423" t="inlineStr">
        <is>
          <t>A 42237-2019</t>
        </is>
      </c>
      <c r="B423" s="1" t="n">
        <v>43703</v>
      </c>
      <c r="C423" s="1" t="n">
        <v>45741</v>
      </c>
      <c r="D423" t="inlineStr">
        <is>
          <t>JÄMTLANDS LÄN</t>
        </is>
      </c>
      <c r="E423" t="inlineStr">
        <is>
          <t>KROKOM</t>
        </is>
      </c>
      <c r="G423" t="n">
        <v>7.1</v>
      </c>
      <c r="H423" t="n">
        <v>0</v>
      </c>
      <c r="I423" t="n">
        <v>0</v>
      </c>
      <c r="J423" t="n">
        <v>0</v>
      </c>
      <c r="K423" t="n">
        <v>0</v>
      </c>
      <c r="L423" t="n">
        <v>0</v>
      </c>
      <c r="M423" t="n">
        <v>0</v>
      </c>
      <c r="N423" t="n">
        <v>0</v>
      </c>
      <c r="O423" t="n">
        <v>0</v>
      </c>
      <c r="P423" t="n">
        <v>0</v>
      </c>
      <c r="Q423" t="n">
        <v>0</v>
      </c>
      <c r="R423" s="2" t="inlineStr"/>
    </row>
    <row r="424" ht="15" customHeight="1">
      <c r="A424" t="inlineStr">
        <is>
          <t>A 42537-2019</t>
        </is>
      </c>
      <c r="B424" s="1" t="n">
        <v>43704</v>
      </c>
      <c r="C424" s="1" t="n">
        <v>45741</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42547-2019</t>
        </is>
      </c>
      <c r="B425" s="1" t="n">
        <v>43704</v>
      </c>
      <c r="C425" s="1" t="n">
        <v>45741</v>
      </c>
      <c r="D425" t="inlineStr">
        <is>
          <t>JÄMTLANDS LÄN</t>
        </is>
      </c>
      <c r="E425" t="inlineStr">
        <is>
          <t>KROKOM</t>
        </is>
      </c>
      <c r="F425" t="inlineStr">
        <is>
          <t>Övriga Aktiebolag</t>
        </is>
      </c>
      <c r="G425" t="n">
        <v>27.5</v>
      </c>
      <c r="H425" t="n">
        <v>0</v>
      </c>
      <c r="I425" t="n">
        <v>0</v>
      </c>
      <c r="J425" t="n">
        <v>0</v>
      </c>
      <c r="K425" t="n">
        <v>0</v>
      </c>
      <c r="L425" t="n">
        <v>0</v>
      </c>
      <c r="M425" t="n">
        <v>0</v>
      </c>
      <c r="N425" t="n">
        <v>0</v>
      </c>
      <c r="O425" t="n">
        <v>0</v>
      </c>
      <c r="P425" t="n">
        <v>0</v>
      </c>
      <c r="Q425" t="n">
        <v>0</v>
      </c>
      <c r="R425" s="2" t="inlineStr"/>
    </row>
    <row r="426" ht="15" customHeight="1">
      <c r="A426" t="inlineStr">
        <is>
          <t>A 42498-2019</t>
        </is>
      </c>
      <c r="B426" s="1" t="n">
        <v>43704</v>
      </c>
      <c r="C426" s="1" t="n">
        <v>45741</v>
      </c>
      <c r="D426" t="inlineStr">
        <is>
          <t>JÄMTLANDS LÄN</t>
        </is>
      </c>
      <c r="E426" t="inlineStr">
        <is>
          <t>KROKOM</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42602-2019</t>
        </is>
      </c>
      <c r="B427" s="1" t="n">
        <v>43704</v>
      </c>
      <c r="C427" s="1" t="n">
        <v>45741</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42635-2019</t>
        </is>
      </c>
      <c r="B428" s="1" t="n">
        <v>43704</v>
      </c>
      <c r="C428" s="1" t="n">
        <v>45741</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43708-2019</t>
        </is>
      </c>
      <c r="B429" s="1" t="n">
        <v>43707</v>
      </c>
      <c r="C429" s="1" t="n">
        <v>45741</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43721-2019</t>
        </is>
      </c>
      <c r="B430" s="1" t="n">
        <v>43707</v>
      </c>
      <c r="C430" s="1" t="n">
        <v>45741</v>
      </c>
      <c r="D430" t="inlineStr">
        <is>
          <t>JÄMTLANDS LÄN</t>
        </is>
      </c>
      <c r="E430" t="inlineStr">
        <is>
          <t>KROKOM</t>
        </is>
      </c>
      <c r="G430" t="n">
        <v>7.1</v>
      </c>
      <c r="H430" t="n">
        <v>0</v>
      </c>
      <c r="I430" t="n">
        <v>0</v>
      </c>
      <c r="J430" t="n">
        <v>0</v>
      </c>
      <c r="K430" t="n">
        <v>0</v>
      </c>
      <c r="L430" t="n">
        <v>0</v>
      </c>
      <c r="M430" t="n">
        <v>0</v>
      </c>
      <c r="N430" t="n">
        <v>0</v>
      </c>
      <c r="O430" t="n">
        <v>0</v>
      </c>
      <c r="P430" t="n">
        <v>0</v>
      </c>
      <c r="Q430" t="n">
        <v>0</v>
      </c>
      <c r="R430" s="2" t="inlineStr"/>
    </row>
    <row r="431" ht="15" customHeight="1">
      <c r="A431" t="inlineStr">
        <is>
          <t>A 44128-2019</t>
        </is>
      </c>
      <c r="B431" s="1" t="n">
        <v>43710</v>
      </c>
      <c r="C431" s="1" t="n">
        <v>45741</v>
      </c>
      <c r="D431" t="inlineStr">
        <is>
          <t>JÄMTLANDS LÄN</t>
        </is>
      </c>
      <c r="E431" t="inlineStr">
        <is>
          <t>KROKOM</t>
        </is>
      </c>
      <c r="G431" t="n">
        <v>8.1</v>
      </c>
      <c r="H431" t="n">
        <v>0</v>
      </c>
      <c r="I431" t="n">
        <v>0</v>
      </c>
      <c r="J431" t="n">
        <v>0</v>
      </c>
      <c r="K431" t="n">
        <v>0</v>
      </c>
      <c r="L431" t="n">
        <v>0</v>
      </c>
      <c r="M431" t="n">
        <v>0</v>
      </c>
      <c r="N431" t="n">
        <v>0</v>
      </c>
      <c r="O431" t="n">
        <v>0</v>
      </c>
      <c r="P431" t="n">
        <v>0</v>
      </c>
      <c r="Q431" t="n">
        <v>0</v>
      </c>
      <c r="R431" s="2" t="inlineStr"/>
    </row>
    <row r="432" ht="15" customHeight="1">
      <c r="A432" t="inlineStr">
        <is>
          <t>A 44190-2019</t>
        </is>
      </c>
      <c r="B432" s="1" t="n">
        <v>43710</v>
      </c>
      <c r="C432" s="1" t="n">
        <v>45741</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44653-2019</t>
        </is>
      </c>
      <c r="B433" s="1" t="n">
        <v>43712</v>
      </c>
      <c r="C433" s="1" t="n">
        <v>45741</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46288-2019</t>
        </is>
      </c>
      <c r="B434" s="1" t="n">
        <v>43717</v>
      </c>
      <c r="C434" s="1" t="n">
        <v>45741</v>
      </c>
      <c r="D434" t="inlineStr">
        <is>
          <t>JÄMTLANDS LÄN</t>
        </is>
      </c>
      <c r="E434" t="inlineStr">
        <is>
          <t>KROKOM</t>
        </is>
      </c>
      <c r="G434" t="n">
        <v>1.2</v>
      </c>
      <c r="H434" t="n">
        <v>0</v>
      </c>
      <c r="I434" t="n">
        <v>0</v>
      </c>
      <c r="J434" t="n">
        <v>0</v>
      </c>
      <c r="K434" t="n">
        <v>0</v>
      </c>
      <c r="L434" t="n">
        <v>0</v>
      </c>
      <c r="M434" t="n">
        <v>0</v>
      </c>
      <c r="N434" t="n">
        <v>0</v>
      </c>
      <c r="O434" t="n">
        <v>0</v>
      </c>
      <c r="P434" t="n">
        <v>0</v>
      </c>
      <c r="Q434" t="n">
        <v>0</v>
      </c>
      <c r="R434" s="2" t="inlineStr"/>
    </row>
    <row r="435" ht="15" customHeight="1">
      <c r="A435" t="inlineStr">
        <is>
          <t>A 47406-2019</t>
        </is>
      </c>
      <c r="B435" s="1" t="n">
        <v>43722</v>
      </c>
      <c r="C435" s="1" t="n">
        <v>45741</v>
      </c>
      <c r="D435" t="inlineStr">
        <is>
          <t>JÄMTLANDS LÄN</t>
        </is>
      </c>
      <c r="E435" t="inlineStr">
        <is>
          <t>KROKOM</t>
        </is>
      </c>
      <c r="G435" t="n">
        <v>7.4</v>
      </c>
      <c r="H435" t="n">
        <v>0</v>
      </c>
      <c r="I435" t="n">
        <v>0</v>
      </c>
      <c r="J435" t="n">
        <v>0</v>
      </c>
      <c r="K435" t="n">
        <v>0</v>
      </c>
      <c r="L435" t="n">
        <v>0</v>
      </c>
      <c r="M435" t="n">
        <v>0</v>
      </c>
      <c r="N435" t="n">
        <v>0</v>
      </c>
      <c r="O435" t="n">
        <v>0</v>
      </c>
      <c r="P435" t="n">
        <v>0</v>
      </c>
      <c r="Q435" t="n">
        <v>0</v>
      </c>
      <c r="R435" s="2" t="inlineStr"/>
    </row>
    <row r="436" ht="15" customHeight="1">
      <c r="A436" t="inlineStr">
        <is>
          <t>A 48311-2019</t>
        </is>
      </c>
      <c r="B436" s="1" t="n">
        <v>43726</v>
      </c>
      <c r="C436" s="1" t="n">
        <v>45741</v>
      </c>
      <c r="D436" t="inlineStr">
        <is>
          <t>JÄMTLANDS LÄN</t>
        </is>
      </c>
      <c r="E436" t="inlineStr">
        <is>
          <t>KROKOM</t>
        </is>
      </c>
      <c r="G436" t="n">
        <v>2.6</v>
      </c>
      <c r="H436" t="n">
        <v>0</v>
      </c>
      <c r="I436" t="n">
        <v>0</v>
      </c>
      <c r="J436" t="n">
        <v>0</v>
      </c>
      <c r="K436" t="n">
        <v>0</v>
      </c>
      <c r="L436" t="n">
        <v>0</v>
      </c>
      <c r="M436" t="n">
        <v>0</v>
      </c>
      <c r="N436" t="n">
        <v>0</v>
      </c>
      <c r="O436" t="n">
        <v>0</v>
      </c>
      <c r="P436" t="n">
        <v>0</v>
      </c>
      <c r="Q436" t="n">
        <v>0</v>
      </c>
      <c r="R436" s="2" t="inlineStr"/>
    </row>
    <row r="437" ht="15" customHeight="1">
      <c r="A437" t="inlineStr">
        <is>
          <t>A 48613-2019</t>
        </is>
      </c>
      <c r="B437" s="1" t="n">
        <v>43727</v>
      </c>
      <c r="C437" s="1" t="n">
        <v>45741</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49213-2019</t>
        </is>
      </c>
      <c r="B438" s="1" t="n">
        <v>43731</v>
      </c>
      <c r="C438" s="1" t="n">
        <v>45741</v>
      </c>
      <c r="D438" t="inlineStr">
        <is>
          <t>JÄMTLANDS LÄN</t>
        </is>
      </c>
      <c r="E438" t="inlineStr">
        <is>
          <t>KROKOM</t>
        </is>
      </c>
      <c r="G438" t="n">
        <v>3.8</v>
      </c>
      <c r="H438" t="n">
        <v>0</v>
      </c>
      <c r="I438" t="n">
        <v>0</v>
      </c>
      <c r="J438" t="n">
        <v>0</v>
      </c>
      <c r="K438" t="n">
        <v>0</v>
      </c>
      <c r="L438" t="n">
        <v>0</v>
      </c>
      <c r="M438" t="n">
        <v>0</v>
      </c>
      <c r="N438" t="n">
        <v>0</v>
      </c>
      <c r="O438" t="n">
        <v>0</v>
      </c>
      <c r="P438" t="n">
        <v>0</v>
      </c>
      <c r="Q438" t="n">
        <v>0</v>
      </c>
      <c r="R438" s="2" t="inlineStr"/>
    </row>
    <row r="439" ht="15" customHeight="1">
      <c r="A439" t="inlineStr">
        <is>
          <t>A 50104-2019</t>
        </is>
      </c>
      <c r="B439" s="1" t="n">
        <v>43731</v>
      </c>
      <c r="C439" s="1" t="n">
        <v>45741</v>
      </c>
      <c r="D439" t="inlineStr">
        <is>
          <t>JÄMTLANDS LÄN</t>
        </is>
      </c>
      <c r="E439" t="inlineStr">
        <is>
          <t>KROKOM</t>
        </is>
      </c>
      <c r="G439" t="n">
        <v>4.2</v>
      </c>
      <c r="H439" t="n">
        <v>0</v>
      </c>
      <c r="I439" t="n">
        <v>0</v>
      </c>
      <c r="J439" t="n">
        <v>0</v>
      </c>
      <c r="K439" t="n">
        <v>0</v>
      </c>
      <c r="L439" t="n">
        <v>0</v>
      </c>
      <c r="M439" t="n">
        <v>0</v>
      </c>
      <c r="N439" t="n">
        <v>0</v>
      </c>
      <c r="O439" t="n">
        <v>0</v>
      </c>
      <c r="P439" t="n">
        <v>0</v>
      </c>
      <c r="Q439" t="n">
        <v>0</v>
      </c>
      <c r="R439" s="2" t="inlineStr"/>
    </row>
    <row r="440" ht="15" customHeight="1">
      <c r="A440" t="inlineStr">
        <is>
          <t>A 50115-2019</t>
        </is>
      </c>
      <c r="B440" s="1" t="n">
        <v>43731</v>
      </c>
      <c r="C440" s="1" t="n">
        <v>45741</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50084-2019</t>
        </is>
      </c>
      <c r="B441" s="1" t="n">
        <v>43731</v>
      </c>
      <c r="C441" s="1" t="n">
        <v>45741</v>
      </c>
      <c r="D441" t="inlineStr">
        <is>
          <t>JÄMTLANDS LÄN</t>
        </is>
      </c>
      <c r="E441" t="inlineStr">
        <is>
          <t>KROKOM</t>
        </is>
      </c>
      <c r="G441" t="n">
        <v>12.5</v>
      </c>
      <c r="H441" t="n">
        <v>0</v>
      </c>
      <c r="I441" t="n">
        <v>0</v>
      </c>
      <c r="J441" t="n">
        <v>0</v>
      </c>
      <c r="K441" t="n">
        <v>0</v>
      </c>
      <c r="L441" t="n">
        <v>0</v>
      </c>
      <c r="M441" t="n">
        <v>0</v>
      </c>
      <c r="N441" t="n">
        <v>0</v>
      </c>
      <c r="O441" t="n">
        <v>0</v>
      </c>
      <c r="P441" t="n">
        <v>0</v>
      </c>
      <c r="Q441" t="n">
        <v>0</v>
      </c>
      <c r="R441" s="2" t="inlineStr"/>
    </row>
    <row r="442" ht="15" customHeight="1">
      <c r="A442" t="inlineStr">
        <is>
          <t>A 50112-2019</t>
        </is>
      </c>
      <c r="B442" s="1" t="n">
        <v>43731</v>
      </c>
      <c r="C442" s="1" t="n">
        <v>45741</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50144-2019</t>
        </is>
      </c>
      <c r="B443" s="1" t="n">
        <v>43734</v>
      </c>
      <c r="C443" s="1" t="n">
        <v>45741</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52049-2019</t>
        </is>
      </c>
      <c r="B444" s="1" t="n">
        <v>43734</v>
      </c>
      <c r="C444" s="1" t="n">
        <v>45741</v>
      </c>
      <c r="D444" t="inlineStr">
        <is>
          <t>JÄMTLANDS LÄN</t>
        </is>
      </c>
      <c r="E444" t="inlineStr">
        <is>
          <t>KROKOM</t>
        </is>
      </c>
      <c r="G444" t="n">
        <v>6.3</v>
      </c>
      <c r="H444" t="n">
        <v>0</v>
      </c>
      <c r="I444" t="n">
        <v>0</v>
      </c>
      <c r="J444" t="n">
        <v>0</v>
      </c>
      <c r="K444" t="n">
        <v>0</v>
      </c>
      <c r="L444" t="n">
        <v>0</v>
      </c>
      <c r="M444" t="n">
        <v>0</v>
      </c>
      <c r="N444" t="n">
        <v>0</v>
      </c>
      <c r="O444" t="n">
        <v>0</v>
      </c>
      <c r="P444" t="n">
        <v>0</v>
      </c>
      <c r="Q444" t="n">
        <v>0</v>
      </c>
      <c r="R444" s="2" t="inlineStr"/>
    </row>
    <row r="445" ht="15" customHeight="1">
      <c r="A445" t="inlineStr">
        <is>
          <t>A 52028-2019</t>
        </is>
      </c>
      <c r="B445" s="1" t="n">
        <v>43734</v>
      </c>
      <c r="C445" s="1" t="n">
        <v>45741</v>
      </c>
      <c r="D445" t="inlineStr">
        <is>
          <t>JÄMTLANDS LÄN</t>
        </is>
      </c>
      <c r="E445" t="inlineStr">
        <is>
          <t>KROKOM</t>
        </is>
      </c>
      <c r="F445" t="inlineStr">
        <is>
          <t>Övriga Aktiebolag</t>
        </is>
      </c>
      <c r="G445" t="n">
        <v>5.5</v>
      </c>
      <c r="H445" t="n">
        <v>0</v>
      </c>
      <c r="I445" t="n">
        <v>0</v>
      </c>
      <c r="J445" t="n">
        <v>0</v>
      </c>
      <c r="K445" t="n">
        <v>0</v>
      </c>
      <c r="L445" t="n">
        <v>0</v>
      </c>
      <c r="M445" t="n">
        <v>0</v>
      </c>
      <c r="N445" t="n">
        <v>0</v>
      </c>
      <c r="O445" t="n">
        <v>0</v>
      </c>
      <c r="P445" t="n">
        <v>0</v>
      </c>
      <c r="Q445" t="n">
        <v>0</v>
      </c>
      <c r="R445" s="2" t="inlineStr"/>
    </row>
    <row r="446" ht="15" customHeight="1">
      <c r="A446" t="inlineStr">
        <is>
          <t>A 50360-2019</t>
        </is>
      </c>
      <c r="B446" s="1" t="n">
        <v>43735</v>
      </c>
      <c r="C446" s="1" t="n">
        <v>45741</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52446-2019</t>
        </is>
      </c>
      <c r="B447" s="1" t="n">
        <v>43735</v>
      </c>
      <c r="C447" s="1" t="n">
        <v>45741</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53662-2019</t>
        </is>
      </c>
      <c r="B448" s="1" t="n">
        <v>43741</v>
      </c>
      <c r="C448" s="1" t="n">
        <v>45741</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54154-2019</t>
        </is>
      </c>
      <c r="B449" s="1" t="n">
        <v>43745</v>
      </c>
      <c r="C449" s="1" t="n">
        <v>45741</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54494-2019</t>
        </is>
      </c>
      <c r="B450" s="1" t="n">
        <v>43747</v>
      </c>
      <c r="C450" s="1" t="n">
        <v>45741</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53941-2019</t>
        </is>
      </c>
      <c r="B451" s="1" t="n">
        <v>43752</v>
      </c>
      <c r="C451" s="1" t="n">
        <v>45741</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54013-2019</t>
        </is>
      </c>
      <c r="B452" s="1" t="n">
        <v>43752</v>
      </c>
      <c r="C452" s="1" t="n">
        <v>45741</v>
      </c>
      <c r="D452" t="inlineStr">
        <is>
          <t>JÄMTLANDS LÄN</t>
        </is>
      </c>
      <c r="E452" t="inlineStr">
        <is>
          <t>KROKOM</t>
        </is>
      </c>
      <c r="F452" t="inlineStr">
        <is>
          <t>Övriga Aktiebolag</t>
        </is>
      </c>
      <c r="G452" t="n">
        <v>32.6</v>
      </c>
      <c r="H452" t="n">
        <v>0</v>
      </c>
      <c r="I452" t="n">
        <v>0</v>
      </c>
      <c r="J452" t="n">
        <v>0</v>
      </c>
      <c r="K452" t="n">
        <v>0</v>
      </c>
      <c r="L452" t="n">
        <v>0</v>
      </c>
      <c r="M452" t="n">
        <v>0</v>
      </c>
      <c r="N452" t="n">
        <v>0</v>
      </c>
      <c r="O452" t="n">
        <v>0</v>
      </c>
      <c r="P452" t="n">
        <v>0</v>
      </c>
      <c r="Q452" t="n">
        <v>0</v>
      </c>
      <c r="R452" s="2" t="inlineStr"/>
    </row>
    <row r="453" ht="15" customHeight="1">
      <c r="A453" t="inlineStr">
        <is>
          <t>A 54045-2019</t>
        </is>
      </c>
      <c r="B453" s="1" t="n">
        <v>43752</v>
      </c>
      <c r="C453" s="1" t="n">
        <v>45741</v>
      </c>
      <c r="D453" t="inlineStr">
        <is>
          <t>JÄMTLANDS LÄN</t>
        </is>
      </c>
      <c r="E453" t="inlineStr">
        <is>
          <t>KROKOM</t>
        </is>
      </c>
      <c r="F453" t="inlineStr">
        <is>
          <t>Övriga Aktiebolag</t>
        </is>
      </c>
      <c r="G453" t="n">
        <v>15.2</v>
      </c>
      <c r="H453" t="n">
        <v>0</v>
      </c>
      <c r="I453" t="n">
        <v>0</v>
      </c>
      <c r="J453" t="n">
        <v>0</v>
      </c>
      <c r="K453" t="n">
        <v>0</v>
      </c>
      <c r="L453" t="n">
        <v>0</v>
      </c>
      <c r="M453" t="n">
        <v>0</v>
      </c>
      <c r="N453" t="n">
        <v>0</v>
      </c>
      <c r="O453" t="n">
        <v>0</v>
      </c>
      <c r="P453" t="n">
        <v>0</v>
      </c>
      <c r="Q453" t="n">
        <v>0</v>
      </c>
      <c r="R453" s="2" t="inlineStr"/>
    </row>
    <row r="454" ht="15" customHeight="1">
      <c r="A454" t="inlineStr">
        <is>
          <t>A 54820-2019</t>
        </is>
      </c>
      <c r="B454" s="1" t="n">
        <v>43755</v>
      </c>
      <c r="C454" s="1" t="n">
        <v>45741</v>
      </c>
      <c r="D454" t="inlineStr">
        <is>
          <t>JÄMTLANDS LÄN</t>
        </is>
      </c>
      <c r="E454" t="inlineStr">
        <is>
          <t>KROKOM</t>
        </is>
      </c>
      <c r="G454" t="n">
        <v>5.4</v>
      </c>
      <c r="H454" t="n">
        <v>0</v>
      </c>
      <c r="I454" t="n">
        <v>0</v>
      </c>
      <c r="J454" t="n">
        <v>0</v>
      </c>
      <c r="K454" t="n">
        <v>0</v>
      </c>
      <c r="L454" t="n">
        <v>0</v>
      </c>
      <c r="M454" t="n">
        <v>0</v>
      </c>
      <c r="N454" t="n">
        <v>0</v>
      </c>
      <c r="O454" t="n">
        <v>0</v>
      </c>
      <c r="P454" t="n">
        <v>0</v>
      </c>
      <c r="Q454" t="n">
        <v>0</v>
      </c>
      <c r="R454" s="2" t="inlineStr"/>
    </row>
    <row r="455" ht="15" customHeight="1">
      <c r="A455" t="inlineStr">
        <is>
          <t>A 55013-2019</t>
        </is>
      </c>
      <c r="B455" s="1" t="n">
        <v>43755</v>
      </c>
      <c r="C455" s="1" t="n">
        <v>45741</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55804-2019</t>
        </is>
      </c>
      <c r="B456" s="1" t="n">
        <v>43759</v>
      </c>
      <c r="C456" s="1" t="n">
        <v>45741</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56672-2019</t>
        </is>
      </c>
      <c r="B457" s="1" t="n">
        <v>43759</v>
      </c>
      <c r="C457" s="1" t="n">
        <v>45741</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56321-2019</t>
        </is>
      </c>
      <c r="B458" s="1" t="n">
        <v>43762</v>
      </c>
      <c r="C458" s="1" t="n">
        <v>45741</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56397-2019</t>
        </is>
      </c>
      <c r="B459" s="1" t="n">
        <v>43762</v>
      </c>
      <c r="C459" s="1" t="n">
        <v>45741</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56389-2019</t>
        </is>
      </c>
      <c r="B460" s="1" t="n">
        <v>43762</v>
      </c>
      <c r="C460" s="1" t="n">
        <v>45741</v>
      </c>
      <c r="D460" t="inlineStr">
        <is>
          <t>JÄMTLANDS LÄN</t>
        </is>
      </c>
      <c r="E460" t="inlineStr">
        <is>
          <t>KROKOM</t>
        </is>
      </c>
      <c r="G460" t="n">
        <v>2.4</v>
      </c>
      <c r="H460" t="n">
        <v>0</v>
      </c>
      <c r="I460" t="n">
        <v>0</v>
      </c>
      <c r="J460" t="n">
        <v>0</v>
      </c>
      <c r="K460" t="n">
        <v>0</v>
      </c>
      <c r="L460" t="n">
        <v>0</v>
      </c>
      <c r="M460" t="n">
        <v>0</v>
      </c>
      <c r="N460" t="n">
        <v>0</v>
      </c>
      <c r="O460" t="n">
        <v>0</v>
      </c>
      <c r="P460" t="n">
        <v>0</v>
      </c>
      <c r="Q460" t="n">
        <v>0</v>
      </c>
      <c r="R460" s="2" t="inlineStr"/>
    </row>
    <row r="461" ht="15" customHeight="1">
      <c r="A461" t="inlineStr">
        <is>
          <t>A 56320-2019</t>
        </is>
      </c>
      <c r="B461" s="1" t="n">
        <v>43762</v>
      </c>
      <c r="C461" s="1" t="n">
        <v>45741</v>
      </c>
      <c r="D461" t="inlineStr">
        <is>
          <t>JÄMTLANDS LÄN</t>
        </is>
      </c>
      <c r="E461" t="inlineStr">
        <is>
          <t>KROKOM</t>
        </is>
      </c>
      <c r="G461" t="n">
        <v>2.3</v>
      </c>
      <c r="H461" t="n">
        <v>0</v>
      </c>
      <c r="I461" t="n">
        <v>0</v>
      </c>
      <c r="J461" t="n">
        <v>0</v>
      </c>
      <c r="K461" t="n">
        <v>0</v>
      </c>
      <c r="L461" t="n">
        <v>0</v>
      </c>
      <c r="M461" t="n">
        <v>0</v>
      </c>
      <c r="N461" t="n">
        <v>0</v>
      </c>
      <c r="O461" t="n">
        <v>0</v>
      </c>
      <c r="P461" t="n">
        <v>0</v>
      </c>
      <c r="Q461" t="n">
        <v>0</v>
      </c>
      <c r="R461" s="2" t="inlineStr"/>
    </row>
    <row r="462" ht="15" customHeight="1">
      <c r="A462" t="inlineStr">
        <is>
          <t>A 56403-2019</t>
        </is>
      </c>
      <c r="B462" s="1" t="n">
        <v>43762</v>
      </c>
      <c r="C462" s="1" t="n">
        <v>45741</v>
      </c>
      <c r="D462" t="inlineStr">
        <is>
          <t>JÄMTLANDS LÄN</t>
        </is>
      </c>
      <c r="E462" t="inlineStr">
        <is>
          <t>KROKOM</t>
        </is>
      </c>
      <c r="G462" t="n">
        <v>2.5</v>
      </c>
      <c r="H462" t="n">
        <v>0</v>
      </c>
      <c r="I462" t="n">
        <v>0</v>
      </c>
      <c r="J462" t="n">
        <v>0</v>
      </c>
      <c r="K462" t="n">
        <v>0</v>
      </c>
      <c r="L462" t="n">
        <v>0</v>
      </c>
      <c r="M462" t="n">
        <v>0</v>
      </c>
      <c r="N462" t="n">
        <v>0</v>
      </c>
      <c r="O462" t="n">
        <v>0</v>
      </c>
      <c r="P462" t="n">
        <v>0</v>
      </c>
      <c r="Q462" t="n">
        <v>0</v>
      </c>
      <c r="R462" s="2" t="inlineStr"/>
    </row>
    <row r="463" ht="15" customHeight="1">
      <c r="A463" t="inlineStr">
        <is>
          <t>A 56510-2019</t>
        </is>
      </c>
      <c r="B463" s="1" t="n">
        <v>43762</v>
      </c>
      <c r="C463" s="1" t="n">
        <v>45741</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56332-2019</t>
        </is>
      </c>
      <c r="B464" s="1" t="n">
        <v>43762</v>
      </c>
      <c r="C464" s="1" t="n">
        <v>45741</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57796-2019</t>
        </is>
      </c>
      <c r="B465" s="1" t="n">
        <v>43762</v>
      </c>
      <c r="C465" s="1" t="n">
        <v>45741</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56763-2019</t>
        </is>
      </c>
      <c r="B466" s="1" t="n">
        <v>43763</v>
      </c>
      <c r="C466" s="1" t="n">
        <v>45741</v>
      </c>
      <c r="D466" t="inlineStr">
        <is>
          <t>JÄMTLANDS LÄN</t>
        </is>
      </c>
      <c r="E466" t="inlineStr">
        <is>
          <t>KROKOM</t>
        </is>
      </c>
      <c r="F466" t="inlineStr">
        <is>
          <t>Övriga Aktiebolag</t>
        </is>
      </c>
      <c r="G466" t="n">
        <v>29.4</v>
      </c>
      <c r="H466" t="n">
        <v>0</v>
      </c>
      <c r="I466" t="n">
        <v>0</v>
      </c>
      <c r="J466" t="n">
        <v>0</v>
      </c>
      <c r="K466" t="n">
        <v>0</v>
      </c>
      <c r="L466" t="n">
        <v>0</v>
      </c>
      <c r="M466" t="n">
        <v>0</v>
      </c>
      <c r="N466" t="n">
        <v>0</v>
      </c>
      <c r="O466" t="n">
        <v>0</v>
      </c>
      <c r="P466" t="n">
        <v>0</v>
      </c>
      <c r="Q466" t="n">
        <v>0</v>
      </c>
      <c r="R466" s="2" t="inlineStr"/>
    </row>
    <row r="467" ht="15" customHeight="1">
      <c r="A467" t="inlineStr">
        <is>
          <t>A 57732-2019</t>
        </is>
      </c>
      <c r="B467" s="1" t="n">
        <v>43768</v>
      </c>
      <c r="C467" s="1" t="n">
        <v>45741</v>
      </c>
      <c r="D467" t="inlineStr">
        <is>
          <t>JÄMTLANDS LÄN</t>
        </is>
      </c>
      <c r="E467" t="inlineStr">
        <is>
          <t>KROKOM</t>
        </is>
      </c>
      <c r="G467" t="n">
        <v>4.1</v>
      </c>
      <c r="H467" t="n">
        <v>0</v>
      </c>
      <c r="I467" t="n">
        <v>0</v>
      </c>
      <c r="J467" t="n">
        <v>0</v>
      </c>
      <c r="K467" t="n">
        <v>0</v>
      </c>
      <c r="L467" t="n">
        <v>0</v>
      </c>
      <c r="M467" t="n">
        <v>0</v>
      </c>
      <c r="N467" t="n">
        <v>0</v>
      </c>
      <c r="O467" t="n">
        <v>0</v>
      </c>
      <c r="P467" t="n">
        <v>0</v>
      </c>
      <c r="Q467" t="n">
        <v>0</v>
      </c>
      <c r="R467" s="2" t="inlineStr"/>
    </row>
    <row r="468" ht="15" customHeight="1">
      <c r="A468" t="inlineStr">
        <is>
          <t>A 58235-2019</t>
        </is>
      </c>
      <c r="B468" s="1" t="n">
        <v>43770</v>
      </c>
      <c r="C468" s="1" t="n">
        <v>45741</v>
      </c>
      <c r="D468" t="inlineStr">
        <is>
          <t>JÄMTLANDS LÄN</t>
        </is>
      </c>
      <c r="E468" t="inlineStr">
        <is>
          <t>KROKOM</t>
        </is>
      </c>
      <c r="G468" t="n">
        <v>47.9</v>
      </c>
      <c r="H468" t="n">
        <v>0</v>
      </c>
      <c r="I468" t="n">
        <v>0</v>
      </c>
      <c r="J468" t="n">
        <v>0</v>
      </c>
      <c r="K468" t="n">
        <v>0</v>
      </c>
      <c r="L468" t="n">
        <v>0</v>
      </c>
      <c r="M468" t="n">
        <v>0</v>
      </c>
      <c r="N468" t="n">
        <v>0</v>
      </c>
      <c r="O468" t="n">
        <v>0</v>
      </c>
      <c r="P468" t="n">
        <v>0</v>
      </c>
      <c r="Q468" t="n">
        <v>0</v>
      </c>
      <c r="R468" s="2" t="inlineStr"/>
    </row>
    <row r="469" ht="15" customHeight="1">
      <c r="A469" t="inlineStr">
        <is>
          <t>A 58778-2019</t>
        </is>
      </c>
      <c r="B469" s="1" t="n">
        <v>43773</v>
      </c>
      <c r="C469" s="1" t="n">
        <v>45741</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59027-2019</t>
        </is>
      </c>
      <c r="B470" s="1" t="n">
        <v>43774</v>
      </c>
      <c r="C470" s="1" t="n">
        <v>45741</v>
      </c>
      <c r="D470" t="inlineStr">
        <is>
          <t>JÄMTLANDS LÄN</t>
        </is>
      </c>
      <c r="E470" t="inlineStr">
        <is>
          <t>KROKOM</t>
        </is>
      </c>
      <c r="F470" t="inlineStr">
        <is>
          <t>Övriga Aktiebolag</t>
        </is>
      </c>
      <c r="G470" t="n">
        <v>19.6</v>
      </c>
      <c r="H470" t="n">
        <v>0</v>
      </c>
      <c r="I470" t="n">
        <v>0</v>
      </c>
      <c r="J470" t="n">
        <v>0</v>
      </c>
      <c r="K470" t="n">
        <v>0</v>
      </c>
      <c r="L470" t="n">
        <v>0</v>
      </c>
      <c r="M470" t="n">
        <v>0</v>
      </c>
      <c r="N470" t="n">
        <v>0</v>
      </c>
      <c r="O470" t="n">
        <v>0</v>
      </c>
      <c r="P470" t="n">
        <v>0</v>
      </c>
      <c r="Q470" t="n">
        <v>0</v>
      </c>
      <c r="R470" s="2" t="inlineStr"/>
    </row>
    <row r="471" ht="15" customHeight="1">
      <c r="A471" t="inlineStr">
        <is>
          <t>A 59588-2019</t>
        </is>
      </c>
      <c r="B471" s="1" t="n">
        <v>43776</v>
      </c>
      <c r="C471" s="1" t="n">
        <v>45741</v>
      </c>
      <c r="D471" t="inlineStr">
        <is>
          <t>JÄMTLANDS LÄN</t>
        </is>
      </c>
      <c r="E471" t="inlineStr">
        <is>
          <t>KROKOM</t>
        </is>
      </c>
      <c r="F471" t="inlineStr">
        <is>
          <t>Övriga Aktiebolag</t>
        </is>
      </c>
      <c r="G471" t="n">
        <v>9</v>
      </c>
      <c r="H471" t="n">
        <v>0</v>
      </c>
      <c r="I471" t="n">
        <v>0</v>
      </c>
      <c r="J471" t="n">
        <v>0</v>
      </c>
      <c r="K471" t="n">
        <v>0</v>
      </c>
      <c r="L471" t="n">
        <v>0</v>
      </c>
      <c r="M471" t="n">
        <v>0</v>
      </c>
      <c r="N471" t="n">
        <v>0</v>
      </c>
      <c r="O471" t="n">
        <v>0</v>
      </c>
      <c r="P471" t="n">
        <v>0</v>
      </c>
      <c r="Q471" t="n">
        <v>0</v>
      </c>
      <c r="R471" s="2" t="inlineStr"/>
    </row>
    <row r="472" ht="15" customHeight="1">
      <c r="A472" t="inlineStr">
        <is>
          <t>A 59672-2019</t>
        </is>
      </c>
      <c r="B472" s="1" t="n">
        <v>43776</v>
      </c>
      <c r="C472" s="1" t="n">
        <v>45741</v>
      </c>
      <c r="D472" t="inlineStr">
        <is>
          <t>JÄMTLANDS LÄN</t>
        </is>
      </c>
      <c r="E472" t="inlineStr">
        <is>
          <t>KROKOM</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60867-2019</t>
        </is>
      </c>
      <c r="B473" s="1" t="n">
        <v>43781</v>
      </c>
      <c r="C473" s="1" t="n">
        <v>45741</v>
      </c>
      <c r="D473" t="inlineStr">
        <is>
          <t>JÄMTLANDS LÄN</t>
        </is>
      </c>
      <c r="E473" t="inlineStr">
        <is>
          <t>KROKOM</t>
        </is>
      </c>
      <c r="G473" t="n">
        <v>1.7</v>
      </c>
      <c r="H473" t="n">
        <v>0</v>
      </c>
      <c r="I473" t="n">
        <v>0</v>
      </c>
      <c r="J473" t="n">
        <v>0</v>
      </c>
      <c r="K473" t="n">
        <v>0</v>
      </c>
      <c r="L473" t="n">
        <v>0</v>
      </c>
      <c r="M473" t="n">
        <v>0</v>
      </c>
      <c r="N473" t="n">
        <v>0</v>
      </c>
      <c r="O473" t="n">
        <v>0</v>
      </c>
      <c r="P473" t="n">
        <v>0</v>
      </c>
      <c r="Q473" t="n">
        <v>0</v>
      </c>
      <c r="R473" s="2" t="inlineStr"/>
    </row>
    <row r="474" ht="15" customHeight="1">
      <c r="A474" t="inlineStr">
        <is>
          <t>A 61018-2019</t>
        </is>
      </c>
      <c r="B474" s="1" t="n">
        <v>43782</v>
      </c>
      <c r="C474" s="1" t="n">
        <v>45741</v>
      </c>
      <c r="D474" t="inlineStr">
        <is>
          <t>JÄMTLANDS LÄN</t>
        </is>
      </c>
      <c r="E474" t="inlineStr">
        <is>
          <t>KROKOM</t>
        </is>
      </c>
      <c r="F474" t="inlineStr">
        <is>
          <t>Övriga Aktiebolag</t>
        </is>
      </c>
      <c r="G474" t="n">
        <v>18.6</v>
      </c>
      <c r="H474" t="n">
        <v>0</v>
      </c>
      <c r="I474" t="n">
        <v>0</v>
      </c>
      <c r="J474" t="n">
        <v>0</v>
      </c>
      <c r="K474" t="n">
        <v>0</v>
      </c>
      <c r="L474" t="n">
        <v>0</v>
      </c>
      <c r="M474" t="n">
        <v>0</v>
      </c>
      <c r="N474" t="n">
        <v>0</v>
      </c>
      <c r="O474" t="n">
        <v>0</v>
      </c>
      <c r="P474" t="n">
        <v>0</v>
      </c>
      <c r="Q474" t="n">
        <v>0</v>
      </c>
      <c r="R474" s="2" t="inlineStr"/>
    </row>
    <row r="475" ht="15" customHeight="1">
      <c r="A475" t="inlineStr">
        <is>
          <t>A 61424-2019</t>
        </is>
      </c>
      <c r="B475" s="1" t="n">
        <v>43783</v>
      </c>
      <c r="C475" s="1" t="n">
        <v>45741</v>
      </c>
      <c r="D475" t="inlineStr">
        <is>
          <t>JÄMTLANDS LÄN</t>
        </is>
      </c>
      <c r="E475" t="inlineStr">
        <is>
          <t>KROKOM</t>
        </is>
      </c>
      <c r="F475" t="inlineStr">
        <is>
          <t>Övriga Aktiebolag</t>
        </is>
      </c>
      <c r="G475" t="n">
        <v>4.6</v>
      </c>
      <c r="H475" t="n">
        <v>0</v>
      </c>
      <c r="I475" t="n">
        <v>0</v>
      </c>
      <c r="J475" t="n">
        <v>0</v>
      </c>
      <c r="K475" t="n">
        <v>0</v>
      </c>
      <c r="L475" t="n">
        <v>0</v>
      </c>
      <c r="M475" t="n">
        <v>0</v>
      </c>
      <c r="N475" t="n">
        <v>0</v>
      </c>
      <c r="O475" t="n">
        <v>0</v>
      </c>
      <c r="P475" t="n">
        <v>0</v>
      </c>
      <c r="Q475" t="n">
        <v>0</v>
      </c>
      <c r="R475" s="2" t="inlineStr"/>
    </row>
    <row r="476" ht="15" customHeight="1">
      <c r="A476" t="inlineStr">
        <is>
          <t>A 61472-2019</t>
        </is>
      </c>
      <c r="B476" s="1" t="n">
        <v>43783</v>
      </c>
      <c r="C476" s="1" t="n">
        <v>45741</v>
      </c>
      <c r="D476" t="inlineStr">
        <is>
          <t>JÄMTLANDS LÄN</t>
        </is>
      </c>
      <c r="E476" t="inlineStr">
        <is>
          <t>KROKOM</t>
        </is>
      </c>
      <c r="G476" t="n">
        <v>13.8</v>
      </c>
      <c r="H476" t="n">
        <v>0</v>
      </c>
      <c r="I476" t="n">
        <v>0</v>
      </c>
      <c r="J476" t="n">
        <v>0</v>
      </c>
      <c r="K476" t="n">
        <v>0</v>
      </c>
      <c r="L476" t="n">
        <v>0</v>
      </c>
      <c r="M476" t="n">
        <v>0</v>
      </c>
      <c r="N476" t="n">
        <v>0</v>
      </c>
      <c r="O476" t="n">
        <v>0</v>
      </c>
      <c r="P476" t="n">
        <v>0</v>
      </c>
      <c r="Q476" t="n">
        <v>0</v>
      </c>
      <c r="R476" s="2" t="inlineStr"/>
    </row>
    <row r="477" ht="15" customHeight="1">
      <c r="A477" t="inlineStr">
        <is>
          <t>A 62400-2019</t>
        </is>
      </c>
      <c r="B477" s="1" t="n">
        <v>43783</v>
      </c>
      <c r="C477" s="1" t="n">
        <v>45741</v>
      </c>
      <c r="D477" t="inlineStr">
        <is>
          <t>JÄMTLANDS LÄN</t>
        </is>
      </c>
      <c r="E477" t="inlineStr">
        <is>
          <t>KROKOM</t>
        </is>
      </c>
      <c r="G477" t="n">
        <v>6.4</v>
      </c>
      <c r="H477" t="n">
        <v>0</v>
      </c>
      <c r="I477" t="n">
        <v>0</v>
      </c>
      <c r="J477" t="n">
        <v>0</v>
      </c>
      <c r="K477" t="n">
        <v>0</v>
      </c>
      <c r="L477" t="n">
        <v>0</v>
      </c>
      <c r="M477" t="n">
        <v>0</v>
      </c>
      <c r="N477" t="n">
        <v>0</v>
      </c>
      <c r="O477" t="n">
        <v>0</v>
      </c>
      <c r="P477" t="n">
        <v>0</v>
      </c>
      <c r="Q477" t="n">
        <v>0</v>
      </c>
      <c r="R477" s="2" t="inlineStr"/>
    </row>
    <row r="478" ht="15" customHeight="1">
      <c r="A478" t="inlineStr">
        <is>
          <t>A 62927-2019</t>
        </is>
      </c>
      <c r="B478" s="1" t="n">
        <v>43784</v>
      </c>
      <c r="C478" s="1" t="n">
        <v>45741</v>
      </c>
      <c r="D478" t="inlineStr">
        <is>
          <t>JÄMTLANDS LÄN</t>
        </is>
      </c>
      <c r="E478" t="inlineStr">
        <is>
          <t>KROKOM</t>
        </is>
      </c>
      <c r="G478" t="n">
        <v>9</v>
      </c>
      <c r="H478" t="n">
        <v>0</v>
      </c>
      <c r="I478" t="n">
        <v>0</v>
      </c>
      <c r="J478" t="n">
        <v>0</v>
      </c>
      <c r="K478" t="n">
        <v>0</v>
      </c>
      <c r="L478" t="n">
        <v>0</v>
      </c>
      <c r="M478" t="n">
        <v>0</v>
      </c>
      <c r="N478" t="n">
        <v>0</v>
      </c>
      <c r="O478" t="n">
        <v>0</v>
      </c>
      <c r="P478" t="n">
        <v>0</v>
      </c>
      <c r="Q478" t="n">
        <v>0</v>
      </c>
      <c r="R478" s="2" t="inlineStr"/>
    </row>
    <row r="479" ht="15" customHeight="1">
      <c r="A479" t="inlineStr">
        <is>
          <t>A 62056-2019</t>
        </is>
      </c>
      <c r="B479" s="1" t="n">
        <v>43787</v>
      </c>
      <c r="C479" s="1" t="n">
        <v>45741</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62110-2019</t>
        </is>
      </c>
      <c r="B480" s="1" t="n">
        <v>43787</v>
      </c>
      <c r="C480" s="1" t="n">
        <v>45741</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62194-2019</t>
        </is>
      </c>
      <c r="B481" s="1" t="n">
        <v>43787</v>
      </c>
      <c r="C481" s="1" t="n">
        <v>45741</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62187-2019</t>
        </is>
      </c>
      <c r="B482" s="1" t="n">
        <v>43787</v>
      </c>
      <c r="C482" s="1" t="n">
        <v>45741</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62656-2019</t>
        </is>
      </c>
      <c r="B483" s="1" t="n">
        <v>43789</v>
      </c>
      <c r="C483" s="1" t="n">
        <v>45741</v>
      </c>
      <c r="D483" t="inlineStr">
        <is>
          <t>JÄMTLANDS LÄN</t>
        </is>
      </c>
      <c r="E483" t="inlineStr">
        <is>
          <t>KROKOM</t>
        </is>
      </c>
      <c r="F483" t="inlineStr">
        <is>
          <t>Övriga Aktiebolag</t>
        </is>
      </c>
      <c r="G483" t="n">
        <v>58.5</v>
      </c>
      <c r="H483" t="n">
        <v>0</v>
      </c>
      <c r="I483" t="n">
        <v>0</v>
      </c>
      <c r="J483" t="n">
        <v>0</v>
      </c>
      <c r="K483" t="n">
        <v>0</v>
      </c>
      <c r="L483" t="n">
        <v>0</v>
      </c>
      <c r="M483" t="n">
        <v>0</v>
      </c>
      <c r="N483" t="n">
        <v>0</v>
      </c>
      <c r="O483" t="n">
        <v>0</v>
      </c>
      <c r="P483" t="n">
        <v>0</v>
      </c>
      <c r="Q483" t="n">
        <v>0</v>
      </c>
      <c r="R483" s="2" t="inlineStr"/>
    </row>
    <row r="484" ht="15" customHeight="1">
      <c r="A484" t="inlineStr">
        <is>
          <t>A 62568-2019</t>
        </is>
      </c>
      <c r="B484" s="1" t="n">
        <v>43789</v>
      </c>
      <c r="C484" s="1" t="n">
        <v>45741</v>
      </c>
      <c r="D484" t="inlineStr">
        <is>
          <t>JÄMTLANDS LÄN</t>
        </is>
      </c>
      <c r="E484" t="inlineStr">
        <is>
          <t>KROKOM</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62864-2019</t>
        </is>
      </c>
      <c r="B485" s="1" t="n">
        <v>43790</v>
      </c>
      <c r="C485" s="1" t="n">
        <v>45741</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63987-2019</t>
        </is>
      </c>
      <c r="B486" s="1" t="n">
        <v>43791</v>
      </c>
      <c r="C486" s="1" t="n">
        <v>45741</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63338-2019</t>
        </is>
      </c>
      <c r="B487" s="1" t="n">
        <v>43794</v>
      </c>
      <c r="C487" s="1" t="n">
        <v>45741</v>
      </c>
      <c r="D487" t="inlineStr">
        <is>
          <t>JÄMTLANDS LÄN</t>
        </is>
      </c>
      <c r="E487" t="inlineStr">
        <is>
          <t>KROKOM</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63345-2019</t>
        </is>
      </c>
      <c r="B488" s="1" t="n">
        <v>43794</v>
      </c>
      <c r="C488" s="1" t="n">
        <v>45741</v>
      </c>
      <c r="D488" t="inlineStr">
        <is>
          <t>JÄMTLANDS LÄN</t>
        </is>
      </c>
      <c r="E488" t="inlineStr">
        <is>
          <t>KROKOM</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65065-2019</t>
        </is>
      </c>
      <c r="B489" s="1" t="n">
        <v>43801</v>
      </c>
      <c r="C489" s="1" t="n">
        <v>45741</v>
      </c>
      <c r="D489" t="inlineStr">
        <is>
          <t>JÄMTLANDS LÄN</t>
        </is>
      </c>
      <c r="E489" t="inlineStr">
        <is>
          <t>KROKOM</t>
        </is>
      </c>
      <c r="F489" t="inlineStr">
        <is>
          <t>Övriga Aktiebolag</t>
        </is>
      </c>
      <c r="G489" t="n">
        <v>30.7</v>
      </c>
      <c r="H489" t="n">
        <v>0</v>
      </c>
      <c r="I489" t="n">
        <v>0</v>
      </c>
      <c r="J489" t="n">
        <v>0</v>
      </c>
      <c r="K489" t="n">
        <v>0</v>
      </c>
      <c r="L489" t="n">
        <v>0</v>
      </c>
      <c r="M489" t="n">
        <v>0</v>
      </c>
      <c r="N489" t="n">
        <v>0</v>
      </c>
      <c r="O489" t="n">
        <v>0</v>
      </c>
      <c r="P489" t="n">
        <v>0</v>
      </c>
      <c r="Q489" t="n">
        <v>0</v>
      </c>
      <c r="R489" s="2" t="inlineStr"/>
    </row>
    <row r="490" ht="15" customHeight="1">
      <c r="A490" t="inlineStr">
        <is>
          <t>A 65323-2019</t>
        </is>
      </c>
      <c r="B490" s="1" t="n">
        <v>43802</v>
      </c>
      <c r="C490" s="1" t="n">
        <v>45741</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65322-2019</t>
        </is>
      </c>
      <c r="B491" s="1" t="n">
        <v>43802</v>
      </c>
      <c r="C491" s="1" t="n">
        <v>45741</v>
      </c>
      <c r="D491" t="inlineStr">
        <is>
          <t>JÄMTLANDS LÄN</t>
        </is>
      </c>
      <c r="E491" t="inlineStr">
        <is>
          <t>KROKOM</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65786-2019</t>
        </is>
      </c>
      <c r="B492" s="1" t="n">
        <v>43804</v>
      </c>
      <c r="C492" s="1" t="n">
        <v>45741</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65780-2019</t>
        </is>
      </c>
      <c r="B493" s="1" t="n">
        <v>43804</v>
      </c>
      <c r="C493" s="1" t="n">
        <v>45741</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66051-2019</t>
        </is>
      </c>
      <c r="B494" s="1" t="n">
        <v>43805</v>
      </c>
      <c r="C494" s="1" t="n">
        <v>45741</v>
      </c>
      <c r="D494" t="inlineStr">
        <is>
          <t>JÄMTLANDS LÄN</t>
        </is>
      </c>
      <c r="E494" t="inlineStr">
        <is>
          <t>KROKOM</t>
        </is>
      </c>
      <c r="G494" t="n">
        <v>12.1</v>
      </c>
      <c r="H494" t="n">
        <v>0</v>
      </c>
      <c r="I494" t="n">
        <v>0</v>
      </c>
      <c r="J494" t="n">
        <v>0</v>
      </c>
      <c r="K494" t="n">
        <v>0</v>
      </c>
      <c r="L494" t="n">
        <v>0</v>
      </c>
      <c r="M494" t="n">
        <v>0</v>
      </c>
      <c r="N494" t="n">
        <v>0</v>
      </c>
      <c r="O494" t="n">
        <v>0</v>
      </c>
      <c r="P494" t="n">
        <v>0</v>
      </c>
      <c r="Q494" t="n">
        <v>0</v>
      </c>
      <c r="R494" s="2" t="inlineStr"/>
    </row>
    <row r="495" ht="15" customHeight="1">
      <c r="A495" t="inlineStr">
        <is>
          <t>A 66444-2019</t>
        </is>
      </c>
      <c r="B495" s="1" t="n">
        <v>43809</v>
      </c>
      <c r="C495" s="1" t="n">
        <v>45741</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67323-2019</t>
        </is>
      </c>
      <c r="B496" s="1" t="n">
        <v>43810</v>
      </c>
      <c r="C496" s="1" t="n">
        <v>45741</v>
      </c>
      <c r="D496" t="inlineStr">
        <is>
          <t>JÄMTLANDS LÄN</t>
        </is>
      </c>
      <c r="E496" t="inlineStr">
        <is>
          <t>KROKOM</t>
        </is>
      </c>
      <c r="G496" t="n">
        <v>4.3</v>
      </c>
      <c r="H496" t="n">
        <v>0</v>
      </c>
      <c r="I496" t="n">
        <v>0</v>
      </c>
      <c r="J496" t="n">
        <v>0</v>
      </c>
      <c r="K496" t="n">
        <v>0</v>
      </c>
      <c r="L496" t="n">
        <v>0</v>
      </c>
      <c r="M496" t="n">
        <v>0</v>
      </c>
      <c r="N496" t="n">
        <v>0</v>
      </c>
      <c r="O496" t="n">
        <v>0</v>
      </c>
      <c r="P496" t="n">
        <v>0</v>
      </c>
      <c r="Q496" t="n">
        <v>0</v>
      </c>
      <c r="R496" s="2" t="inlineStr"/>
    </row>
    <row r="497" ht="15" customHeight="1">
      <c r="A497" t="inlineStr">
        <is>
          <t>A 67098-2019</t>
        </is>
      </c>
      <c r="B497" s="1" t="n">
        <v>43811</v>
      </c>
      <c r="C497" s="1" t="n">
        <v>45741</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67102-2019</t>
        </is>
      </c>
      <c r="B498" s="1" t="n">
        <v>43811</v>
      </c>
      <c r="C498" s="1" t="n">
        <v>45741</v>
      </c>
      <c r="D498" t="inlineStr">
        <is>
          <t>JÄMTLANDS LÄN</t>
        </is>
      </c>
      <c r="E498" t="inlineStr">
        <is>
          <t>KROKOM</t>
        </is>
      </c>
      <c r="F498" t="inlineStr">
        <is>
          <t>Övriga Aktiebolag</t>
        </is>
      </c>
      <c r="G498" t="n">
        <v>0.5</v>
      </c>
      <c r="H498" t="n">
        <v>0</v>
      </c>
      <c r="I498" t="n">
        <v>0</v>
      </c>
      <c r="J498" t="n">
        <v>0</v>
      </c>
      <c r="K498" t="n">
        <v>0</v>
      </c>
      <c r="L498" t="n">
        <v>0</v>
      </c>
      <c r="M498" t="n">
        <v>0</v>
      </c>
      <c r="N498" t="n">
        <v>0</v>
      </c>
      <c r="O498" t="n">
        <v>0</v>
      </c>
      <c r="P498" t="n">
        <v>0</v>
      </c>
      <c r="Q498" t="n">
        <v>0</v>
      </c>
      <c r="R498" s="2" t="inlineStr"/>
    </row>
    <row r="499" ht="15" customHeight="1">
      <c r="A499" t="inlineStr">
        <is>
          <t>A 67071-2019</t>
        </is>
      </c>
      <c r="B499" s="1" t="n">
        <v>43811</v>
      </c>
      <c r="C499" s="1" t="n">
        <v>45741</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67081-2019</t>
        </is>
      </c>
      <c r="B500" s="1" t="n">
        <v>43811</v>
      </c>
      <c r="C500" s="1" t="n">
        <v>45741</v>
      </c>
      <c r="D500" t="inlineStr">
        <is>
          <t>JÄMTLANDS LÄN</t>
        </is>
      </c>
      <c r="E500" t="inlineStr">
        <is>
          <t>KROKOM</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68480-2019</t>
        </is>
      </c>
      <c r="B501" s="1" t="n">
        <v>43811</v>
      </c>
      <c r="C501" s="1" t="n">
        <v>45741</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68081-2019</t>
        </is>
      </c>
      <c r="B502" s="1" t="n">
        <v>43816</v>
      </c>
      <c r="C502" s="1" t="n">
        <v>45741</v>
      </c>
      <c r="D502" t="inlineStr">
        <is>
          <t>JÄMTLANDS LÄN</t>
        </is>
      </c>
      <c r="E502" t="inlineStr">
        <is>
          <t>KROKOM</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908-2020</t>
        </is>
      </c>
      <c r="B503" s="1" t="n">
        <v>43818</v>
      </c>
      <c r="C503" s="1" t="n">
        <v>45741</v>
      </c>
      <c r="D503" t="inlineStr">
        <is>
          <t>JÄMTLANDS LÄN</t>
        </is>
      </c>
      <c r="E503" t="inlineStr">
        <is>
          <t>KROKOM</t>
        </is>
      </c>
      <c r="G503" t="n">
        <v>5.8</v>
      </c>
      <c r="H503" t="n">
        <v>0</v>
      </c>
      <c r="I503" t="n">
        <v>0</v>
      </c>
      <c r="J503" t="n">
        <v>0</v>
      </c>
      <c r="K503" t="n">
        <v>0</v>
      </c>
      <c r="L503" t="n">
        <v>0</v>
      </c>
      <c r="M503" t="n">
        <v>0</v>
      </c>
      <c r="N503" t="n">
        <v>0</v>
      </c>
      <c r="O503" t="n">
        <v>0</v>
      </c>
      <c r="P503" t="n">
        <v>0</v>
      </c>
      <c r="Q503" t="n">
        <v>0</v>
      </c>
      <c r="R503" s="2" t="inlineStr"/>
    </row>
    <row r="504" ht="15" customHeight="1">
      <c r="A504" t="inlineStr">
        <is>
          <t>A 911-2020</t>
        </is>
      </c>
      <c r="B504" s="1" t="n">
        <v>43818</v>
      </c>
      <c r="C504" s="1" t="n">
        <v>45741</v>
      </c>
      <c r="D504" t="inlineStr">
        <is>
          <t>JÄMTLANDS LÄN</t>
        </is>
      </c>
      <c r="E504" t="inlineStr">
        <is>
          <t>KROKOM</t>
        </is>
      </c>
      <c r="G504" t="n">
        <v>1</v>
      </c>
      <c r="H504" t="n">
        <v>0</v>
      </c>
      <c r="I504" t="n">
        <v>0</v>
      </c>
      <c r="J504" t="n">
        <v>0</v>
      </c>
      <c r="K504" t="n">
        <v>0</v>
      </c>
      <c r="L504" t="n">
        <v>0</v>
      </c>
      <c r="M504" t="n">
        <v>0</v>
      </c>
      <c r="N504" t="n">
        <v>0</v>
      </c>
      <c r="O504" t="n">
        <v>0</v>
      </c>
      <c r="P504" t="n">
        <v>0</v>
      </c>
      <c r="Q504" t="n">
        <v>0</v>
      </c>
      <c r="R504" s="2" t="inlineStr"/>
    </row>
    <row r="505" ht="15" customHeight="1">
      <c r="A505" t="inlineStr">
        <is>
          <t>A 69010-2019</t>
        </is>
      </c>
      <c r="B505" s="1" t="n">
        <v>43826</v>
      </c>
      <c r="C505" s="1" t="n">
        <v>45741</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68996-2019</t>
        </is>
      </c>
      <c r="B506" s="1" t="n">
        <v>43826</v>
      </c>
      <c r="C506" s="1" t="n">
        <v>45741</v>
      </c>
      <c r="D506" t="inlineStr">
        <is>
          <t>JÄMTLANDS LÄN</t>
        </is>
      </c>
      <c r="E506" t="inlineStr">
        <is>
          <t>KROKOM</t>
        </is>
      </c>
      <c r="G506" t="n">
        <v>5</v>
      </c>
      <c r="H506" t="n">
        <v>0</v>
      </c>
      <c r="I506" t="n">
        <v>0</v>
      </c>
      <c r="J506" t="n">
        <v>0</v>
      </c>
      <c r="K506" t="n">
        <v>0</v>
      </c>
      <c r="L506" t="n">
        <v>0</v>
      </c>
      <c r="M506" t="n">
        <v>0</v>
      </c>
      <c r="N506" t="n">
        <v>0</v>
      </c>
      <c r="O506" t="n">
        <v>0</v>
      </c>
      <c r="P506" t="n">
        <v>0</v>
      </c>
      <c r="Q506" t="n">
        <v>0</v>
      </c>
      <c r="R506" s="2" t="inlineStr"/>
    </row>
    <row r="507" ht="15" customHeight="1">
      <c r="A507" t="inlineStr">
        <is>
          <t>A 12-2020</t>
        </is>
      </c>
      <c r="B507" s="1" t="n">
        <v>43831</v>
      </c>
      <c r="C507" s="1" t="n">
        <v>45741</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327-2020</t>
        </is>
      </c>
      <c r="B508" s="1" t="n">
        <v>43837</v>
      </c>
      <c r="C508" s="1" t="n">
        <v>45741</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735-2020</t>
        </is>
      </c>
      <c r="B509" s="1" t="n">
        <v>43838</v>
      </c>
      <c r="C509" s="1" t="n">
        <v>45741</v>
      </c>
      <c r="D509" t="inlineStr">
        <is>
          <t>JÄMTLANDS LÄN</t>
        </is>
      </c>
      <c r="E509" t="inlineStr">
        <is>
          <t>KROKOM</t>
        </is>
      </c>
      <c r="G509" t="n">
        <v>4.5</v>
      </c>
      <c r="H509" t="n">
        <v>0</v>
      </c>
      <c r="I509" t="n">
        <v>0</v>
      </c>
      <c r="J509" t="n">
        <v>0</v>
      </c>
      <c r="K509" t="n">
        <v>0</v>
      </c>
      <c r="L509" t="n">
        <v>0</v>
      </c>
      <c r="M509" t="n">
        <v>0</v>
      </c>
      <c r="N509" t="n">
        <v>0</v>
      </c>
      <c r="O509" t="n">
        <v>0</v>
      </c>
      <c r="P509" t="n">
        <v>0</v>
      </c>
      <c r="Q509" t="n">
        <v>0</v>
      </c>
      <c r="R509" s="2" t="inlineStr"/>
    </row>
    <row r="510" ht="15" customHeight="1">
      <c r="A510" t="inlineStr">
        <is>
          <t>A 4599-2020</t>
        </is>
      </c>
      <c r="B510" s="1" t="n">
        <v>43858</v>
      </c>
      <c r="C510" s="1" t="n">
        <v>45741</v>
      </c>
      <c r="D510" t="inlineStr">
        <is>
          <t>JÄMTLANDS LÄN</t>
        </is>
      </c>
      <c r="E510" t="inlineStr">
        <is>
          <t>KROKOM</t>
        </is>
      </c>
      <c r="G510" t="n">
        <v>32.1</v>
      </c>
      <c r="H510" t="n">
        <v>0</v>
      </c>
      <c r="I510" t="n">
        <v>0</v>
      </c>
      <c r="J510" t="n">
        <v>0</v>
      </c>
      <c r="K510" t="n">
        <v>0</v>
      </c>
      <c r="L510" t="n">
        <v>0</v>
      </c>
      <c r="M510" t="n">
        <v>0</v>
      </c>
      <c r="N510" t="n">
        <v>0</v>
      </c>
      <c r="O510" t="n">
        <v>0</v>
      </c>
      <c r="P510" t="n">
        <v>0</v>
      </c>
      <c r="Q510" t="n">
        <v>0</v>
      </c>
      <c r="R510" s="2" t="inlineStr"/>
    </row>
    <row r="511" ht="15" customHeight="1">
      <c r="A511" t="inlineStr">
        <is>
          <t>A 4762-2020</t>
        </is>
      </c>
      <c r="B511" s="1" t="n">
        <v>43859</v>
      </c>
      <c r="C511" s="1" t="n">
        <v>45741</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5337-2020</t>
        </is>
      </c>
      <c r="B512" s="1" t="n">
        <v>43860</v>
      </c>
      <c r="C512" s="1" t="n">
        <v>45741</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8110-2020</t>
        </is>
      </c>
      <c r="B513" s="1" t="n">
        <v>43874</v>
      </c>
      <c r="C513" s="1" t="n">
        <v>45741</v>
      </c>
      <c r="D513" t="inlineStr">
        <is>
          <t>JÄMTLANDS LÄN</t>
        </is>
      </c>
      <c r="E513" t="inlineStr">
        <is>
          <t>KROKOM</t>
        </is>
      </c>
      <c r="G513" t="n">
        <v>3</v>
      </c>
      <c r="H513" t="n">
        <v>0</v>
      </c>
      <c r="I513" t="n">
        <v>0</v>
      </c>
      <c r="J513" t="n">
        <v>0</v>
      </c>
      <c r="K513" t="n">
        <v>0</v>
      </c>
      <c r="L513" t="n">
        <v>0</v>
      </c>
      <c r="M513" t="n">
        <v>0</v>
      </c>
      <c r="N513" t="n">
        <v>0</v>
      </c>
      <c r="O513" t="n">
        <v>0</v>
      </c>
      <c r="P513" t="n">
        <v>0</v>
      </c>
      <c r="Q513" t="n">
        <v>0</v>
      </c>
      <c r="R513" s="2" t="inlineStr"/>
    </row>
    <row r="514" ht="15" customHeight="1">
      <c r="A514" t="inlineStr">
        <is>
          <t>A 8380-2020</t>
        </is>
      </c>
      <c r="B514" s="1" t="n">
        <v>43874</v>
      </c>
      <c r="C514" s="1" t="n">
        <v>45741</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9049-2020</t>
        </is>
      </c>
      <c r="B515" s="1" t="n">
        <v>43879</v>
      </c>
      <c r="C515" s="1" t="n">
        <v>45741</v>
      </c>
      <c r="D515" t="inlineStr">
        <is>
          <t>JÄMTLANDS LÄN</t>
        </is>
      </c>
      <c r="E515" t="inlineStr">
        <is>
          <t>KROKOM</t>
        </is>
      </c>
      <c r="G515" t="n">
        <v>9.5</v>
      </c>
      <c r="H515" t="n">
        <v>0</v>
      </c>
      <c r="I515" t="n">
        <v>0</v>
      </c>
      <c r="J515" t="n">
        <v>0</v>
      </c>
      <c r="K515" t="n">
        <v>0</v>
      </c>
      <c r="L515" t="n">
        <v>0</v>
      </c>
      <c r="M515" t="n">
        <v>0</v>
      </c>
      <c r="N515" t="n">
        <v>0</v>
      </c>
      <c r="O515" t="n">
        <v>0</v>
      </c>
      <c r="P515" t="n">
        <v>0</v>
      </c>
      <c r="Q515" t="n">
        <v>0</v>
      </c>
      <c r="R515" s="2" t="inlineStr"/>
    </row>
    <row r="516" ht="15" customHeight="1">
      <c r="A516" t="inlineStr">
        <is>
          <t>A 9412-2020</t>
        </is>
      </c>
      <c r="B516" s="1" t="n">
        <v>43880</v>
      </c>
      <c r="C516" s="1" t="n">
        <v>45741</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10206-2020</t>
        </is>
      </c>
      <c r="B517" s="1" t="n">
        <v>43885</v>
      </c>
      <c r="C517" s="1" t="n">
        <v>45741</v>
      </c>
      <c r="D517" t="inlineStr">
        <is>
          <t>JÄMTLANDS LÄN</t>
        </is>
      </c>
      <c r="E517" t="inlineStr">
        <is>
          <t>KROKOM</t>
        </is>
      </c>
      <c r="G517" t="n">
        <v>5.4</v>
      </c>
      <c r="H517" t="n">
        <v>0</v>
      </c>
      <c r="I517" t="n">
        <v>0</v>
      </c>
      <c r="J517" t="n">
        <v>0</v>
      </c>
      <c r="K517" t="n">
        <v>0</v>
      </c>
      <c r="L517" t="n">
        <v>0</v>
      </c>
      <c r="M517" t="n">
        <v>0</v>
      </c>
      <c r="N517" t="n">
        <v>0</v>
      </c>
      <c r="O517" t="n">
        <v>0</v>
      </c>
      <c r="P517" t="n">
        <v>0</v>
      </c>
      <c r="Q517" t="n">
        <v>0</v>
      </c>
      <c r="R517" s="2" t="inlineStr"/>
    </row>
    <row r="518" ht="15" customHeight="1">
      <c r="A518" t="inlineStr">
        <is>
          <t>A 10180-2020</t>
        </is>
      </c>
      <c r="B518" s="1" t="n">
        <v>43887</v>
      </c>
      <c r="C518" s="1" t="n">
        <v>45741</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11021-2020</t>
        </is>
      </c>
      <c r="B519" s="1" t="n">
        <v>43889</v>
      </c>
      <c r="C519" s="1" t="n">
        <v>45741</v>
      </c>
      <c r="D519" t="inlineStr">
        <is>
          <t>JÄMTLANDS LÄN</t>
        </is>
      </c>
      <c r="E519" t="inlineStr">
        <is>
          <t>KROKOM</t>
        </is>
      </c>
      <c r="G519" t="n">
        <v>14.3</v>
      </c>
      <c r="H519" t="n">
        <v>0</v>
      </c>
      <c r="I519" t="n">
        <v>0</v>
      </c>
      <c r="J519" t="n">
        <v>0</v>
      </c>
      <c r="K519" t="n">
        <v>0</v>
      </c>
      <c r="L519" t="n">
        <v>0</v>
      </c>
      <c r="M519" t="n">
        <v>0</v>
      </c>
      <c r="N519" t="n">
        <v>0</v>
      </c>
      <c r="O519" t="n">
        <v>0</v>
      </c>
      <c r="P519" t="n">
        <v>0</v>
      </c>
      <c r="Q519" t="n">
        <v>0</v>
      </c>
      <c r="R519" s="2" t="inlineStr"/>
    </row>
    <row r="520" ht="15" customHeight="1">
      <c r="A520" t="inlineStr">
        <is>
          <t>A 11500-2020</t>
        </is>
      </c>
      <c r="B520" s="1" t="n">
        <v>43893</v>
      </c>
      <c r="C520" s="1" t="n">
        <v>45741</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11487-2020</t>
        </is>
      </c>
      <c r="B521" s="1" t="n">
        <v>43893</v>
      </c>
      <c r="C521" s="1" t="n">
        <v>45741</v>
      </c>
      <c r="D521" t="inlineStr">
        <is>
          <t>JÄMTLANDS LÄN</t>
        </is>
      </c>
      <c r="E521" t="inlineStr">
        <is>
          <t>KROKOM</t>
        </is>
      </c>
      <c r="G521" t="n">
        <v>2.4</v>
      </c>
      <c r="H521" t="n">
        <v>0</v>
      </c>
      <c r="I521" t="n">
        <v>0</v>
      </c>
      <c r="J521" t="n">
        <v>0</v>
      </c>
      <c r="K521" t="n">
        <v>0</v>
      </c>
      <c r="L521" t="n">
        <v>0</v>
      </c>
      <c r="M521" t="n">
        <v>0</v>
      </c>
      <c r="N521" t="n">
        <v>0</v>
      </c>
      <c r="O521" t="n">
        <v>0</v>
      </c>
      <c r="P521" t="n">
        <v>0</v>
      </c>
      <c r="Q521" t="n">
        <v>0</v>
      </c>
      <c r="R521" s="2" t="inlineStr"/>
    </row>
    <row r="522" ht="15" customHeight="1">
      <c r="A522" t="inlineStr">
        <is>
          <t>A 13367-2020</t>
        </is>
      </c>
      <c r="B522" s="1" t="n">
        <v>43894</v>
      </c>
      <c r="C522" s="1" t="n">
        <v>45741</v>
      </c>
      <c r="D522" t="inlineStr">
        <is>
          <t>JÄMTLANDS LÄN</t>
        </is>
      </c>
      <c r="E522" t="inlineStr">
        <is>
          <t>KROKOM</t>
        </is>
      </c>
      <c r="G522" t="n">
        <v>3</v>
      </c>
      <c r="H522" t="n">
        <v>0</v>
      </c>
      <c r="I522" t="n">
        <v>0</v>
      </c>
      <c r="J522" t="n">
        <v>0</v>
      </c>
      <c r="K522" t="n">
        <v>0</v>
      </c>
      <c r="L522" t="n">
        <v>0</v>
      </c>
      <c r="M522" t="n">
        <v>0</v>
      </c>
      <c r="N522" t="n">
        <v>0</v>
      </c>
      <c r="O522" t="n">
        <v>0</v>
      </c>
      <c r="P522" t="n">
        <v>0</v>
      </c>
      <c r="Q522" t="n">
        <v>0</v>
      </c>
      <c r="R522" s="2" t="inlineStr"/>
    </row>
    <row r="523" ht="15" customHeight="1">
      <c r="A523" t="inlineStr">
        <is>
          <t>A 12914-2020</t>
        </is>
      </c>
      <c r="B523" s="1" t="n">
        <v>43900</v>
      </c>
      <c r="C523" s="1" t="n">
        <v>45741</v>
      </c>
      <c r="D523" t="inlineStr">
        <is>
          <t>JÄMTLANDS LÄN</t>
        </is>
      </c>
      <c r="E523" t="inlineStr">
        <is>
          <t>KROKOM</t>
        </is>
      </c>
      <c r="G523" t="n">
        <v>5.3</v>
      </c>
      <c r="H523" t="n">
        <v>0</v>
      </c>
      <c r="I523" t="n">
        <v>0</v>
      </c>
      <c r="J523" t="n">
        <v>0</v>
      </c>
      <c r="K523" t="n">
        <v>0</v>
      </c>
      <c r="L523" t="n">
        <v>0</v>
      </c>
      <c r="M523" t="n">
        <v>0</v>
      </c>
      <c r="N523" t="n">
        <v>0</v>
      </c>
      <c r="O523" t="n">
        <v>0</v>
      </c>
      <c r="P523" t="n">
        <v>0</v>
      </c>
      <c r="Q523" t="n">
        <v>0</v>
      </c>
      <c r="R523" s="2" t="inlineStr"/>
    </row>
    <row r="524" ht="15" customHeight="1">
      <c r="A524" t="inlineStr">
        <is>
          <t>A 13502-2020</t>
        </is>
      </c>
      <c r="B524" s="1" t="n">
        <v>43900</v>
      </c>
      <c r="C524" s="1" t="n">
        <v>45741</v>
      </c>
      <c r="D524" t="inlineStr">
        <is>
          <t>JÄMTLANDS LÄN</t>
        </is>
      </c>
      <c r="E524" t="inlineStr">
        <is>
          <t>KROKOM</t>
        </is>
      </c>
      <c r="G524" t="n">
        <v>2.5</v>
      </c>
      <c r="H524" t="n">
        <v>0</v>
      </c>
      <c r="I524" t="n">
        <v>0</v>
      </c>
      <c r="J524" t="n">
        <v>0</v>
      </c>
      <c r="K524" t="n">
        <v>0</v>
      </c>
      <c r="L524" t="n">
        <v>0</v>
      </c>
      <c r="M524" t="n">
        <v>0</v>
      </c>
      <c r="N524" t="n">
        <v>0</v>
      </c>
      <c r="O524" t="n">
        <v>0</v>
      </c>
      <c r="P524" t="n">
        <v>0</v>
      </c>
      <c r="Q524" t="n">
        <v>0</v>
      </c>
      <c r="R524" s="2" t="inlineStr"/>
    </row>
    <row r="525" ht="15" customHeight="1">
      <c r="A525" t="inlineStr">
        <is>
          <t>A 12908-2020</t>
        </is>
      </c>
      <c r="B525" s="1" t="n">
        <v>43900</v>
      </c>
      <c r="C525" s="1" t="n">
        <v>45741</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14285-2020</t>
        </is>
      </c>
      <c r="B526" s="1" t="n">
        <v>43907</v>
      </c>
      <c r="C526" s="1" t="n">
        <v>45741</v>
      </c>
      <c r="D526" t="inlineStr">
        <is>
          <t>JÄMTLANDS LÄN</t>
        </is>
      </c>
      <c r="E526" t="inlineStr">
        <is>
          <t>KROKOM</t>
        </is>
      </c>
      <c r="G526" t="n">
        <v>13.9</v>
      </c>
      <c r="H526" t="n">
        <v>0</v>
      </c>
      <c r="I526" t="n">
        <v>0</v>
      </c>
      <c r="J526" t="n">
        <v>0</v>
      </c>
      <c r="K526" t="n">
        <v>0</v>
      </c>
      <c r="L526" t="n">
        <v>0</v>
      </c>
      <c r="M526" t="n">
        <v>0</v>
      </c>
      <c r="N526" t="n">
        <v>0</v>
      </c>
      <c r="O526" t="n">
        <v>0</v>
      </c>
      <c r="P526" t="n">
        <v>0</v>
      </c>
      <c r="Q526" t="n">
        <v>0</v>
      </c>
      <c r="R526" s="2" t="inlineStr"/>
    </row>
    <row r="527" ht="15" customHeight="1">
      <c r="A527" t="inlineStr">
        <is>
          <t>A 15315-2020</t>
        </is>
      </c>
      <c r="B527" s="1" t="n">
        <v>43913</v>
      </c>
      <c r="C527" s="1" t="n">
        <v>45741</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17527-2020</t>
        </is>
      </c>
      <c r="B528" s="1" t="n">
        <v>43920</v>
      </c>
      <c r="C528" s="1" t="n">
        <v>45741</v>
      </c>
      <c r="D528" t="inlineStr">
        <is>
          <t>JÄMTLANDS LÄN</t>
        </is>
      </c>
      <c r="E528" t="inlineStr">
        <is>
          <t>KROKOM</t>
        </is>
      </c>
      <c r="G528" t="n">
        <v>4.2</v>
      </c>
      <c r="H528" t="n">
        <v>0</v>
      </c>
      <c r="I528" t="n">
        <v>0</v>
      </c>
      <c r="J528" t="n">
        <v>0</v>
      </c>
      <c r="K528" t="n">
        <v>0</v>
      </c>
      <c r="L528" t="n">
        <v>0</v>
      </c>
      <c r="M528" t="n">
        <v>0</v>
      </c>
      <c r="N528" t="n">
        <v>0</v>
      </c>
      <c r="O528" t="n">
        <v>0</v>
      </c>
      <c r="P528" t="n">
        <v>0</v>
      </c>
      <c r="Q528" t="n">
        <v>0</v>
      </c>
      <c r="R528" s="2" t="inlineStr"/>
    </row>
    <row r="529" ht="15" customHeight="1">
      <c r="A529" t="inlineStr">
        <is>
          <t>A 18445-2020</t>
        </is>
      </c>
      <c r="B529" s="1" t="n">
        <v>43927</v>
      </c>
      <c r="C529" s="1" t="n">
        <v>45741</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18591-2020</t>
        </is>
      </c>
      <c r="B530" s="1" t="n">
        <v>43928</v>
      </c>
      <c r="C530" s="1" t="n">
        <v>45741</v>
      </c>
      <c r="D530" t="inlineStr">
        <is>
          <t>JÄMTLANDS LÄN</t>
        </is>
      </c>
      <c r="E530" t="inlineStr">
        <is>
          <t>KROKOM</t>
        </is>
      </c>
      <c r="G530" t="n">
        <v>13.6</v>
      </c>
      <c r="H530" t="n">
        <v>0</v>
      </c>
      <c r="I530" t="n">
        <v>0</v>
      </c>
      <c r="J530" t="n">
        <v>0</v>
      </c>
      <c r="K530" t="n">
        <v>0</v>
      </c>
      <c r="L530" t="n">
        <v>0</v>
      </c>
      <c r="M530" t="n">
        <v>0</v>
      </c>
      <c r="N530" t="n">
        <v>0</v>
      </c>
      <c r="O530" t="n">
        <v>0</v>
      </c>
      <c r="P530" t="n">
        <v>0</v>
      </c>
      <c r="Q530" t="n">
        <v>0</v>
      </c>
      <c r="R530" s="2" t="inlineStr"/>
    </row>
    <row r="531" ht="15" customHeight="1">
      <c r="A531" t="inlineStr">
        <is>
          <t>A 19031-2020</t>
        </is>
      </c>
      <c r="B531" s="1" t="n">
        <v>43936</v>
      </c>
      <c r="C531" s="1" t="n">
        <v>45741</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19827-2020</t>
        </is>
      </c>
      <c r="B532" s="1" t="n">
        <v>43938</v>
      </c>
      <c r="C532" s="1" t="n">
        <v>45741</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19648-2020</t>
        </is>
      </c>
      <c r="B533" s="1" t="n">
        <v>43941</v>
      </c>
      <c r="C533" s="1" t="n">
        <v>45741</v>
      </c>
      <c r="D533" t="inlineStr">
        <is>
          <t>JÄMTLANDS LÄN</t>
        </is>
      </c>
      <c r="E533" t="inlineStr">
        <is>
          <t>KROKOM</t>
        </is>
      </c>
      <c r="G533" t="n">
        <v>21.6</v>
      </c>
      <c r="H533" t="n">
        <v>0</v>
      </c>
      <c r="I533" t="n">
        <v>0</v>
      </c>
      <c r="J533" t="n">
        <v>0</v>
      </c>
      <c r="K533" t="n">
        <v>0</v>
      </c>
      <c r="L533" t="n">
        <v>0</v>
      </c>
      <c r="M533" t="n">
        <v>0</v>
      </c>
      <c r="N533" t="n">
        <v>0</v>
      </c>
      <c r="O533" t="n">
        <v>0</v>
      </c>
      <c r="P533" t="n">
        <v>0</v>
      </c>
      <c r="Q533" t="n">
        <v>0</v>
      </c>
      <c r="R533" s="2" t="inlineStr"/>
    </row>
    <row r="534" ht="15" customHeight="1">
      <c r="A534" t="inlineStr">
        <is>
          <t>A 19768-2020</t>
        </is>
      </c>
      <c r="B534" s="1" t="n">
        <v>43942</v>
      </c>
      <c r="C534" s="1" t="n">
        <v>45741</v>
      </c>
      <c r="D534" t="inlineStr">
        <is>
          <t>JÄMTLANDS LÄN</t>
        </is>
      </c>
      <c r="E534" t="inlineStr">
        <is>
          <t>KROKOM</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21106-2020</t>
        </is>
      </c>
      <c r="B535" s="1" t="n">
        <v>43951</v>
      </c>
      <c r="C535" s="1" t="n">
        <v>45741</v>
      </c>
      <c r="D535" t="inlineStr">
        <is>
          <t>JÄMTLANDS LÄN</t>
        </is>
      </c>
      <c r="E535" t="inlineStr">
        <is>
          <t>KROKOM</t>
        </is>
      </c>
      <c r="G535" t="n">
        <v>17.7</v>
      </c>
      <c r="H535" t="n">
        <v>0</v>
      </c>
      <c r="I535" t="n">
        <v>0</v>
      </c>
      <c r="J535" t="n">
        <v>0</v>
      </c>
      <c r="K535" t="n">
        <v>0</v>
      </c>
      <c r="L535" t="n">
        <v>0</v>
      </c>
      <c r="M535" t="n">
        <v>0</v>
      </c>
      <c r="N535" t="n">
        <v>0</v>
      </c>
      <c r="O535" t="n">
        <v>0</v>
      </c>
      <c r="P535" t="n">
        <v>0</v>
      </c>
      <c r="Q535" t="n">
        <v>0</v>
      </c>
      <c r="R535" s="2" t="inlineStr"/>
    </row>
    <row r="536" ht="15" customHeight="1">
      <c r="A536" t="inlineStr">
        <is>
          <t>A 21144-2020</t>
        </is>
      </c>
      <c r="B536" s="1" t="n">
        <v>43951</v>
      </c>
      <c r="C536" s="1" t="n">
        <v>45741</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21443-2020</t>
        </is>
      </c>
      <c r="B537" s="1" t="n">
        <v>43955</v>
      </c>
      <c r="C537" s="1" t="n">
        <v>45741</v>
      </c>
      <c r="D537" t="inlineStr">
        <is>
          <t>JÄMTLANDS LÄN</t>
        </is>
      </c>
      <c r="E537" t="inlineStr">
        <is>
          <t>KROKOM</t>
        </is>
      </c>
      <c r="G537" t="n">
        <v>7.7</v>
      </c>
      <c r="H537" t="n">
        <v>0</v>
      </c>
      <c r="I537" t="n">
        <v>0</v>
      </c>
      <c r="J537" t="n">
        <v>0</v>
      </c>
      <c r="K537" t="n">
        <v>0</v>
      </c>
      <c r="L537" t="n">
        <v>0</v>
      </c>
      <c r="M537" t="n">
        <v>0</v>
      </c>
      <c r="N537" t="n">
        <v>0</v>
      </c>
      <c r="O537" t="n">
        <v>0</v>
      </c>
      <c r="P537" t="n">
        <v>0</v>
      </c>
      <c r="Q537" t="n">
        <v>0</v>
      </c>
      <c r="R537" s="2" t="inlineStr"/>
    </row>
    <row r="538" ht="15" customHeight="1">
      <c r="A538" t="inlineStr">
        <is>
          <t>A 22005-2020</t>
        </is>
      </c>
      <c r="B538" s="1" t="n">
        <v>43959</v>
      </c>
      <c r="C538" s="1" t="n">
        <v>45741</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25520-2020</t>
        </is>
      </c>
      <c r="B539" s="1" t="n">
        <v>43983</v>
      </c>
      <c r="C539" s="1" t="n">
        <v>45741</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25489-2020</t>
        </is>
      </c>
      <c r="B540" s="1" t="n">
        <v>43983</v>
      </c>
      <c r="C540" s="1" t="n">
        <v>45741</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27056-2020</t>
        </is>
      </c>
      <c r="B541" s="1" t="n">
        <v>43991</v>
      </c>
      <c r="C541" s="1" t="n">
        <v>45741</v>
      </c>
      <c r="D541" t="inlineStr">
        <is>
          <t>JÄMTLANDS LÄN</t>
        </is>
      </c>
      <c r="E541" t="inlineStr">
        <is>
          <t>KROKOM</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30368-2020</t>
        </is>
      </c>
      <c r="B542" s="1" t="n">
        <v>44007</v>
      </c>
      <c r="C542" s="1" t="n">
        <v>45741</v>
      </c>
      <c r="D542" t="inlineStr">
        <is>
          <t>JÄMTLANDS LÄN</t>
        </is>
      </c>
      <c r="E542" t="inlineStr">
        <is>
          <t>KROKOM</t>
        </is>
      </c>
      <c r="G542" t="n">
        <v>1.9</v>
      </c>
      <c r="H542" t="n">
        <v>0</v>
      </c>
      <c r="I542" t="n">
        <v>0</v>
      </c>
      <c r="J542" t="n">
        <v>0</v>
      </c>
      <c r="K542" t="n">
        <v>0</v>
      </c>
      <c r="L542" t="n">
        <v>0</v>
      </c>
      <c r="M542" t="n">
        <v>0</v>
      </c>
      <c r="N542" t="n">
        <v>0</v>
      </c>
      <c r="O542" t="n">
        <v>0</v>
      </c>
      <c r="P542" t="n">
        <v>0</v>
      </c>
      <c r="Q542" t="n">
        <v>0</v>
      </c>
      <c r="R542" s="2" t="inlineStr"/>
    </row>
    <row r="543" ht="15" customHeight="1">
      <c r="A543" t="inlineStr">
        <is>
          <t>A 31421-2020</t>
        </is>
      </c>
      <c r="B543" s="1" t="n">
        <v>44013</v>
      </c>
      <c r="C543" s="1" t="n">
        <v>45741</v>
      </c>
      <c r="D543" t="inlineStr">
        <is>
          <t>JÄMTLANDS LÄN</t>
        </is>
      </c>
      <c r="E543" t="inlineStr">
        <is>
          <t>KROKOM</t>
        </is>
      </c>
      <c r="G543" t="n">
        <v>14.1</v>
      </c>
      <c r="H543" t="n">
        <v>0</v>
      </c>
      <c r="I543" t="n">
        <v>0</v>
      </c>
      <c r="J543" t="n">
        <v>0</v>
      </c>
      <c r="K543" t="n">
        <v>0</v>
      </c>
      <c r="L543" t="n">
        <v>0</v>
      </c>
      <c r="M543" t="n">
        <v>0</v>
      </c>
      <c r="N543" t="n">
        <v>0</v>
      </c>
      <c r="O543" t="n">
        <v>0</v>
      </c>
      <c r="P543" t="n">
        <v>0</v>
      </c>
      <c r="Q543" t="n">
        <v>0</v>
      </c>
      <c r="R543" s="2" t="inlineStr"/>
    </row>
    <row r="544" ht="15" customHeight="1">
      <c r="A544" t="inlineStr">
        <is>
          <t>A 32084-2020</t>
        </is>
      </c>
      <c r="B544" s="1" t="n">
        <v>44015</v>
      </c>
      <c r="C544" s="1" t="n">
        <v>45741</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34469-2020</t>
        </is>
      </c>
      <c r="B545" s="1" t="n">
        <v>44032</v>
      </c>
      <c r="C545" s="1" t="n">
        <v>45741</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34619-2020</t>
        </is>
      </c>
      <c r="B546" s="1" t="n">
        <v>44033</v>
      </c>
      <c r="C546" s="1" t="n">
        <v>45741</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34954-2020</t>
        </is>
      </c>
      <c r="B547" s="1" t="n">
        <v>44038</v>
      </c>
      <c r="C547" s="1" t="n">
        <v>45741</v>
      </c>
      <c r="D547" t="inlineStr">
        <is>
          <t>JÄMTLANDS LÄN</t>
        </is>
      </c>
      <c r="E547" t="inlineStr">
        <is>
          <t>KROKOM</t>
        </is>
      </c>
      <c r="G547" t="n">
        <v>14.3</v>
      </c>
      <c r="H547" t="n">
        <v>0</v>
      </c>
      <c r="I547" t="n">
        <v>0</v>
      </c>
      <c r="J547" t="n">
        <v>0</v>
      </c>
      <c r="K547" t="n">
        <v>0</v>
      </c>
      <c r="L547" t="n">
        <v>0</v>
      </c>
      <c r="M547" t="n">
        <v>0</v>
      </c>
      <c r="N547" t="n">
        <v>0</v>
      </c>
      <c r="O547" t="n">
        <v>0</v>
      </c>
      <c r="P547" t="n">
        <v>0</v>
      </c>
      <c r="Q547" t="n">
        <v>0</v>
      </c>
      <c r="R547" s="2" t="inlineStr"/>
    </row>
    <row r="548" ht="15" customHeight="1">
      <c r="A548" t="inlineStr">
        <is>
          <t>A 36098-2020</t>
        </is>
      </c>
      <c r="B548" s="1" t="n">
        <v>44048</v>
      </c>
      <c r="C548" s="1" t="n">
        <v>45741</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36698-2020</t>
        </is>
      </c>
      <c r="B549" s="1" t="n">
        <v>44050</v>
      </c>
      <c r="C549" s="1" t="n">
        <v>45741</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36523-2020</t>
        </is>
      </c>
      <c r="B550" s="1" t="n">
        <v>44050</v>
      </c>
      <c r="C550" s="1" t="n">
        <v>45741</v>
      </c>
      <c r="D550" t="inlineStr">
        <is>
          <t>JÄMTLANDS LÄN</t>
        </is>
      </c>
      <c r="E550" t="inlineStr">
        <is>
          <t>KROKOM</t>
        </is>
      </c>
      <c r="G550" t="n">
        <v>5.1</v>
      </c>
      <c r="H550" t="n">
        <v>0</v>
      </c>
      <c r="I550" t="n">
        <v>0</v>
      </c>
      <c r="J550" t="n">
        <v>0</v>
      </c>
      <c r="K550" t="n">
        <v>0</v>
      </c>
      <c r="L550" t="n">
        <v>0</v>
      </c>
      <c r="M550" t="n">
        <v>0</v>
      </c>
      <c r="N550" t="n">
        <v>0</v>
      </c>
      <c r="O550" t="n">
        <v>0</v>
      </c>
      <c r="P550" t="n">
        <v>0</v>
      </c>
      <c r="Q550" t="n">
        <v>0</v>
      </c>
      <c r="R550" s="2" t="inlineStr"/>
    </row>
    <row r="551" ht="15" customHeight="1">
      <c r="A551" t="inlineStr">
        <is>
          <t>A 36696-2020</t>
        </is>
      </c>
      <c r="B551" s="1" t="n">
        <v>44050</v>
      </c>
      <c r="C551" s="1" t="n">
        <v>45741</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38001-2020</t>
        </is>
      </c>
      <c r="B552" s="1" t="n">
        <v>44057</v>
      </c>
      <c r="C552" s="1" t="n">
        <v>45741</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38720-2020</t>
        </is>
      </c>
      <c r="B553" s="1" t="n">
        <v>44061</v>
      </c>
      <c r="C553" s="1" t="n">
        <v>45741</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38866-2020</t>
        </is>
      </c>
      <c r="B554" s="1" t="n">
        <v>44062</v>
      </c>
      <c r="C554" s="1" t="n">
        <v>45741</v>
      </c>
      <c r="D554" t="inlineStr">
        <is>
          <t>JÄMTLANDS LÄN</t>
        </is>
      </c>
      <c r="E554" t="inlineStr">
        <is>
          <t>KROKOM</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42385-2020</t>
        </is>
      </c>
      <c r="B555" s="1" t="n">
        <v>44076</v>
      </c>
      <c r="C555" s="1" t="n">
        <v>45741</v>
      </c>
      <c r="D555" t="inlineStr">
        <is>
          <t>JÄMTLANDS LÄN</t>
        </is>
      </c>
      <c r="E555" t="inlineStr">
        <is>
          <t>KROKOM</t>
        </is>
      </c>
      <c r="G555" t="n">
        <v>2.9</v>
      </c>
      <c r="H555" t="n">
        <v>0</v>
      </c>
      <c r="I555" t="n">
        <v>0</v>
      </c>
      <c r="J555" t="n">
        <v>0</v>
      </c>
      <c r="K555" t="n">
        <v>0</v>
      </c>
      <c r="L555" t="n">
        <v>0</v>
      </c>
      <c r="M555" t="n">
        <v>0</v>
      </c>
      <c r="N555" t="n">
        <v>0</v>
      </c>
      <c r="O555" t="n">
        <v>0</v>
      </c>
      <c r="P555" t="n">
        <v>0</v>
      </c>
      <c r="Q555" t="n">
        <v>0</v>
      </c>
      <c r="R555" s="2" t="inlineStr"/>
    </row>
    <row r="556" ht="15" customHeight="1">
      <c r="A556" t="inlineStr">
        <is>
          <t>A 42550-2020</t>
        </is>
      </c>
      <c r="B556" s="1" t="n">
        <v>44077</v>
      </c>
      <c r="C556" s="1" t="n">
        <v>45741</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45602-2020</t>
        </is>
      </c>
      <c r="B557" s="1" t="n">
        <v>44090</v>
      </c>
      <c r="C557" s="1" t="n">
        <v>45741</v>
      </c>
      <c r="D557" t="inlineStr">
        <is>
          <t>JÄMTLANDS LÄN</t>
        </is>
      </c>
      <c r="E557" t="inlineStr">
        <is>
          <t>KROKOM</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46589-2020</t>
        </is>
      </c>
      <c r="B558" s="1" t="n">
        <v>44095</v>
      </c>
      <c r="C558" s="1" t="n">
        <v>45741</v>
      </c>
      <c r="D558" t="inlineStr">
        <is>
          <t>JÄMTLANDS LÄN</t>
        </is>
      </c>
      <c r="E558" t="inlineStr">
        <is>
          <t>KROKOM</t>
        </is>
      </c>
      <c r="G558" t="n">
        <v>8.5</v>
      </c>
      <c r="H558" t="n">
        <v>0</v>
      </c>
      <c r="I558" t="n">
        <v>0</v>
      </c>
      <c r="J558" t="n">
        <v>0</v>
      </c>
      <c r="K558" t="n">
        <v>0</v>
      </c>
      <c r="L558" t="n">
        <v>0</v>
      </c>
      <c r="M558" t="n">
        <v>0</v>
      </c>
      <c r="N558" t="n">
        <v>0</v>
      </c>
      <c r="O558" t="n">
        <v>0</v>
      </c>
      <c r="P558" t="n">
        <v>0</v>
      </c>
      <c r="Q558" t="n">
        <v>0</v>
      </c>
      <c r="R558" s="2" t="inlineStr"/>
    </row>
    <row r="559" ht="15" customHeight="1">
      <c r="A559" t="inlineStr">
        <is>
          <t>A 46597-2020</t>
        </is>
      </c>
      <c r="B559" s="1" t="n">
        <v>44095</v>
      </c>
      <c r="C559" s="1" t="n">
        <v>45741</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49037-2020</t>
        </is>
      </c>
      <c r="B560" s="1" t="n">
        <v>44102</v>
      </c>
      <c r="C560" s="1" t="n">
        <v>45741</v>
      </c>
      <c r="D560" t="inlineStr">
        <is>
          <t>JÄMTLANDS LÄN</t>
        </is>
      </c>
      <c r="E560" t="inlineStr">
        <is>
          <t>KROKOM</t>
        </is>
      </c>
      <c r="G560" t="n">
        <v>1.5</v>
      </c>
      <c r="H560" t="n">
        <v>0</v>
      </c>
      <c r="I560" t="n">
        <v>0</v>
      </c>
      <c r="J560" t="n">
        <v>0</v>
      </c>
      <c r="K560" t="n">
        <v>0</v>
      </c>
      <c r="L560" t="n">
        <v>0</v>
      </c>
      <c r="M560" t="n">
        <v>0</v>
      </c>
      <c r="N560" t="n">
        <v>0</v>
      </c>
      <c r="O560" t="n">
        <v>0</v>
      </c>
      <c r="P560" t="n">
        <v>0</v>
      </c>
      <c r="Q560" t="n">
        <v>0</v>
      </c>
      <c r="R560" s="2" t="inlineStr"/>
    </row>
    <row r="561" ht="15" customHeight="1">
      <c r="A561" t="inlineStr">
        <is>
          <t>A 48610-2020</t>
        </is>
      </c>
      <c r="B561" s="1" t="n">
        <v>44103</v>
      </c>
      <c r="C561" s="1" t="n">
        <v>45741</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49697-2020</t>
        </is>
      </c>
      <c r="B562" s="1" t="n">
        <v>44106</v>
      </c>
      <c r="C562" s="1" t="n">
        <v>45741</v>
      </c>
      <c r="D562" t="inlineStr">
        <is>
          <t>JÄMTLANDS LÄN</t>
        </is>
      </c>
      <c r="E562" t="inlineStr">
        <is>
          <t>KROKOM</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51719-2020</t>
        </is>
      </c>
      <c r="B563" s="1" t="n">
        <v>44113</v>
      </c>
      <c r="C563" s="1" t="n">
        <v>45741</v>
      </c>
      <c r="D563" t="inlineStr">
        <is>
          <t>JÄMTLANDS LÄN</t>
        </is>
      </c>
      <c r="E563" t="inlineStr">
        <is>
          <t>KROKOM</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51717-2020</t>
        </is>
      </c>
      <c r="B564" s="1" t="n">
        <v>44113</v>
      </c>
      <c r="C564" s="1" t="n">
        <v>45741</v>
      </c>
      <c r="D564" t="inlineStr">
        <is>
          <t>JÄMTLANDS LÄN</t>
        </is>
      </c>
      <c r="E564" t="inlineStr">
        <is>
          <t>KROKOM</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52487-2020</t>
        </is>
      </c>
      <c r="B565" s="1" t="n">
        <v>44113</v>
      </c>
      <c r="C565" s="1" t="n">
        <v>45741</v>
      </c>
      <c r="D565" t="inlineStr">
        <is>
          <t>JÄMTLANDS LÄN</t>
        </is>
      </c>
      <c r="E565" t="inlineStr">
        <is>
          <t>KROKOM</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52491-2020</t>
        </is>
      </c>
      <c r="B566" s="1" t="n">
        <v>44113</v>
      </c>
      <c r="C566" s="1" t="n">
        <v>45741</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52626-2020</t>
        </is>
      </c>
      <c r="B567" s="1" t="n">
        <v>44119</v>
      </c>
      <c r="C567" s="1" t="n">
        <v>45741</v>
      </c>
      <c r="D567" t="inlineStr">
        <is>
          <t>JÄMTLANDS LÄN</t>
        </is>
      </c>
      <c r="E567" t="inlineStr">
        <is>
          <t>KROKOM</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53241-2020</t>
        </is>
      </c>
      <c r="B568" s="1" t="n">
        <v>44123</v>
      </c>
      <c r="C568" s="1" t="n">
        <v>45741</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53501-2020</t>
        </is>
      </c>
      <c r="B569" s="1" t="n">
        <v>44123</v>
      </c>
      <c r="C569" s="1" t="n">
        <v>45741</v>
      </c>
      <c r="D569" t="inlineStr">
        <is>
          <t>JÄMTLANDS LÄN</t>
        </is>
      </c>
      <c r="E569" t="inlineStr">
        <is>
          <t>KROKOM</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53499-2020</t>
        </is>
      </c>
      <c r="B570" s="1" t="n">
        <v>44123</v>
      </c>
      <c r="C570" s="1" t="n">
        <v>45741</v>
      </c>
      <c r="D570" t="inlineStr">
        <is>
          <t>JÄMTLANDS LÄN</t>
        </is>
      </c>
      <c r="E570" t="inlineStr">
        <is>
          <t>KROKOM</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53500-2020</t>
        </is>
      </c>
      <c r="B571" s="1" t="n">
        <v>44123</v>
      </c>
      <c r="C571" s="1" t="n">
        <v>45741</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54575-2020</t>
        </is>
      </c>
      <c r="B572" s="1" t="n">
        <v>44126</v>
      </c>
      <c r="C572" s="1" t="n">
        <v>45741</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54582-2020</t>
        </is>
      </c>
      <c r="B573" s="1" t="n">
        <v>44127</v>
      </c>
      <c r="C573" s="1" t="n">
        <v>45741</v>
      </c>
      <c r="D573" t="inlineStr">
        <is>
          <t>JÄMTLANDS LÄN</t>
        </is>
      </c>
      <c r="E573" t="inlineStr">
        <is>
          <t>KROKOM</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56203-2020</t>
        </is>
      </c>
      <c r="B574" s="1" t="n">
        <v>44133</v>
      </c>
      <c r="C574" s="1" t="n">
        <v>45741</v>
      </c>
      <c r="D574" t="inlineStr">
        <is>
          <t>JÄMTLANDS LÄN</t>
        </is>
      </c>
      <c r="E574" t="inlineStr">
        <is>
          <t>KROKOM</t>
        </is>
      </c>
      <c r="G574" t="n">
        <v>1.2</v>
      </c>
      <c r="H574" t="n">
        <v>0</v>
      </c>
      <c r="I574" t="n">
        <v>0</v>
      </c>
      <c r="J574" t="n">
        <v>0</v>
      </c>
      <c r="K574" t="n">
        <v>0</v>
      </c>
      <c r="L574" t="n">
        <v>0</v>
      </c>
      <c r="M574" t="n">
        <v>0</v>
      </c>
      <c r="N574" t="n">
        <v>0</v>
      </c>
      <c r="O574" t="n">
        <v>0</v>
      </c>
      <c r="P574" t="n">
        <v>0</v>
      </c>
      <c r="Q574" t="n">
        <v>0</v>
      </c>
      <c r="R574" s="2" t="inlineStr"/>
    </row>
    <row r="575" ht="15" customHeight="1">
      <c r="A575" t="inlineStr">
        <is>
          <t>A 56596-2020</t>
        </is>
      </c>
      <c r="B575" s="1" t="n">
        <v>44133</v>
      </c>
      <c r="C575" s="1" t="n">
        <v>45741</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56168-2020</t>
        </is>
      </c>
      <c r="B576" s="1" t="n">
        <v>44133</v>
      </c>
      <c r="C576" s="1" t="n">
        <v>45741</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57375-2020</t>
        </is>
      </c>
      <c r="B577" s="1" t="n">
        <v>44139</v>
      </c>
      <c r="C577" s="1" t="n">
        <v>45741</v>
      </c>
      <c r="D577" t="inlineStr">
        <is>
          <t>JÄMTLANDS LÄN</t>
        </is>
      </c>
      <c r="E577" t="inlineStr">
        <is>
          <t>KROKOM</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57726-2020</t>
        </is>
      </c>
      <c r="B578" s="1" t="n">
        <v>44140</v>
      </c>
      <c r="C578" s="1" t="n">
        <v>45741</v>
      </c>
      <c r="D578" t="inlineStr">
        <is>
          <t>JÄMTLANDS LÄN</t>
        </is>
      </c>
      <c r="E578" t="inlineStr">
        <is>
          <t>KROKOM</t>
        </is>
      </c>
      <c r="G578" t="n">
        <v>3.8</v>
      </c>
      <c r="H578" t="n">
        <v>0</v>
      </c>
      <c r="I578" t="n">
        <v>0</v>
      </c>
      <c r="J578" t="n">
        <v>0</v>
      </c>
      <c r="K578" t="n">
        <v>0</v>
      </c>
      <c r="L578" t="n">
        <v>0</v>
      </c>
      <c r="M578" t="n">
        <v>0</v>
      </c>
      <c r="N578" t="n">
        <v>0</v>
      </c>
      <c r="O578" t="n">
        <v>0</v>
      </c>
      <c r="P578" t="n">
        <v>0</v>
      </c>
      <c r="Q578" t="n">
        <v>0</v>
      </c>
      <c r="R578" s="2" t="inlineStr"/>
    </row>
    <row r="579" ht="15" customHeight="1">
      <c r="A579" t="inlineStr">
        <is>
          <t>A 57728-2020</t>
        </is>
      </c>
      <c r="B579" s="1" t="n">
        <v>44140</v>
      </c>
      <c r="C579" s="1" t="n">
        <v>45741</v>
      </c>
      <c r="D579" t="inlineStr">
        <is>
          <t>JÄMTLANDS LÄN</t>
        </is>
      </c>
      <c r="E579" t="inlineStr">
        <is>
          <t>KROKOM</t>
        </is>
      </c>
      <c r="G579" t="n">
        <v>5</v>
      </c>
      <c r="H579" t="n">
        <v>0</v>
      </c>
      <c r="I579" t="n">
        <v>0</v>
      </c>
      <c r="J579" t="n">
        <v>0</v>
      </c>
      <c r="K579" t="n">
        <v>0</v>
      </c>
      <c r="L579" t="n">
        <v>0</v>
      </c>
      <c r="M579" t="n">
        <v>0</v>
      </c>
      <c r="N579" t="n">
        <v>0</v>
      </c>
      <c r="O579" t="n">
        <v>0</v>
      </c>
      <c r="P579" t="n">
        <v>0</v>
      </c>
      <c r="Q579" t="n">
        <v>0</v>
      </c>
      <c r="R579" s="2" t="inlineStr"/>
    </row>
    <row r="580" ht="15" customHeight="1">
      <c r="A580" t="inlineStr">
        <is>
          <t>A 58378-2020</t>
        </is>
      </c>
      <c r="B580" s="1" t="n">
        <v>44141</v>
      </c>
      <c r="C580" s="1" t="n">
        <v>45741</v>
      </c>
      <c r="D580" t="inlineStr">
        <is>
          <t>JÄMTLANDS LÄN</t>
        </is>
      </c>
      <c r="E580" t="inlineStr">
        <is>
          <t>KROKOM</t>
        </is>
      </c>
      <c r="G580" t="n">
        <v>14.4</v>
      </c>
      <c r="H580" t="n">
        <v>0</v>
      </c>
      <c r="I580" t="n">
        <v>0</v>
      </c>
      <c r="J580" t="n">
        <v>0</v>
      </c>
      <c r="K580" t="n">
        <v>0</v>
      </c>
      <c r="L580" t="n">
        <v>0</v>
      </c>
      <c r="M580" t="n">
        <v>0</v>
      </c>
      <c r="N580" t="n">
        <v>0</v>
      </c>
      <c r="O580" t="n">
        <v>0</v>
      </c>
      <c r="P580" t="n">
        <v>0</v>
      </c>
      <c r="Q580" t="n">
        <v>0</v>
      </c>
      <c r="R580" s="2" t="inlineStr"/>
    </row>
    <row r="581" ht="15" customHeight="1">
      <c r="A581" t="inlineStr">
        <is>
          <t>A 58569-2020</t>
        </is>
      </c>
      <c r="B581" s="1" t="n">
        <v>44141</v>
      </c>
      <c r="C581" s="1" t="n">
        <v>45741</v>
      </c>
      <c r="D581" t="inlineStr">
        <is>
          <t>JÄMTLANDS LÄN</t>
        </is>
      </c>
      <c r="E581" t="inlineStr">
        <is>
          <t>KROKOM</t>
        </is>
      </c>
      <c r="G581" t="n">
        <v>52.8</v>
      </c>
      <c r="H581" t="n">
        <v>0</v>
      </c>
      <c r="I581" t="n">
        <v>0</v>
      </c>
      <c r="J581" t="n">
        <v>0</v>
      </c>
      <c r="K581" t="n">
        <v>0</v>
      </c>
      <c r="L581" t="n">
        <v>0</v>
      </c>
      <c r="M581" t="n">
        <v>0</v>
      </c>
      <c r="N581" t="n">
        <v>0</v>
      </c>
      <c r="O581" t="n">
        <v>0</v>
      </c>
      <c r="P581" t="n">
        <v>0</v>
      </c>
      <c r="Q581" t="n">
        <v>0</v>
      </c>
      <c r="R581" s="2" t="inlineStr"/>
    </row>
    <row r="582" ht="15" customHeight="1">
      <c r="A582" t="inlineStr">
        <is>
          <t>A 58868-2020</t>
        </is>
      </c>
      <c r="B582" s="1" t="n">
        <v>44146</v>
      </c>
      <c r="C582" s="1" t="n">
        <v>45741</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59778-2020</t>
        </is>
      </c>
      <c r="B583" s="1" t="n">
        <v>44148</v>
      </c>
      <c r="C583" s="1" t="n">
        <v>45741</v>
      </c>
      <c r="D583" t="inlineStr">
        <is>
          <t>JÄMTLANDS LÄN</t>
        </is>
      </c>
      <c r="E583" t="inlineStr">
        <is>
          <t>KROKOM</t>
        </is>
      </c>
      <c r="G583" t="n">
        <v>39.3</v>
      </c>
      <c r="H583" t="n">
        <v>0</v>
      </c>
      <c r="I583" t="n">
        <v>0</v>
      </c>
      <c r="J583" t="n">
        <v>0</v>
      </c>
      <c r="K583" t="n">
        <v>0</v>
      </c>
      <c r="L583" t="n">
        <v>0</v>
      </c>
      <c r="M583" t="n">
        <v>0</v>
      </c>
      <c r="N583" t="n">
        <v>0</v>
      </c>
      <c r="O583" t="n">
        <v>0</v>
      </c>
      <c r="P583" t="n">
        <v>0</v>
      </c>
      <c r="Q583" t="n">
        <v>0</v>
      </c>
      <c r="R583" s="2" t="inlineStr"/>
    </row>
    <row r="584" ht="15" customHeight="1">
      <c r="A584" t="inlineStr">
        <is>
          <t>A 59718-2020</t>
        </is>
      </c>
      <c r="B584" s="1" t="n">
        <v>44151</v>
      </c>
      <c r="C584" s="1" t="n">
        <v>45741</v>
      </c>
      <c r="D584" t="inlineStr">
        <is>
          <t>JÄMTLANDS LÄN</t>
        </is>
      </c>
      <c r="E584" t="inlineStr">
        <is>
          <t>KROKOM</t>
        </is>
      </c>
      <c r="G584" t="n">
        <v>3.7</v>
      </c>
      <c r="H584" t="n">
        <v>0</v>
      </c>
      <c r="I584" t="n">
        <v>0</v>
      </c>
      <c r="J584" t="n">
        <v>0</v>
      </c>
      <c r="K584" t="n">
        <v>0</v>
      </c>
      <c r="L584" t="n">
        <v>0</v>
      </c>
      <c r="M584" t="n">
        <v>0</v>
      </c>
      <c r="N584" t="n">
        <v>0</v>
      </c>
      <c r="O584" t="n">
        <v>0</v>
      </c>
      <c r="P584" t="n">
        <v>0</v>
      </c>
      <c r="Q584" t="n">
        <v>0</v>
      </c>
      <c r="R584" s="2" t="inlineStr"/>
    </row>
    <row r="585" ht="15" customHeight="1">
      <c r="A585" t="inlineStr">
        <is>
          <t>A 59706-2020</t>
        </is>
      </c>
      <c r="B585" s="1" t="n">
        <v>44151</v>
      </c>
      <c r="C585" s="1" t="n">
        <v>45741</v>
      </c>
      <c r="D585" t="inlineStr">
        <is>
          <t>JÄMTLANDS LÄN</t>
        </is>
      </c>
      <c r="E585" t="inlineStr">
        <is>
          <t>KROKOM</t>
        </is>
      </c>
      <c r="G585" t="n">
        <v>75</v>
      </c>
      <c r="H585" t="n">
        <v>0</v>
      </c>
      <c r="I585" t="n">
        <v>0</v>
      </c>
      <c r="J585" t="n">
        <v>0</v>
      </c>
      <c r="K585" t="n">
        <v>0</v>
      </c>
      <c r="L585" t="n">
        <v>0</v>
      </c>
      <c r="M585" t="n">
        <v>0</v>
      </c>
      <c r="N585" t="n">
        <v>0</v>
      </c>
      <c r="O585" t="n">
        <v>0</v>
      </c>
      <c r="P585" t="n">
        <v>0</v>
      </c>
      <c r="Q585" t="n">
        <v>0</v>
      </c>
      <c r="R585" s="2" t="inlineStr"/>
    </row>
    <row r="586" ht="15" customHeight="1">
      <c r="A586" t="inlineStr">
        <is>
          <t>A 61091-2020</t>
        </is>
      </c>
      <c r="B586" s="1" t="n">
        <v>44153</v>
      </c>
      <c r="C586" s="1" t="n">
        <v>45741</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45741</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60928-2020</t>
        </is>
      </c>
      <c r="B588" s="1" t="n">
        <v>44154</v>
      </c>
      <c r="C588" s="1" t="n">
        <v>45741</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62406-2020</t>
        </is>
      </c>
      <c r="B589" s="1" t="n">
        <v>44159</v>
      </c>
      <c r="C589" s="1" t="n">
        <v>45741</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63821-2020</t>
        </is>
      </c>
      <c r="B590" s="1" t="n">
        <v>44161</v>
      </c>
      <c r="C590" s="1" t="n">
        <v>45741</v>
      </c>
      <c r="D590" t="inlineStr">
        <is>
          <t>JÄMTLANDS LÄN</t>
        </is>
      </c>
      <c r="E590" t="inlineStr">
        <is>
          <t>KROKOM</t>
        </is>
      </c>
      <c r="G590" t="n">
        <v>6.8</v>
      </c>
      <c r="H590" t="n">
        <v>0</v>
      </c>
      <c r="I590" t="n">
        <v>0</v>
      </c>
      <c r="J590" t="n">
        <v>0</v>
      </c>
      <c r="K590" t="n">
        <v>0</v>
      </c>
      <c r="L590" t="n">
        <v>0</v>
      </c>
      <c r="M590" t="n">
        <v>0</v>
      </c>
      <c r="N590" t="n">
        <v>0</v>
      </c>
      <c r="O590" t="n">
        <v>0</v>
      </c>
      <c r="P590" t="n">
        <v>0</v>
      </c>
      <c r="Q590" t="n">
        <v>0</v>
      </c>
      <c r="R590" s="2" t="inlineStr"/>
    </row>
    <row r="591" ht="15" customHeight="1">
      <c r="A591" t="inlineStr">
        <is>
          <t>A 63701-2020</t>
        </is>
      </c>
      <c r="B591" s="1" t="n">
        <v>44162</v>
      </c>
      <c r="C591" s="1" t="n">
        <v>45741</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63787-2020</t>
        </is>
      </c>
      <c r="B592" s="1" t="n">
        <v>44162</v>
      </c>
      <c r="C592" s="1" t="n">
        <v>45741</v>
      </c>
      <c r="D592" t="inlineStr">
        <is>
          <t>JÄMTLANDS LÄN</t>
        </is>
      </c>
      <c r="E592" t="inlineStr">
        <is>
          <t>KROKOM</t>
        </is>
      </c>
      <c r="G592" t="n">
        <v>60.3</v>
      </c>
      <c r="H592" t="n">
        <v>0</v>
      </c>
      <c r="I592" t="n">
        <v>0</v>
      </c>
      <c r="J592" t="n">
        <v>0</v>
      </c>
      <c r="K592" t="n">
        <v>0</v>
      </c>
      <c r="L592" t="n">
        <v>0</v>
      </c>
      <c r="M592" t="n">
        <v>0</v>
      </c>
      <c r="N592" t="n">
        <v>0</v>
      </c>
      <c r="O592" t="n">
        <v>0</v>
      </c>
      <c r="P592" t="n">
        <v>0</v>
      </c>
      <c r="Q592" t="n">
        <v>0</v>
      </c>
      <c r="R592" s="2" t="inlineStr"/>
    </row>
    <row r="593" ht="15" customHeight="1">
      <c r="A593" t="inlineStr">
        <is>
          <t>A 64777-2020</t>
        </is>
      </c>
      <c r="B593" s="1" t="n">
        <v>44167</v>
      </c>
      <c r="C593" s="1" t="n">
        <v>45741</v>
      </c>
      <c r="D593" t="inlineStr">
        <is>
          <t>JÄMTLANDS LÄN</t>
        </is>
      </c>
      <c r="E593" t="inlineStr">
        <is>
          <t>KROKOM</t>
        </is>
      </c>
      <c r="G593" t="n">
        <v>1.6</v>
      </c>
      <c r="H593" t="n">
        <v>0</v>
      </c>
      <c r="I593" t="n">
        <v>0</v>
      </c>
      <c r="J593" t="n">
        <v>0</v>
      </c>
      <c r="K593" t="n">
        <v>0</v>
      </c>
      <c r="L593" t="n">
        <v>0</v>
      </c>
      <c r="M593" t="n">
        <v>0</v>
      </c>
      <c r="N593" t="n">
        <v>0</v>
      </c>
      <c r="O593" t="n">
        <v>0</v>
      </c>
      <c r="P593" t="n">
        <v>0</v>
      </c>
      <c r="Q593" t="n">
        <v>0</v>
      </c>
      <c r="R593" s="2" t="inlineStr"/>
    </row>
    <row r="594" ht="15" customHeight="1">
      <c r="A594" t="inlineStr">
        <is>
          <t>A 65433-2020</t>
        </is>
      </c>
      <c r="B594" s="1" t="n">
        <v>44169</v>
      </c>
      <c r="C594" s="1" t="n">
        <v>45741</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65451-2020</t>
        </is>
      </c>
      <c r="B595" s="1" t="n">
        <v>44169</v>
      </c>
      <c r="C595" s="1" t="n">
        <v>45741</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65787-2020</t>
        </is>
      </c>
      <c r="B596" s="1" t="n">
        <v>44172</v>
      </c>
      <c r="C596" s="1" t="n">
        <v>45741</v>
      </c>
      <c r="D596" t="inlineStr">
        <is>
          <t>JÄMTLANDS LÄN</t>
        </is>
      </c>
      <c r="E596" t="inlineStr">
        <is>
          <t>KROKOM</t>
        </is>
      </c>
      <c r="G596" t="n">
        <v>5.8</v>
      </c>
      <c r="H596" t="n">
        <v>0</v>
      </c>
      <c r="I596" t="n">
        <v>0</v>
      </c>
      <c r="J596" t="n">
        <v>0</v>
      </c>
      <c r="K596" t="n">
        <v>0</v>
      </c>
      <c r="L596" t="n">
        <v>0</v>
      </c>
      <c r="M596" t="n">
        <v>0</v>
      </c>
      <c r="N596" t="n">
        <v>0</v>
      </c>
      <c r="O596" t="n">
        <v>0</v>
      </c>
      <c r="P596" t="n">
        <v>0</v>
      </c>
      <c r="Q596" t="n">
        <v>0</v>
      </c>
      <c r="R596" s="2" t="inlineStr"/>
    </row>
    <row r="597" ht="15" customHeight="1">
      <c r="A597" t="inlineStr">
        <is>
          <t>A 65783-2020</t>
        </is>
      </c>
      <c r="B597" s="1" t="n">
        <v>44172</v>
      </c>
      <c r="C597" s="1" t="n">
        <v>45741</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65316-2020</t>
        </is>
      </c>
      <c r="B598" s="1" t="n">
        <v>44173</v>
      </c>
      <c r="C598" s="1" t="n">
        <v>45741</v>
      </c>
      <c r="D598" t="inlineStr">
        <is>
          <t>JÄMTLANDS LÄN</t>
        </is>
      </c>
      <c r="E598" t="inlineStr">
        <is>
          <t>KROKOM</t>
        </is>
      </c>
      <c r="F598" t="inlineStr">
        <is>
          <t>Övriga Aktiebolag</t>
        </is>
      </c>
      <c r="G598" t="n">
        <v>12.5</v>
      </c>
      <c r="H598" t="n">
        <v>0</v>
      </c>
      <c r="I598" t="n">
        <v>0</v>
      </c>
      <c r="J598" t="n">
        <v>0</v>
      </c>
      <c r="K598" t="n">
        <v>0</v>
      </c>
      <c r="L598" t="n">
        <v>0</v>
      </c>
      <c r="M598" t="n">
        <v>0</v>
      </c>
      <c r="N598" t="n">
        <v>0</v>
      </c>
      <c r="O598" t="n">
        <v>0</v>
      </c>
      <c r="P598" t="n">
        <v>0</v>
      </c>
      <c r="Q598" t="n">
        <v>0</v>
      </c>
      <c r="R598" s="2" t="inlineStr"/>
    </row>
    <row r="599" ht="15" customHeight="1">
      <c r="A599" t="inlineStr">
        <is>
          <t>A 66784-2020</t>
        </is>
      </c>
      <c r="B599" s="1" t="n">
        <v>44175</v>
      </c>
      <c r="C599" s="1" t="n">
        <v>45741</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66774-2020</t>
        </is>
      </c>
      <c r="B600" s="1" t="n">
        <v>44175</v>
      </c>
      <c r="C600" s="1" t="n">
        <v>45741</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67730-2020</t>
        </is>
      </c>
      <c r="B601" s="1" t="n">
        <v>44179</v>
      </c>
      <c r="C601" s="1" t="n">
        <v>45741</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68060-2020</t>
        </is>
      </c>
      <c r="B602" s="1" t="n">
        <v>44183</v>
      </c>
      <c r="C602" s="1" t="n">
        <v>45741</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68387-2020</t>
        </is>
      </c>
      <c r="B603" s="1" t="n">
        <v>44183</v>
      </c>
      <c r="C603" s="1" t="n">
        <v>45741</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68393-2020</t>
        </is>
      </c>
      <c r="B604" s="1" t="n">
        <v>44183</v>
      </c>
      <c r="C604" s="1" t="n">
        <v>45741</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68433-2020</t>
        </is>
      </c>
      <c r="B605" s="1" t="n">
        <v>44183</v>
      </c>
      <c r="C605" s="1" t="n">
        <v>45741</v>
      </c>
      <c r="D605" t="inlineStr">
        <is>
          <t>JÄMTLANDS LÄN</t>
        </is>
      </c>
      <c r="E605" t="inlineStr">
        <is>
          <t>KROKOM</t>
        </is>
      </c>
      <c r="G605" t="n">
        <v>7.4</v>
      </c>
      <c r="H605" t="n">
        <v>0</v>
      </c>
      <c r="I605" t="n">
        <v>0</v>
      </c>
      <c r="J605" t="n">
        <v>0</v>
      </c>
      <c r="K605" t="n">
        <v>0</v>
      </c>
      <c r="L605" t="n">
        <v>0</v>
      </c>
      <c r="M605" t="n">
        <v>0</v>
      </c>
      <c r="N605" t="n">
        <v>0</v>
      </c>
      <c r="O605" t="n">
        <v>0</v>
      </c>
      <c r="P605" t="n">
        <v>0</v>
      </c>
      <c r="Q605" t="n">
        <v>0</v>
      </c>
      <c r="R605" s="2" t="inlineStr"/>
    </row>
    <row r="606" ht="15" customHeight="1">
      <c r="A606" t="inlineStr">
        <is>
          <t>A 68395-2020</t>
        </is>
      </c>
      <c r="B606" s="1" t="n">
        <v>44183</v>
      </c>
      <c r="C606" s="1" t="n">
        <v>45741</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68658-2020</t>
        </is>
      </c>
      <c r="B607" s="1" t="n">
        <v>44186</v>
      </c>
      <c r="C607" s="1" t="n">
        <v>45741</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68764-2020</t>
        </is>
      </c>
      <c r="B608" s="1" t="n">
        <v>44186</v>
      </c>
      <c r="C608" s="1" t="n">
        <v>45741</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69120-2020</t>
        </is>
      </c>
      <c r="B609" s="1" t="n">
        <v>44188</v>
      </c>
      <c r="C609" s="1" t="n">
        <v>45741</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327-2021</t>
        </is>
      </c>
      <c r="B610" s="1" t="n">
        <v>44200</v>
      </c>
      <c r="C610" s="1" t="n">
        <v>45741</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688-2021</t>
        </is>
      </c>
      <c r="B611" s="1" t="n">
        <v>44203</v>
      </c>
      <c r="C611" s="1" t="n">
        <v>45741</v>
      </c>
      <c r="D611" t="inlineStr">
        <is>
          <t>JÄMTLANDS LÄN</t>
        </is>
      </c>
      <c r="E611" t="inlineStr">
        <is>
          <t>KROKOM</t>
        </is>
      </c>
      <c r="G611" t="n">
        <v>7.8</v>
      </c>
      <c r="H611" t="n">
        <v>0</v>
      </c>
      <c r="I611" t="n">
        <v>0</v>
      </c>
      <c r="J611" t="n">
        <v>0</v>
      </c>
      <c r="K611" t="n">
        <v>0</v>
      </c>
      <c r="L611" t="n">
        <v>0</v>
      </c>
      <c r="M611" t="n">
        <v>0</v>
      </c>
      <c r="N611" t="n">
        <v>0</v>
      </c>
      <c r="O611" t="n">
        <v>0</v>
      </c>
      <c r="P611" t="n">
        <v>0</v>
      </c>
      <c r="Q611" t="n">
        <v>0</v>
      </c>
      <c r="R611" s="2" t="inlineStr"/>
    </row>
    <row r="612" ht="15" customHeight="1">
      <c r="A612" t="inlineStr">
        <is>
          <t>A 884-2021</t>
        </is>
      </c>
      <c r="B612" s="1" t="n">
        <v>44206</v>
      </c>
      <c r="C612" s="1" t="n">
        <v>45741</v>
      </c>
      <c r="D612" t="inlineStr">
        <is>
          <t>JÄMTLANDS LÄN</t>
        </is>
      </c>
      <c r="E612" t="inlineStr">
        <is>
          <t>KROKOM</t>
        </is>
      </c>
      <c r="G612" t="n">
        <v>0.2</v>
      </c>
      <c r="H612" t="n">
        <v>0</v>
      </c>
      <c r="I612" t="n">
        <v>0</v>
      </c>
      <c r="J612" t="n">
        <v>0</v>
      </c>
      <c r="K612" t="n">
        <v>0</v>
      </c>
      <c r="L612" t="n">
        <v>0</v>
      </c>
      <c r="M612" t="n">
        <v>0</v>
      </c>
      <c r="N612" t="n">
        <v>0</v>
      </c>
      <c r="O612" t="n">
        <v>0</v>
      </c>
      <c r="P612" t="n">
        <v>0</v>
      </c>
      <c r="Q612" t="n">
        <v>0</v>
      </c>
      <c r="R612" s="2" t="inlineStr"/>
    </row>
    <row r="613" ht="15" customHeight="1">
      <c r="A613" t="inlineStr">
        <is>
          <t>A 913-2021</t>
        </is>
      </c>
      <c r="B613" s="1" t="n">
        <v>44207</v>
      </c>
      <c r="C613" s="1" t="n">
        <v>45741</v>
      </c>
      <c r="D613" t="inlineStr">
        <is>
          <t>JÄMTLANDS LÄN</t>
        </is>
      </c>
      <c r="E613" t="inlineStr">
        <is>
          <t>KROKOM</t>
        </is>
      </c>
      <c r="F613" t="inlineStr">
        <is>
          <t>Övriga Aktiebolag</t>
        </is>
      </c>
      <c r="G613" t="n">
        <v>50.8</v>
      </c>
      <c r="H613" t="n">
        <v>0</v>
      </c>
      <c r="I613" t="n">
        <v>0</v>
      </c>
      <c r="J613" t="n">
        <v>0</v>
      </c>
      <c r="K613" t="n">
        <v>0</v>
      </c>
      <c r="L613" t="n">
        <v>0</v>
      </c>
      <c r="M613" t="n">
        <v>0</v>
      </c>
      <c r="N613" t="n">
        <v>0</v>
      </c>
      <c r="O613" t="n">
        <v>0</v>
      </c>
      <c r="P613" t="n">
        <v>0</v>
      </c>
      <c r="Q613" t="n">
        <v>0</v>
      </c>
      <c r="R613" s="2" t="inlineStr"/>
    </row>
    <row r="614" ht="15" customHeight="1">
      <c r="A614" t="inlineStr">
        <is>
          <t>A 981-2021</t>
        </is>
      </c>
      <c r="B614" s="1" t="n">
        <v>44207</v>
      </c>
      <c r="C614" s="1" t="n">
        <v>45741</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915-2021</t>
        </is>
      </c>
      <c r="B615" s="1" t="n">
        <v>44207</v>
      </c>
      <c r="C615" s="1" t="n">
        <v>45741</v>
      </c>
      <c r="D615" t="inlineStr">
        <is>
          <t>JÄMTLANDS LÄN</t>
        </is>
      </c>
      <c r="E615" t="inlineStr">
        <is>
          <t>KROKOM</t>
        </is>
      </c>
      <c r="F615" t="inlineStr">
        <is>
          <t>Övriga Aktiebolag</t>
        </is>
      </c>
      <c r="G615" t="n">
        <v>107.9</v>
      </c>
      <c r="H615" t="n">
        <v>0</v>
      </c>
      <c r="I615" t="n">
        <v>0</v>
      </c>
      <c r="J615" t="n">
        <v>0</v>
      </c>
      <c r="K615" t="n">
        <v>0</v>
      </c>
      <c r="L615" t="n">
        <v>0</v>
      </c>
      <c r="M615" t="n">
        <v>0</v>
      </c>
      <c r="N615" t="n">
        <v>0</v>
      </c>
      <c r="O615" t="n">
        <v>0</v>
      </c>
      <c r="P615" t="n">
        <v>0</v>
      </c>
      <c r="Q615" t="n">
        <v>0</v>
      </c>
      <c r="R615" s="2" t="inlineStr"/>
    </row>
    <row r="616" ht="15" customHeight="1">
      <c r="A616" t="inlineStr">
        <is>
          <t>A 1287-2021</t>
        </is>
      </c>
      <c r="B616" s="1" t="n">
        <v>44207</v>
      </c>
      <c r="C616" s="1" t="n">
        <v>45741</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1696-2021</t>
        </is>
      </c>
      <c r="B617" s="1" t="n">
        <v>44209</v>
      </c>
      <c r="C617" s="1" t="n">
        <v>45741</v>
      </c>
      <c r="D617" t="inlineStr">
        <is>
          <t>JÄMTLANDS LÄN</t>
        </is>
      </c>
      <c r="E617" t="inlineStr">
        <is>
          <t>KROKOM</t>
        </is>
      </c>
      <c r="G617" t="n">
        <v>3.1</v>
      </c>
      <c r="H617" t="n">
        <v>0</v>
      </c>
      <c r="I617" t="n">
        <v>0</v>
      </c>
      <c r="J617" t="n">
        <v>0</v>
      </c>
      <c r="K617" t="n">
        <v>0</v>
      </c>
      <c r="L617" t="n">
        <v>0</v>
      </c>
      <c r="M617" t="n">
        <v>0</v>
      </c>
      <c r="N617" t="n">
        <v>0</v>
      </c>
      <c r="O617" t="n">
        <v>0</v>
      </c>
      <c r="P617" t="n">
        <v>0</v>
      </c>
      <c r="Q617" t="n">
        <v>0</v>
      </c>
      <c r="R617" s="2" t="inlineStr"/>
    </row>
    <row r="618" ht="15" customHeight="1">
      <c r="A618" t="inlineStr">
        <is>
          <t>A 1718-2021</t>
        </is>
      </c>
      <c r="B618" s="1" t="n">
        <v>44209</v>
      </c>
      <c r="C618" s="1" t="n">
        <v>45741</v>
      </c>
      <c r="D618" t="inlineStr">
        <is>
          <t>JÄMTLANDS LÄN</t>
        </is>
      </c>
      <c r="E618" t="inlineStr">
        <is>
          <t>KROKOM</t>
        </is>
      </c>
      <c r="G618" t="n">
        <v>8</v>
      </c>
      <c r="H618" t="n">
        <v>0</v>
      </c>
      <c r="I618" t="n">
        <v>0</v>
      </c>
      <c r="J618" t="n">
        <v>0</v>
      </c>
      <c r="K618" t="n">
        <v>0</v>
      </c>
      <c r="L618" t="n">
        <v>0</v>
      </c>
      <c r="M618" t="n">
        <v>0</v>
      </c>
      <c r="N618" t="n">
        <v>0</v>
      </c>
      <c r="O618" t="n">
        <v>0</v>
      </c>
      <c r="P618" t="n">
        <v>0</v>
      </c>
      <c r="Q618" t="n">
        <v>0</v>
      </c>
      <c r="R618" s="2" t="inlineStr"/>
    </row>
    <row r="619" ht="15" customHeight="1">
      <c r="A619" t="inlineStr">
        <is>
          <t>A 1753-2021</t>
        </is>
      </c>
      <c r="B619" s="1" t="n">
        <v>44209</v>
      </c>
      <c r="C619" s="1" t="n">
        <v>45741</v>
      </c>
      <c r="D619" t="inlineStr">
        <is>
          <t>JÄMTLANDS LÄN</t>
        </is>
      </c>
      <c r="E619" t="inlineStr">
        <is>
          <t>KROKOM</t>
        </is>
      </c>
      <c r="G619" t="n">
        <v>17.2</v>
      </c>
      <c r="H619" t="n">
        <v>0</v>
      </c>
      <c r="I619" t="n">
        <v>0</v>
      </c>
      <c r="J619" t="n">
        <v>0</v>
      </c>
      <c r="K619" t="n">
        <v>0</v>
      </c>
      <c r="L619" t="n">
        <v>0</v>
      </c>
      <c r="M619" t="n">
        <v>0</v>
      </c>
      <c r="N619" t="n">
        <v>0</v>
      </c>
      <c r="O619" t="n">
        <v>0</v>
      </c>
      <c r="P619" t="n">
        <v>0</v>
      </c>
      <c r="Q619" t="n">
        <v>0</v>
      </c>
      <c r="R619" s="2" t="inlineStr"/>
    </row>
    <row r="620" ht="15" customHeight="1">
      <c r="A620" t="inlineStr">
        <is>
          <t>A 1756-2021</t>
        </is>
      </c>
      <c r="B620" s="1" t="n">
        <v>44209</v>
      </c>
      <c r="C620" s="1" t="n">
        <v>45741</v>
      </c>
      <c r="D620" t="inlineStr">
        <is>
          <t>JÄMTLANDS LÄN</t>
        </is>
      </c>
      <c r="E620" t="inlineStr">
        <is>
          <t>KROKOM</t>
        </is>
      </c>
      <c r="G620" t="n">
        <v>7.4</v>
      </c>
      <c r="H620" t="n">
        <v>0</v>
      </c>
      <c r="I620" t="n">
        <v>0</v>
      </c>
      <c r="J620" t="n">
        <v>0</v>
      </c>
      <c r="K620" t="n">
        <v>0</v>
      </c>
      <c r="L620" t="n">
        <v>0</v>
      </c>
      <c r="M620" t="n">
        <v>0</v>
      </c>
      <c r="N620" t="n">
        <v>0</v>
      </c>
      <c r="O620" t="n">
        <v>0</v>
      </c>
      <c r="P620" t="n">
        <v>0</v>
      </c>
      <c r="Q620" t="n">
        <v>0</v>
      </c>
      <c r="R620" s="2" t="inlineStr"/>
    </row>
    <row r="621" ht="15" customHeight="1">
      <c r="A621" t="inlineStr">
        <is>
          <t>A 2062-2021</t>
        </is>
      </c>
      <c r="B621" s="1" t="n">
        <v>44211</v>
      </c>
      <c r="C621" s="1" t="n">
        <v>45741</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2356-2021</t>
        </is>
      </c>
      <c r="B622" s="1" t="n">
        <v>44214</v>
      </c>
      <c r="C622" s="1" t="n">
        <v>45741</v>
      </c>
      <c r="D622" t="inlineStr">
        <is>
          <t>JÄMTLANDS LÄN</t>
        </is>
      </c>
      <c r="E622" t="inlineStr">
        <is>
          <t>KROKOM</t>
        </is>
      </c>
      <c r="G622" t="n">
        <v>22.6</v>
      </c>
      <c r="H622" t="n">
        <v>0</v>
      </c>
      <c r="I622" t="n">
        <v>0</v>
      </c>
      <c r="J622" t="n">
        <v>0</v>
      </c>
      <c r="K622" t="n">
        <v>0</v>
      </c>
      <c r="L622" t="n">
        <v>0</v>
      </c>
      <c r="M622" t="n">
        <v>0</v>
      </c>
      <c r="N622" t="n">
        <v>0</v>
      </c>
      <c r="O622" t="n">
        <v>0</v>
      </c>
      <c r="P622" t="n">
        <v>0</v>
      </c>
      <c r="Q622" t="n">
        <v>0</v>
      </c>
      <c r="R622" s="2" t="inlineStr"/>
    </row>
    <row r="623" ht="15" customHeight="1">
      <c r="A623" t="inlineStr">
        <is>
          <t>A 2410-2021</t>
        </is>
      </c>
      <c r="B623" s="1" t="n">
        <v>44214</v>
      </c>
      <c r="C623" s="1" t="n">
        <v>45741</v>
      </c>
      <c r="D623" t="inlineStr">
        <is>
          <t>JÄMTLANDS LÄN</t>
        </is>
      </c>
      <c r="E623" t="inlineStr">
        <is>
          <t>KROKOM</t>
        </is>
      </c>
      <c r="G623" t="n">
        <v>32.7</v>
      </c>
      <c r="H623" t="n">
        <v>0</v>
      </c>
      <c r="I623" t="n">
        <v>0</v>
      </c>
      <c r="J623" t="n">
        <v>0</v>
      </c>
      <c r="K623" t="n">
        <v>0</v>
      </c>
      <c r="L623" t="n">
        <v>0</v>
      </c>
      <c r="M623" t="n">
        <v>0</v>
      </c>
      <c r="N623" t="n">
        <v>0</v>
      </c>
      <c r="O623" t="n">
        <v>0</v>
      </c>
      <c r="P623" t="n">
        <v>0</v>
      </c>
      <c r="Q623" t="n">
        <v>0</v>
      </c>
      <c r="R623" s="2" t="inlineStr"/>
    </row>
    <row r="624" ht="15" customHeight="1">
      <c r="A624" t="inlineStr">
        <is>
          <t>A 2427-2021</t>
        </is>
      </c>
      <c r="B624" s="1" t="n">
        <v>44214</v>
      </c>
      <c r="C624" s="1" t="n">
        <v>45741</v>
      </c>
      <c r="D624" t="inlineStr">
        <is>
          <t>JÄMTLANDS LÄN</t>
        </is>
      </c>
      <c r="E624" t="inlineStr">
        <is>
          <t>KROKOM</t>
        </is>
      </c>
      <c r="G624" t="n">
        <v>20.5</v>
      </c>
      <c r="H624" t="n">
        <v>0</v>
      </c>
      <c r="I624" t="n">
        <v>0</v>
      </c>
      <c r="J624" t="n">
        <v>0</v>
      </c>
      <c r="K624" t="n">
        <v>0</v>
      </c>
      <c r="L624" t="n">
        <v>0</v>
      </c>
      <c r="M624" t="n">
        <v>0</v>
      </c>
      <c r="N624" t="n">
        <v>0</v>
      </c>
      <c r="O624" t="n">
        <v>0</v>
      </c>
      <c r="P624" t="n">
        <v>0</v>
      </c>
      <c r="Q624" t="n">
        <v>0</v>
      </c>
      <c r="R624" s="2" t="inlineStr"/>
    </row>
    <row r="625" ht="15" customHeight="1">
      <c r="A625" t="inlineStr">
        <is>
          <t>A 2442-2021</t>
        </is>
      </c>
      <c r="B625" s="1" t="n">
        <v>44214</v>
      </c>
      <c r="C625" s="1" t="n">
        <v>45741</v>
      </c>
      <c r="D625" t="inlineStr">
        <is>
          <t>JÄMTLANDS LÄN</t>
        </is>
      </c>
      <c r="E625" t="inlineStr">
        <is>
          <t>KROKOM</t>
        </is>
      </c>
      <c r="G625" t="n">
        <v>25.4</v>
      </c>
      <c r="H625" t="n">
        <v>0</v>
      </c>
      <c r="I625" t="n">
        <v>0</v>
      </c>
      <c r="J625" t="n">
        <v>0</v>
      </c>
      <c r="K625" t="n">
        <v>0</v>
      </c>
      <c r="L625" t="n">
        <v>0</v>
      </c>
      <c r="M625" t="n">
        <v>0</v>
      </c>
      <c r="N625" t="n">
        <v>0</v>
      </c>
      <c r="O625" t="n">
        <v>0</v>
      </c>
      <c r="P625" t="n">
        <v>0</v>
      </c>
      <c r="Q625" t="n">
        <v>0</v>
      </c>
      <c r="R625" s="2" t="inlineStr"/>
    </row>
    <row r="626" ht="15" customHeight="1">
      <c r="A626" t="inlineStr">
        <is>
          <t>A 2451-2021</t>
        </is>
      </c>
      <c r="B626" s="1" t="n">
        <v>44214</v>
      </c>
      <c r="C626" s="1" t="n">
        <v>45741</v>
      </c>
      <c r="D626" t="inlineStr">
        <is>
          <t>JÄMTLANDS LÄN</t>
        </is>
      </c>
      <c r="E626" t="inlineStr">
        <is>
          <t>KROKOM</t>
        </is>
      </c>
      <c r="G626" t="n">
        <v>29.5</v>
      </c>
      <c r="H626" t="n">
        <v>0</v>
      </c>
      <c r="I626" t="n">
        <v>0</v>
      </c>
      <c r="J626" t="n">
        <v>0</v>
      </c>
      <c r="K626" t="n">
        <v>0</v>
      </c>
      <c r="L626" t="n">
        <v>0</v>
      </c>
      <c r="M626" t="n">
        <v>0</v>
      </c>
      <c r="N626" t="n">
        <v>0</v>
      </c>
      <c r="O626" t="n">
        <v>0</v>
      </c>
      <c r="P626" t="n">
        <v>0</v>
      </c>
      <c r="Q626" t="n">
        <v>0</v>
      </c>
      <c r="R626" s="2" t="inlineStr"/>
    </row>
    <row r="627" ht="15" customHeight="1">
      <c r="A627" t="inlineStr">
        <is>
          <t>A 2568-2021</t>
        </is>
      </c>
      <c r="B627" s="1" t="n">
        <v>44214</v>
      </c>
      <c r="C627" s="1" t="n">
        <v>45741</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5422-2021</t>
        </is>
      </c>
      <c r="B628" s="1" t="n">
        <v>44228</v>
      </c>
      <c r="C628" s="1" t="n">
        <v>45741</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8154-2021</t>
        </is>
      </c>
      <c r="B629" s="1" t="n">
        <v>44243</v>
      </c>
      <c r="C629" s="1" t="n">
        <v>45741</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8302-2021</t>
        </is>
      </c>
      <c r="B630" s="1" t="n">
        <v>44244</v>
      </c>
      <c r="C630" s="1" t="n">
        <v>45741</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10008-2021</t>
        </is>
      </c>
      <c r="B631" s="1" t="n">
        <v>44255</v>
      </c>
      <c r="C631" s="1" t="n">
        <v>45741</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10303-2021</t>
        </is>
      </c>
      <c r="B632" s="1" t="n">
        <v>44256</v>
      </c>
      <c r="C632" s="1" t="n">
        <v>45741</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11117-2021</t>
        </is>
      </c>
      <c r="B633" s="1" t="n">
        <v>44260</v>
      </c>
      <c r="C633" s="1" t="n">
        <v>45741</v>
      </c>
      <c r="D633" t="inlineStr">
        <is>
          <t>JÄMTLANDS LÄN</t>
        </is>
      </c>
      <c r="E633" t="inlineStr">
        <is>
          <t>KROKOM</t>
        </is>
      </c>
      <c r="G633" t="n">
        <v>8</v>
      </c>
      <c r="H633" t="n">
        <v>0</v>
      </c>
      <c r="I633" t="n">
        <v>0</v>
      </c>
      <c r="J633" t="n">
        <v>0</v>
      </c>
      <c r="K633" t="n">
        <v>0</v>
      </c>
      <c r="L633" t="n">
        <v>0</v>
      </c>
      <c r="M633" t="n">
        <v>0</v>
      </c>
      <c r="N633" t="n">
        <v>0</v>
      </c>
      <c r="O633" t="n">
        <v>0</v>
      </c>
      <c r="P633" t="n">
        <v>0</v>
      </c>
      <c r="Q633" t="n">
        <v>0</v>
      </c>
      <c r="R633" s="2" t="inlineStr"/>
    </row>
    <row r="634" ht="15" customHeight="1">
      <c r="A634" t="inlineStr">
        <is>
          <t>A 11530-2021</t>
        </is>
      </c>
      <c r="B634" s="1" t="n">
        <v>44263</v>
      </c>
      <c r="C634" s="1" t="n">
        <v>45741</v>
      </c>
      <c r="D634" t="inlineStr">
        <is>
          <t>JÄMTLANDS LÄN</t>
        </is>
      </c>
      <c r="E634" t="inlineStr">
        <is>
          <t>KROKOM</t>
        </is>
      </c>
      <c r="G634" t="n">
        <v>9</v>
      </c>
      <c r="H634" t="n">
        <v>0</v>
      </c>
      <c r="I634" t="n">
        <v>0</v>
      </c>
      <c r="J634" t="n">
        <v>0</v>
      </c>
      <c r="K634" t="n">
        <v>0</v>
      </c>
      <c r="L634" t="n">
        <v>0</v>
      </c>
      <c r="M634" t="n">
        <v>0</v>
      </c>
      <c r="N634" t="n">
        <v>0</v>
      </c>
      <c r="O634" t="n">
        <v>0</v>
      </c>
      <c r="P634" t="n">
        <v>0</v>
      </c>
      <c r="Q634" t="n">
        <v>0</v>
      </c>
      <c r="R634" s="2" t="inlineStr"/>
    </row>
    <row r="635" ht="15" customHeight="1">
      <c r="A635" t="inlineStr">
        <is>
          <t>A 12721-2021</t>
        </is>
      </c>
      <c r="B635" s="1" t="n">
        <v>44270</v>
      </c>
      <c r="C635" s="1" t="n">
        <v>45741</v>
      </c>
      <c r="D635" t="inlineStr">
        <is>
          <t>JÄMTLANDS LÄN</t>
        </is>
      </c>
      <c r="E635" t="inlineStr">
        <is>
          <t>KROKOM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12884-2021</t>
        </is>
      </c>
      <c r="B636" s="1" t="n">
        <v>44271</v>
      </c>
      <c r="C636" s="1" t="n">
        <v>45741</v>
      </c>
      <c r="D636" t="inlineStr">
        <is>
          <t>JÄMTLANDS LÄN</t>
        </is>
      </c>
      <c r="E636" t="inlineStr">
        <is>
          <t>KROKOM</t>
        </is>
      </c>
      <c r="G636" t="n">
        <v>5.5</v>
      </c>
      <c r="H636" t="n">
        <v>0</v>
      </c>
      <c r="I636" t="n">
        <v>0</v>
      </c>
      <c r="J636" t="n">
        <v>0</v>
      </c>
      <c r="K636" t="n">
        <v>0</v>
      </c>
      <c r="L636" t="n">
        <v>0</v>
      </c>
      <c r="M636" t="n">
        <v>0</v>
      </c>
      <c r="N636" t="n">
        <v>0</v>
      </c>
      <c r="O636" t="n">
        <v>0</v>
      </c>
      <c r="P636" t="n">
        <v>0</v>
      </c>
      <c r="Q636" t="n">
        <v>0</v>
      </c>
      <c r="R636" s="2" t="inlineStr"/>
    </row>
    <row r="637" ht="15" customHeight="1">
      <c r="A637" t="inlineStr">
        <is>
          <t>A 12889-2021</t>
        </is>
      </c>
      <c r="B637" s="1" t="n">
        <v>44271</v>
      </c>
      <c r="C637" s="1" t="n">
        <v>45741</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13395-2021</t>
        </is>
      </c>
      <c r="B638" s="1" t="n">
        <v>44273</v>
      </c>
      <c r="C638" s="1" t="n">
        <v>45741</v>
      </c>
      <c r="D638" t="inlineStr">
        <is>
          <t>JÄMTLANDS LÄN</t>
        </is>
      </c>
      <c r="E638" t="inlineStr">
        <is>
          <t>KROKOM</t>
        </is>
      </c>
      <c r="G638" t="n">
        <v>13.7</v>
      </c>
      <c r="H638" t="n">
        <v>0</v>
      </c>
      <c r="I638" t="n">
        <v>0</v>
      </c>
      <c r="J638" t="n">
        <v>0</v>
      </c>
      <c r="K638" t="n">
        <v>0</v>
      </c>
      <c r="L638" t="n">
        <v>0</v>
      </c>
      <c r="M638" t="n">
        <v>0</v>
      </c>
      <c r="N638" t="n">
        <v>0</v>
      </c>
      <c r="O638" t="n">
        <v>0</v>
      </c>
      <c r="P638" t="n">
        <v>0</v>
      </c>
      <c r="Q638" t="n">
        <v>0</v>
      </c>
      <c r="R638" s="2" t="inlineStr"/>
    </row>
    <row r="639" ht="15" customHeight="1">
      <c r="A639" t="inlineStr">
        <is>
          <t>A 13989-2021</t>
        </is>
      </c>
      <c r="B639" s="1" t="n">
        <v>44277</v>
      </c>
      <c r="C639" s="1" t="n">
        <v>45741</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14167-2021</t>
        </is>
      </c>
      <c r="B640" s="1" t="n">
        <v>44278</v>
      </c>
      <c r="C640" s="1" t="n">
        <v>45741</v>
      </c>
      <c r="D640" t="inlineStr">
        <is>
          <t>JÄMTLANDS LÄN</t>
        </is>
      </c>
      <c r="E640" t="inlineStr">
        <is>
          <t>KROKOM</t>
        </is>
      </c>
      <c r="G640" t="n">
        <v>5.4</v>
      </c>
      <c r="H640" t="n">
        <v>0</v>
      </c>
      <c r="I640" t="n">
        <v>0</v>
      </c>
      <c r="J640" t="n">
        <v>0</v>
      </c>
      <c r="K640" t="n">
        <v>0</v>
      </c>
      <c r="L640" t="n">
        <v>0</v>
      </c>
      <c r="M640" t="n">
        <v>0</v>
      </c>
      <c r="N640" t="n">
        <v>0</v>
      </c>
      <c r="O640" t="n">
        <v>0</v>
      </c>
      <c r="P640" t="n">
        <v>0</v>
      </c>
      <c r="Q640" t="n">
        <v>0</v>
      </c>
      <c r="R640" s="2" t="inlineStr"/>
    </row>
    <row r="641" ht="15" customHeight="1">
      <c r="A641" t="inlineStr">
        <is>
          <t>A 14593-2021</t>
        </is>
      </c>
      <c r="B641" s="1" t="n">
        <v>44279</v>
      </c>
      <c r="C641" s="1" t="n">
        <v>45741</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14598-2021</t>
        </is>
      </c>
      <c r="B642" s="1" t="n">
        <v>44279</v>
      </c>
      <c r="C642" s="1" t="n">
        <v>45741</v>
      </c>
      <c r="D642" t="inlineStr">
        <is>
          <t>JÄMTLANDS LÄN</t>
        </is>
      </c>
      <c r="E642" t="inlineStr">
        <is>
          <t>KROKOM</t>
        </is>
      </c>
      <c r="G642" t="n">
        <v>25.4</v>
      </c>
      <c r="H642" t="n">
        <v>0</v>
      </c>
      <c r="I642" t="n">
        <v>0</v>
      </c>
      <c r="J642" t="n">
        <v>0</v>
      </c>
      <c r="K642" t="n">
        <v>0</v>
      </c>
      <c r="L642" t="n">
        <v>0</v>
      </c>
      <c r="M642" t="n">
        <v>0</v>
      </c>
      <c r="N642" t="n">
        <v>0</v>
      </c>
      <c r="O642" t="n">
        <v>0</v>
      </c>
      <c r="P642" t="n">
        <v>0</v>
      </c>
      <c r="Q642" t="n">
        <v>0</v>
      </c>
      <c r="R642" s="2" t="inlineStr"/>
    </row>
    <row r="643" ht="15" customHeight="1">
      <c r="A643" t="inlineStr">
        <is>
          <t>A 14591-2021</t>
        </is>
      </c>
      <c r="B643" s="1" t="n">
        <v>44279</v>
      </c>
      <c r="C643" s="1" t="n">
        <v>45741</v>
      </c>
      <c r="D643" t="inlineStr">
        <is>
          <t>JÄMTLANDS LÄN</t>
        </is>
      </c>
      <c r="E643" t="inlineStr">
        <is>
          <t>KROKOM</t>
        </is>
      </c>
      <c r="G643" t="n">
        <v>4</v>
      </c>
      <c r="H643" t="n">
        <v>0</v>
      </c>
      <c r="I643" t="n">
        <v>0</v>
      </c>
      <c r="J643" t="n">
        <v>0</v>
      </c>
      <c r="K643" t="n">
        <v>0</v>
      </c>
      <c r="L643" t="n">
        <v>0</v>
      </c>
      <c r="M643" t="n">
        <v>0</v>
      </c>
      <c r="N643" t="n">
        <v>0</v>
      </c>
      <c r="O643" t="n">
        <v>0</v>
      </c>
      <c r="P643" t="n">
        <v>0</v>
      </c>
      <c r="Q643" t="n">
        <v>0</v>
      </c>
      <c r="R643" s="2" t="inlineStr"/>
    </row>
    <row r="644" ht="15" customHeight="1">
      <c r="A644" t="inlineStr">
        <is>
          <t>A 14595-2021</t>
        </is>
      </c>
      <c r="B644" s="1" t="n">
        <v>44279</v>
      </c>
      <c r="C644" s="1" t="n">
        <v>45741</v>
      </c>
      <c r="D644" t="inlineStr">
        <is>
          <t>JÄMTLANDS LÄN</t>
        </is>
      </c>
      <c r="E644" t="inlineStr">
        <is>
          <t>KROKOM</t>
        </is>
      </c>
      <c r="G644" t="n">
        <v>4.5</v>
      </c>
      <c r="H644" t="n">
        <v>0</v>
      </c>
      <c r="I644" t="n">
        <v>0</v>
      </c>
      <c r="J644" t="n">
        <v>0</v>
      </c>
      <c r="K644" t="n">
        <v>0</v>
      </c>
      <c r="L644" t="n">
        <v>0</v>
      </c>
      <c r="M644" t="n">
        <v>0</v>
      </c>
      <c r="N644" t="n">
        <v>0</v>
      </c>
      <c r="O644" t="n">
        <v>0</v>
      </c>
      <c r="P644" t="n">
        <v>0</v>
      </c>
      <c r="Q644" t="n">
        <v>0</v>
      </c>
      <c r="R644" s="2" t="inlineStr"/>
    </row>
    <row r="645" ht="15" customHeight="1">
      <c r="A645" t="inlineStr">
        <is>
          <t>A 14592-2021</t>
        </is>
      </c>
      <c r="B645" s="1" t="n">
        <v>44279</v>
      </c>
      <c r="C645" s="1" t="n">
        <v>45741</v>
      </c>
      <c r="D645" t="inlineStr">
        <is>
          <t>JÄMTLANDS LÄN</t>
        </is>
      </c>
      <c r="E645" t="inlineStr">
        <is>
          <t>KROKOM</t>
        </is>
      </c>
      <c r="G645" t="n">
        <v>5.6</v>
      </c>
      <c r="H645" t="n">
        <v>0</v>
      </c>
      <c r="I645" t="n">
        <v>0</v>
      </c>
      <c r="J645" t="n">
        <v>0</v>
      </c>
      <c r="K645" t="n">
        <v>0</v>
      </c>
      <c r="L645" t="n">
        <v>0</v>
      </c>
      <c r="M645" t="n">
        <v>0</v>
      </c>
      <c r="N645" t="n">
        <v>0</v>
      </c>
      <c r="O645" t="n">
        <v>0</v>
      </c>
      <c r="P645" t="n">
        <v>0</v>
      </c>
      <c r="Q645" t="n">
        <v>0</v>
      </c>
      <c r="R645" s="2" t="inlineStr"/>
    </row>
    <row r="646" ht="15" customHeight="1">
      <c r="A646" t="inlineStr">
        <is>
          <t>A 14596-2021</t>
        </is>
      </c>
      <c r="B646" s="1" t="n">
        <v>44279</v>
      </c>
      <c r="C646" s="1" t="n">
        <v>45741</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15425-2021</t>
        </is>
      </c>
      <c r="B647" s="1" t="n">
        <v>44284</v>
      </c>
      <c r="C647" s="1" t="n">
        <v>45741</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15452-2021</t>
        </is>
      </c>
      <c r="B648" s="1" t="n">
        <v>44285</v>
      </c>
      <c r="C648" s="1" t="n">
        <v>45741</v>
      </c>
      <c r="D648" t="inlineStr">
        <is>
          <t>JÄMTLANDS LÄN</t>
        </is>
      </c>
      <c r="E648" t="inlineStr">
        <is>
          <t>KROKOM</t>
        </is>
      </c>
      <c r="G648" t="n">
        <v>1.3</v>
      </c>
      <c r="H648" t="n">
        <v>0</v>
      </c>
      <c r="I648" t="n">
        <v>0</v>
      </c>
      <c r="J648" t="n">
        <v>0</v>
      </c>
      <c r="K648" t="n">
        <v>0</v>
      </c>
      <c r="L648" t="n">
        <v>0</v>
      </c>
      <c r="M648" t="n">
        <v>0</v>
      </c>
      <c r="N648" t="n">
        <v>0</v>
      </c>
      <c r="O648" t="n">
        <v>0</v>
      </c>
      <c r="P648" t="n">
        <v>0</v>
      </c>
      <c r="Q648" t="n">
        <v>0</v>
      </c>
      <c r="R648" s="2" t="inlineStr"/>
    </row>
    <row r="649" ht="15" customHeight="1">
      <c r="A649" t="inlineStr">
        <is>
          <t>A 15455-2021</t>
        </is>
      </c>
      <c r="B649" s="1" t="n">
        <v>44285</v>
      </c>
      <c r="C649" s="1" t="n">
        <v>45741</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15451-2021</t>
        </is>
      </c>
      <c r="B650" s="1" t="n">
        <v>44285</v>
      </c>
      <c r="C650" s="1" t="n">
        <v>45741</v>
      </c>
      <c r="D650" t="inlineStr">
        <is>
          <t>JÄMTLANDS LÄN</t>
        </is>
      </c>
      <c r="E650" t="inlineStr">
        <is>
          <t>KROKOM</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15748-2021</t>
        </is>
      </c>
      <c r="B651" s="1" t="n">
        <v>44286</v>
      </c>
      <c r="C651" s="1" t="n">
        <v>45741</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16188-2021</t>
        </is>
      </c>
      <c r="B652" s="1" t="n">
        <v>44287</v>
      </c>
      <c r="C652" s="1" t="n">
        <v>45741</v>
      </c>
      <c r="D652" t="inlineStr">
        <is>
          <t>JÄMTLANDS LÄN</t>
        </is>
      </c>
      <c r="E652" t="inlineStr">
        <is>
          <t>KROKOM</t>
        </is>
      </c>
      <c r="G652" t="n">
        <v>30.5</v>
      </c>
      <c r="H652" t="n">
        <v>0</v>
      </c>
      <c r="I652" t="n">
        <v>0</v>
      </c>
      <c r="J652" t="n">
        <v>0</v>
      </c>
      <c r="K652" t="n">
        <v>0</v>
      </c>
      <c r="L652" t="n">
        <v>0</v>
      </c>
      <c r="M652" t="n">
        <v>0</v>
      </c>
      <c r="N652" t="n">
        <v>0</v>
      </c>
      <c r="O652" t="n">
        <v>0</v>
      </c>
      <c r="P652" t="n">
        <v>0</v>
      </c>
      <c r="Q652" t="n">
        <v>0</v>
      </c>
      <c r="R652" s="2" t="inlineStr"/>
    </row>
    <row r="653" ht="15" customHeight="1">
      <c r="A653" t="inlineStr">
        <is>
          <t>A 16242-2021</t>
        </is>
      </c>
      <c r="B653" s="1" t="n">
        <v>44292</v>
      </c>
      <c r="C653" s="1" t="n">
        <v>45741</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17599-2021</t>
        </is>
      </c>
      <c r="B654" s="1" t="n">
        <v>44299</v>
      </c>
      <c r="C654" s="1" t="n">
        <v>45741</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17726-2021</t>
        </is>
      </c>
      <c r="B655" s="1" t="n">
        <v>44300</v>
      </c>
      <c r="C655" s="1" t="n">
        <v>45741</v>
      </c>
      <c r="D655" t="inlineStr">
        <is>
          <t>JÄMTLANDS LÄN</t>
        </is>
      </c>
      <c r="E655" t="inlineStr">
        <is>
          <t>KROKOM</t>
        </is>
      </c>
      <c r="G655" t="n">
        <v>30.7</v>
      </c>
      <c r="H655" t="n">
        <v>0</v>
      </c>
      <c r="I655" t="n">
        <v>0</v>
      </c>
      <c r="J655" t="n">
        <v>0</v>
      </c>
      <c r="K655" t="n">
        <v>0</v>
      </c>
      <c r="L655" t="n">
        <v>0</v>
      </c>
      <c r="M655" t="n">
        <v>0</v>
      </c>
      <c r="N655" t="n">
        <v>0</v>
      </c>
      <c r="O655" t="n">
        <v>0</v>
      </c>
      <c r="P655" t="n">
        <v>0</v>
      </c>
      <c r="Q655" t="n">
        <v>0</v>
      </c>
      <c r="R655" s="2" t="inlineStr"/>
    </row>
    <row r="656" ht="15" customHeight="1">
      <c r="A656" t="inlineStr">
        <is>
          <t>A 18544-2021</t>
        </is>
      </c>
      <c r="B656" s="1" t="n">
        <v>44306</v>
      </c>
      <c r="C656" s="1" t="n">
        <v>45741</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18731-2021</t>
        </is>
      </c>
      <c r="B657" s="1" t="n">
        <v>44307</v>
      </c>
      <c r="C657" s="1" t="n">
        <v>45741</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20405-2021</t>
        </is>
      </c>
      <c r="B658" s="1" t="n">
        <v>44312</v>
      </c>
      <c r="C658" s="1" t="n">
        <v>45741</v>
      </c>
      <c r="D658" t="inlineStr">
        <is>
          <t>JÄMTLANDS LÄN</t>
        </is>
      </c>
      <c r="E658" t="inlineStr">
        <is>
          <t>KROKOM</t>
        </is>
      </c>
      <c r="G658" t="n">
        <v>7.1</v>
      </c>
      <c r="H658" t="n">
        <v>0</v>
      </c>
      <c r="I658" t="n">
        <v>0</v>
      </c>
      <c r="J658" t="n">
        <v>0</v>
      </c>
      <c r="K658" t="n">
        <v>0</v>
      </c>
      <c r="L658" t="n">
        <v>0</v>
      </c>
      <c r="M658" t="n">
        <v>0</v>
      </c>
      <c r="N658" t="n">
        <v>0</v>
      </c>
      <c r="O658" t="n">
        <v>0</v>
      </c>
      <c r="P658" t="n">
        <v>0</v>
      </c>
      <c r="Q658" t="n">
        <v>0</v>
      </c>
      <c r="R658" s="2" t="inlineStr"/>
    </row>
    <row r="659" ht="15" customHeight="1">
      <c r="A659" t="inlineStr">
        <is>
          <t>A 19984-2021</t>
        </is>
      </c>
      <c r="B659" s="1" t="n">
        <v>44313</v>
      </c>
      <c r="C659" s="1" t="n">
        <v>45741</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21000-2021</t>
        </is>
      </c>
      <c r="B660" s="1" t="n">
        <v>44316</v>
      </c>
      <c r="C660" s="1" t="n">
        <v>45741</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22083-2021</t>
        </is>
      </c>
      <c r="B661" s="1" t="n">
        <v>44323</v>
      </c>
      <c r="C661" s="1" t="n">
        <v>45741</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22511-2021</t>
        </is>
      </c>
      <c r="B662" s="1" t="n">
        <v>44326</v>
      </c>
      <c r="C662" s="1" t="n">
        <v>45741</v>
      </c>
      <c r="D662" t="inlineStr">
        <is>
          <t>JÄMTLANDS LÄN</t>
        </is>
      </c>
      <c r="E662" t="inlineStr">
        <is>
          <t>KROKOM</t>
        </is>
      </c>
      <c r="G662" t="n">
        <v>6.9</v>
      </c>
      <c r="H662" t="n">
        <v>0</v>
      </c>
      <c r="I662" t="n">
        <v>0</v>
      </c>
      <c r="J662" t="n">
        <v>0</v>
      </c>
      <c r="K662" t="n">
        <v>0</v>
      </c>
      <c r="L662" t="n">
        <v>0</v>
      </c>
      <c r="M662" t="n">
        <v>0</v>
      </c>
      <c r="N662" t="n">
        <v>0</v>
      </c>
      <c r="O662" t="n">
        <v>0</v>
      </c>
      <c r="P662" t="n">
        <v>0</v>
      </c>
      <c r="Q662" t="n">
        <v>0</v>
      </c>
      <c r="R662" s="2" t="inlineStr"/>
    </row>
    <row r="663" ht="15" customHeight="1">
      <c r="A663" t="inlineStr">
        <is>
          <t>A 23139-2021</t>
        </is>
      </c>
      <c r="B663" s="1" t="n">
        <v>44331</v>
      </c>
      <c r="C663" s="1" t="n">
        <v>45741</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23601-2021</t>
        </is>
      </c>
      <c r="B664" s="1" t="n">
        <v>44334</v>
      </c>
      <c r="C664" s="1" t="n">
        <v>45741</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23832-2021</t>
        </is>
      </c>
      <c r="B665" s="1" t="n">
        <v>44335</v>
      </c>
      <c r="C665" s="1" t="n">
        <v>45741</v>
      </c>
      <c r="D665" t="inlineStr">
        <is>
          <t>JÄMTLANDS LÄN</t>
        </is>
      </c>
      <c r="E665" t="inlineStr">
        <is>
          <t>KROKOM</t>
        </is>
      </c>
      <c r="G665" t="n">
        <v>20</v>
      </c>
      <c r="H665" t="n">
        <v>0</v>
      </c>
      <c r="I665" t="n">
        <v>0</v>
      </c>
      <c r="J665" t="n">
        <v>0</v>
      </c>
      <c r="K665" t="n">
        <v>0</v>
      </c>
      <c r="L665" t="n">
        <v>0</v>
      </c>
      <c r="M665" t="n">
        <v>0</v>
      </c>
      <c r="N665" t="n">
        <v>0</v>
      </c>
      <c r="O665" t="n">
        <v>0</v>
      </c>
      <c r="P665" t="n">
        <v>0</v>
      </c>
      <c r="Q665" t="n">
        <v>0</v>
      </c>
      <c r="R665" s="2" t="inlineStr"/>
    </row>
    <row r="666" ht="15" customHeight="1">
      <c r="A666" t="inlineStr">
        <is>
          <t>A 24436-2021</t>
        </is>
      </c>
      <c r="B666" s="1" t="n">
        <v>44337</v>
      </c>
      <c r="C666" s="1" t="n">
        <v>45741</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24677-2021</t>
        </is>
      </c>
      <c r="B667" s="1" t="n">
        <v>44337</v>
      </c>
      <c r="C667" s="1" t="n">
        <v>45741</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26077-2021</t>
        </is>
      </c>
      <c r="B668" s="1" t="n">
        <v>44344</v>
      </c>
      <c r="C668" s="1" t="n">
        <v>45741</v>
      </c>
      <c r="D668" t="inlineStr">
        <is>
          <t>JÄMTLANDS LÄN</t>
        </is>
      </c>
      <c r="E668" t="inlineStr">
        <is>
          <t>KROKOM</t>
        </is>
      </c>
      <c r="G668" t="n">
        <v>7.6</v>
      </c>
      <c r="H668" t="n">
        <v>0</v>
      </c>
      <c r="I668" t="n">
        <v>0</v>
      </c>
      <c r="J668" t="n">
        <v>0</v>
      </c>
      <c r="K668" t="n">
        <v>0</v>
      </c>
      <c r="L668" t="n">
        <v>0</v>
      </c>
      <c r="M668" t="n">
        <v>0</v>
      </c>
      <c r="N668" t="n">
        <v>0</v>
      </c>
      <c r="O668" t="n">
        <v>0</v>
      </c>
      <c r="P668" t="n">
        <v>0</v>
      </c>
      <c r="Q668" t="n">
        <v>0</v>
      </c>
      <c r="R668" s="2" t="inlineStr"/>
    </row>
    <row r="669" ht="15" customHeight="1">
      <c r="A669" t="inlineStr">
        <is>
          <t>A 26508-2021</t>
        </is>
      </c>
      <c r="B669" s="1" t="n">
        <v>44348</v>
      </c>
      <c r="C669" s="1" t="n">
        <v>45741</v>
      </c>
      <c r="D669" t="inlineStr">
        <is>
          <t>JÄMTLANDS LÄN</t>
        </is>
      </c>
      <c r="E669" t="inlineStr">
        <is>
          <t>KROKOM</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27000-2021</t>
        </is>
      </c>
      <c r="B670" s="1" t="n">
        <v>44349</v>
      </c>
      <c r="C670" s="1" t="n">
        <v>45741</v>
      </c>
      <c r="D670" t="inlineStr">
        <is>
          <t>JÄMTLANDS LÄN</t>
        </is>
      </c>
      <c r="E670" t="inlineStr">
        <is>
          <t>KROKOM</t>
        </is>
      </c>
      <c r="F670" t="inlineStr">
        <is>
          <t>Allmännings- och besparingsskogar</t>
        </is>
      </c>
      <c r="G670" t="n">
        <v>2.3</v>
      </c>
      <c r="H670" t="n">
        <v>0</v>
      </c>
      <c r="I670" t="n">
        <v>0</v>
      </c>
      <c r="J670" t="n">
        <v>0</v>
      </c>
      <c r="K670" t="n">
        <v>0</v>
      </c>
      <c r="L670" t="n">
        <v>0</v>
      </c>
      <c r="M670" t="n">
        <v>0</v>
      </c>
      <c r="N670" t="n">
        <v>0</v>
      </c>
      <c r="O670" t="n">
        <v>0</v>
      </c>
      <c r="P670" t="n">
        <v>0</v>
      </c>
      <c r="Q670" t="n">
        <v>0</v>
      </c>
      <c r="R670" s="2" t="inlineStr"/>
    </row>
    <row r="671" ht="15" customHeight="1">
      <c r="A671" t="inlineStr">
        <is>
          <t>A 28990-2021</t>
        </is>
      </c>
      <c r="B671" s="1" t="n">
        <v>44358</v>
      </c>
      <c r="C671" s="1" t="n">
        <v>45741</v>
      </c>
      <c r="D671" t="inlineStr">
        <is>
          <t>JÄMTLANDS LÄN</t>
        </is>
      </c>
      <c r="E671" t="inlineStr">
        <is>
          <t>KROKOM</t>
        </is>
      </c>
      <c r="G671" t="n">
        <v>4.3</v>
      </c>
      <c r="H671" t="n">
        <v>0</v>
      </c>
      <c r="I671" t="n">
        <v>0</v>
      </c>
      <c r="J671" t="n">
        <v>0</v>
      </c>
      <c r="K671" t="n">
        <v>0</v>
      </c>
      <c r="L671" t="n">
        <v>0</v>
      </c>
      <c r="M671" t="n">
        <v>0</v>
      </c>
      <c r="N671" t="n">
        <v>0</v>
      </c>
      <c r="O671" t="n">
        <v>0</v>
      </c>
      <c r="P671" t="n">
        <v>0</v>
      </c>
      <c r="Q671" t="n">
        <v>0</v>
      </c>
      <c r="R671" s="2" t="inlineStr"/>
    </row>
    <row r="672" ht="15" customHeight="1">
      <c r="A672" t="inlineStr">
        <is>
          <t>A 29146-2021</t>
        </is>
      </c>
      <c r="B672" s="1" t="n">
        <v>44358</v>
      </c>
      <c r="C672" s="1" t="n">
        <v>45741</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29896-2021</t>
        </is>
      </c>
      <c r="B673" s="1" t="n">
        <v>44362</v>
      </c>
      <c r="C673" s="1" t="n">
        <v>45741</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30145-2021</t>
        </is>
      </c>
      <c r="B674" s="1" t="n">
        <v>44363</v>
      </c>
      <c r="C674" s="1" t="n">
        <v>45741</v>
      </c>
      <c r="D674" t="inlineStr">
        <is>
          <t>JÄMTLANDS LÄN</t>
        </is>
      </c>
      <c r="E674" t="inlineStr">
        <is>
          <t>KROKOM</t>
        </is>
      </c>
      <c r="G674" t="n">
        <v>5.1</v>
      </c>
      <c r="H674" t="n">
        <v>0</v>
      </c>
      <c r="I674" t="n">
        <v>0</v>
      </c>
      <c r="J674" t="n">
        <v>0</v>
      </c>
      <c r="K674" t="n">
        <v>0</v>
      </c>
      <c r="L674" t="n">
        <v>0</v>
      </c>
      <c r="M674" t="n">
        <v>0</v>
      </c>
      <c r="N674" t="n">
        <v>0</v>
      </c>
      <c r="O674" t="n">
        <v>0</v>
      </c>
      <c r="P674" t="n">
        <v>0</v>
      </c>
      <c r="Q674" t="n">
        <v>0</v>
      </c>
      <c r="R674" s="2" t="inlineStr"/>
    </row>
    <row r="675" ht="15" customHeight="1">
      <c r="A675" t="inlineStr">
        <is>
          <t>A 31467-2021</t>
        </is>
      </c>
      <c r="B675" s="1" t="n">
        <v>44369</v>
      </c>
      <c r="C675" s="1" t="n">
        <v>45741</v>
      </c>
      <c r="D675" t="inlineStr">
        <is>
          <t>JÄMTLANDS LÄN</t>
        </is>
      </c>
      <c r="E675" t="inlineStr">
        <is>
          <t>KROKOM</t>
        </is>
      </c>
      <c r="G675" t="n">
        <v>24.7</v>
      </c>
      <c r="H675" t="n">
        <v>0</v>
      </c>
      <c r="I675" t="n">
        <v>0</v>
      </c>
      <c r="J675" t="n">
        <v>0</v>
      </c>
      <c r="K675" t="n">
        <v>0</v>
      </c>
      <c r="L675" t="n">
        <v>0</v>
      </c>
      <c r="M675" t="n">
        <v>0</v>
      </c>
      <c r="N675" t="n">
        <v>0</v>
      </c>
      <c r="O675" t="n">
        <v>0</v>
      </c>
      <c r="P675" t="n">
        <v>0</v>
      </c>
      <c r="Q675" t="n">
        <v>0</v>
      </c>
      <c r="R675" s="2" t="inlineStr"/>
    </row>
    <row r="676" ht="15" customHeight="1">
      <c r="A676" t="inlineStr">
        <is>
          <t>A 31858-2021</t>
        </is>
      </c>
      <c r="B676" s="1" t="n">
        <v>44370</v>
      </c>
      <c r="C676" s="1" t="n">
        <v>45741</v>
      </c>
      <c r="D676" t="inlineStr">
        <is>
          <t>JÄMTLANDS LÄN</t>
        </is>
      </c>
      <c r="E676" t="inlineStr">
        <is>
          <t>KROKOM</t>
        </is>
      </c>
      <c r="G676" t="n">
        <v>3.5</v>
      </c>
      <c r="H676" t="n">
        <v>0</v>
      </c>
      <c r="I676" t="n">
        <v>0</v>
      </c>
      <c r="J676" t="n">
        <v>0</v>
      </c>
      <c r="K676" t="n">
        <v>0</v>
      </c>
      <c r="L676" t="n">
        <v>0</v>
      </c>
      <c r="M676" t="n">
        <v>0</v>
      </c>
      <c r="N676" t="n">
        <v>0</v>
      </c>
      <c r="O676" t="n">
        <v>0</v>
      </c>
      <c r="P676" t="n">
        <v>0</v>
      </c>
      <c r="Q676" t="n">
        <v>0</v>
      </c>
      <c r="R676" s="2" t="inlineStr"/>
    </row>
    <row r="677" ht="15" customHeight="1">
      <c r="A677" t="inlineStr">
        <is>
          <t>A 31905-2021</t>
        </is>
      </c>
      <c r="B677" s="1" t="n">
        <v>44370</v>
      </c>
      <c r="C677" s="1" t="n">
        <v>45741</v>
      </c>
      <c r="D677" t="inlineStr">
        <is>
          <t>JÄMTLANDS LÄN</t>
        </is>
      </c>
      <c r="E677" t="inlineStr">
        <is>
          <t>KROKOM</t>
        </is>
      </c>
      <c r="G677" t="n">
        <v>12.9</v>
      </c>
      <c r="H677" t="n">
        <v>0</v>
      </c>
      <c r="I677" t="n">
        <v>0</v>
      </c>
      <c r="J677" t="n">
        <v>0</v>
      </c>
      <c r="K677" t="n">
        <v>0</v>
      </c>
      <c r="L677" t="n">
        <v>0</v>
      </c>
      <c r="M677" t="n">
        <v>0</v>
      </c>
      <c r="N677" t="n">
        <v>0</v>
      </c>
      <c r="O677" t="n">
        <v>0</v>
      </c>
      <c r="P677" t="n">
        <v>0</v>
      </c>
      <c r="Q677" t="n">
        <v>0</v>
      </c>
      <c r="R677" s="2" t="inlineStr"/>
    </row>
    <row r="678" ht="15" customHeight="1">
      <c r="A678" t="inlineStr">
        <is>
          <t>A 32472-2021</t>
        </is>
      </c>
      <c r="B678" s="1" t="n">
        <v>44371</v>
      </c>
      <c r="C678" s="1" t="n">
        <v>45741</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32693-2021</t>
        </is>
      </c>
      <c r="B679" s="1" t="n">
        <v>44375</v>
      </c>
      <c r="C679" s="1" t="n">
        <v>45741</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33189-2021</t>
        </is>
      </c>
      <c r="B680" s="1" t="n">
        <v>44376</v>
      </c>
      <c r="C680" s="1" t="n">
        <v>45741</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33320-2021</t>
        </is>
      </c>
      <c r="B681" s="1" t="n">
        <v>44377</v>
      </c>
      <c r="C681" s="1" t="n">
        <v>45741</v>
      </c>
      <c r="D681" t="inlineStr">
        <is>
          <t>JÄMTLANDS LÄN</t>
        </is>
      </c>
      <c r="E681" t="inlineStr">
        <is>
          <t>KROKOM</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33333-2021</t>
        </is>
      </c>
      <c r="B682" s="1" t="n">
        <v>44377</v>
      </c>
      <c r="C682" s="1" t="n">
        <v>45741</v>
      </c>
      <c r="D682" t="inlineStr">
        <is>
          <t>JÄMTLANDS LÄN</t>
        </is>
      </c>
      <c r="E682" t="inlineStr">
        <is>
          <t>KROKOM</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33347-2021</t>
        </is>
      </c>
      <c r="B683" s="1" t="n">
        <v>44377</v>
      </c>
      <c r="C683" s="1" t="n">
        <v>45741</v>
      </c>
      <c r="D683" t="inlineStr">
        <is>
          <t>JÄMTLANDS LÄN</t>
        </is>
      </c>
      <c r="E683" t="inlineStr">
        <is>
          <t>KROKOM</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33364-2021</t>
        </is>
      </c>
      <c r="B684" s="1" t="n">
        <v>44377</v>
      </c>
      <c r="C684" s="1" t="n">
        <v>45741</v>
      </c>
      <c r="D684" t="inlineStr">
        <is>
          <t>JÄMTLANDS LÄN</t>
        </is>
      </c>
      <c r="E684" t="inlineStr">
        <is>
          <t>KROKOM</t>
        </is>
      </c>
      <c r="F684" t="inlineStr">
        <is>
          <t>Övriga Aktiebolag</t>
        </is>
      </c>
      <c r="G684" t="n">
        <v>12.7</v>
      </c>
      <c r="H684" t="n">
        <v>0</v>
      </c>
      <c r="I684" t="n">
        <v>0</v>
      </c>
      <c r="J684" t="n">
        <v>0</v>
      </c>
      <c r="K684" t="n">
        <v>0</v>
      </c>
      <c r="L684" t="n">
        <v>0</v>
      </c>
      <c r="M684" t="n">
        <v>0</v>
      </c>
      <c r="N684" t="n">
        <v>0</v>
      </c>
      <c r="O684" t="n">
        <v>0</v>
      </c>
      <c r="P684" t="n">
        <v>0</v>
      </c>
      <c r="Q684" t="n">
        <v>0</v>
      </c>
      <c r="R684" s="2" t="inlineStr"/>
    </row>
    <row r="685" ht="15" customHeight="1">
      <c r="A685" t="inlineStr">
        <is>
          <t>A 33469-2021</t>
        </is>
      </c>
      <c r="B685" s="1" t="n">
        <v>44377</v>
      </c>
      <c r="C685" s="1" t="n">
        <v>45741</v>
      </c>
      <c r="D685" t="inlineStr">
        <is>
          <t>JÄMTLANDS LÄN</t>
        </is>
      </c>
      <c r="E685" t="inlineStr">
        <is>
          <t>KROKOM</t>
        </is>
      </c>
      <c r="F685" t="inlineStr">
        <is>
          <t>Övriga Aktiebolag</t>
        </is>
      </c>
      <c r="G685" t="n">
        <v>19.1</v>
      </c>
      <c r="H685" t="n">
        <v>0</v>
      </c>
      <c r="I685" t="n">
        <v>0</v>
      </c>
      <c r="J685" t="n">
        <v>0</v>
      </c>
      <c r="K685" t="n">
        <v>0</v>
      </c>
      <c r="L685" t="n">
        <v>0</v>
      </c>
      <c r="M685" t="n">
        <v>0</v>
      </c>
      <c r="N685" t="n">
        <v>0</v>
      </c>
      <c r="O685" t="n">
        <v>0</v>
      </c>
      <c r="P685" t="n">
        <v>0</v>
      </c>
      <c r="Q685" t="n">
        <v>0</v>
      </c>
      <c r="R685" s="2" t="inlineStr"/>
    </row>
    <row r="686" ht="15" customHeight="1">
      <c r="A686" t="inlineStr">
        <is>
          <t>A 33802-2021</t>
        </is>
      </c>
      <c r="B686" s="1" t="n">
        <v>44377</v>
      </c>
      <c r="C686" s="1" t="n">
        <v>45741</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34279-2021</t>
        </is>
      </c>
      <c r="B687" s="1" t="n">
        <v>44379</v>
      </c>
      <c r="C687" s="1" t="n">
        <v>45741</v>
      </c>
      <c r="D687" t="inlineStr">
        <is>
          <t>JÄMTLANDS LÄN</t>
        </is>
      </c>
      <c r="E687" t="inlineStr">
        <is>
          <t>KROKOM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34289-2021</t>
        </is>
      </c>
      <c r="B688" s="1" t="n">
        <v>44379</v>
      </c>
      <c r="C688" s="1" t="n">
        <v>45741</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34769-2021</t>
        </is>
      </c>
      <c r="B689" s="1" t="n">
        <v>44383</v>
      </c>
      <c r="C689" s="1" t="n">
        <v>45741</v>
      </c>
      <c r="D689" t="inlineStr">
        <is>
          <t>JÄMTLANDS LÄN</t>
        </is>
      </c>
      <c r="E689" t="inlineStr">
        <is>
          <t>KROKOM</t>
        </is>
      </c>
      <c r="G689" t="n">
        <v>14.5</v>
      </c>
      <c r="H689" t="n">
        <v>0</v>
      </c>
      <c r="I689" t="n">
        <v>0</v>
      </c>
      <c r="J689" t="n">
        <v>0</v>
      </c>
      <c r="K689" t="n">
        <v>0</v>
      </c>
      <c r="L689" t="n">
        <v>0</v>
      </c>
      <c r="M689" t="n">
        <v>0</v>
      </c>
      <c r="N689" t="n">
        <v>0</v>
      </c>
      <c r="O689" t="n">
        <v>0</v>
      </c>
      <c r="P689" t="n">
        <v>0</v>
      </c>
      <c r="Q689" t="n">
        <v>0</v>
      </c>
      <c r="R689" s="2" t="inlineStr"/>
    </row>
    <row r="690" ht="15" customHeight="1">
      <c r="A690" t="inlineStr">
        <is>
          <t>A 36079-2021</t>
        </is>
      </c>
      <c r="B690" s="1" t="n">
        <v>44389</v>
      </c>
      <c r="C690" s="1" t="n">
        <v>45741</v>
      </c>
      <c r="D690" t="inlineStr">
        <is>
          <t>JÄMTLANDS LÄN</t>
        </is>
      </c>
      <c r="E690" t="inlineStr">
        <is>
          <t>KROKOM</t>
        </is>
      </c>
      <c r="F690" t="inlineStr">
        <is>
          <t>Övriga Aktiebolag</t>
        </is>
      </c>
      <c r="G690" t="n">
        <v>17</v>
      </c>
      <c r="H690" t="n">
        <v>0</v>
      </c>
      <c r="I690" t="n">
        <v>0</v>
      </c>
      <c r="J690" t="n">
        <v>0</v>
      </c>
      <c r="K690" t="n">
        <v>0</v>
      </c>
      <c r="L690" t="n">
        <v>0</v>
      </c>
      <c r="M690" t="n">
        <v>0</v>
      </c>
      <c r="N690" t="n">
        <v>0</v>
      </c>
      <c r="O690" t="n">
        <v>0</v>
      </c>
      <c r="P690" t="n">
        <v>0</v>
      </c>
      <c r="Q690" t="n">
        <v>0</v>
      </c>
      <c r="R690" s="2" t="inlineStr"/>
    </row>
    <row r="691" ht="15" customHeight="1">
      <c r="A691" t="inlineStr">
        <is>
          <t>A 36248-2021</t>
        </is>
      </c>
      <c r="B691" s="1" t="n">
        <v>44389</v>
      </c>
      <c r="C691" s="1" t="n">
        <v>45741</v>
      </c>
      <c r="D691" t="inlineStr">
        <is>
          <t>JÄMTLANDS LÄN</t>
        </is>
      </c>
      <c r="E691" t="inlineStr">
        <is>
          <t>KROKOM</t>
        </is>
      </c>
      <c r="G691" t="n">
        <v>17.1</v>
      </c>
      <c r="H691" t="n">
        <v>0</v>
      </c>
      <c r="I691" t="n">
        <v>0</v>
      </c>
      <c r="J691" t="n">
        <v>0</v>
      </c>
      <c r="K691" t="n">
        <v>0</v>
      </c>
      <c r="L691" t="n">
        <v>0</v>
      </c>
      <c r="M691" t="n">
        <v>0</v>
      </c>
      <c r="N691" t="n">
        <v>0</v>
      </c>
      <c r="O691" t="n">
        <v>0</v>
      </c>
      <c r="P691" t="n">
        <v>0</v>
      </c>
      <c r="Q691" t="n">
        <v>0</v>
      </c>
      <c r="R691" s="2" t="inlineStr"/>
    </row>
    <row r="692" ht="15" customHeight="1">
      <c r="A692" t="inlineStr">
        <is>
          <t>A 36491-2021</t>
        </is>
      </c>
      <c r="B692" s="1" t="n">
        <v>44390</v>
      </c>
      <c r="C692" s="1" t="n">
        <v>45741</v>
      </c>
      <c r="D692" t="inlineStr">
        <is>
          <t>JÄMTLANDS LÄN</t>
        </is>
      </c>
      <c r="E692" t="inlineStr">
        <is>
          <t>KROKOM</t>
        </is>
      </c>
      <c r="G692" t="n">
        <v>5.4</v>
      </c>
      <c r="H692" t="n">
        <v>0</v>
      </c>
      <c r="I692" t="n">
        <v>0</v>
      </c>
      <c r="J692" t="n">
        <v>0</v>
      </c>
      <c r="K692" t="n">
        <v>0</v>
      </c>
      <c r="L692" t="n">
        <v>0</v>
      </c>
      <c r="M692" t="n">
        <v>0</v>
      </c>
      <c r="N692" t="n">
        <v>0</v>
      </c>
      <c r="O692" t="n">
        <v>0</v>
      </c>
      <c r="P692" t="n">
        <v>0</v>
      </c>
      <c r="Q692" t="n">
        <v>0</v>
      </c>
      <c r="R692" s="2" t="inlineStr"/>
    </row>
    <row r="693" ht="15" customHeight="1">
      <c r="A693" t="inlineStr">
        <is>
          <t>A 36567-2021</t>
        </is>
      </c>
      <c r="B693" s="1" t="n">
        <v>44391</v>
      </c>
      <c r="C693" s="1" t="n">
        <v>45741</v>
      </c>
      <c r="D693" t="inlineStr">
        <is>
          <t>JÄMTLANDS LÄN</t>
        </is>
      </c>
      <c r="E693" t="inlineStr">
        <is>
          <t>KROKOM</t>
        </is>
      </c>
      <c r="G693" t="n">
        <v>3.5</v>
      </c>
      <c r="H693" t="n">
        <v>0</v>
      </c>
      <c r="I693" t="n">
        <v>0</v>
      </c>
      <c r="J693" t="n">
        <v>0</v>
      </c>
      <c r="K693" t="n">
        <v>0</v>
      </c>
      <c r="L693" t="n">
        <v>0</v>
      </c>
      <c r="M693" t="n">
        <v>0</v>
      </c>
      <c r="N693" t="n">
        <v>0</v>
      </c>
      <c r="O693" t="n">
        <v>0</v>
      </c>
      <c r="P693" t="n">
        <v>0</v>
      </c>
      <c r="Q693" t="n">
        <v>0</v>
      </c>
      <c r="R693" s="2" t="inlineStr"/>
    </row>
    <row r="694" ht="15" customHeight="1">
      <c r="A694" t="inlineStr">
        <is>
          <t>A 36577-2021</t>
        </is>
      </c>
      <c r="B694" s="1" t="n">
        <v>44391</v>
      </c>
      <c r="C694" s="1" t="n">
        <v>45741</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37641-2021</t>
        </is>
      </c>
      <c r="B695" s="1" t="n">
        <v>44400</v>
      </c>
      <c r="C695" s="1" t="n">
        <v>45741</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38511-2021</t>
        </is>
      </c>
      <c r="B696" s="1" t="n">
        <v>44407</v>
      </c>
      <c r="C696" s="1" t="n">
        <v>45741</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42369-2021</t>
        </is>
      </c>
      <c r="B697" s="1" t="n">
        <v>44427</v>
      </c>
      <c r="C697" s="1" t="n">
        <v>45741</v>
      </c>
      <c r="D697" t="inlineStr">
        <is>
          <t>JÄMTLANDS LÄN</t>
        </is>
      </c>
      <c r="E697" t="inlineStr">
        <is>
          <t>KROKOM</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46625-2021</t>
        </is>
      </c>
      <c r="B698" s="1" t="n">
        <v>44445</v>
      </c>
      <c r="C698" s="1" t="n">
        <v>45741</v>
      </c>
      <c r="D698" t="inlineStr">
        <is>
          <t>JÄMTLANDS LÄN</t>
        </is>
      </c>
      <c r="E698" t="inlineStr">
        <is>
          <t>KROKOM</t>
        </is>
      </c>
      <c r="G698" t="n">
        <v>1.2</v>
      </c>
      <c r="H698" t="n">
        <v>0</v>
      </c>
      <c r="I698" t="n">
        <v>0</v>
      </c>
      <c r="J698" t="n">
        <v>0</v>
      </c>
      <c r="K698" t="n">
        <v>0</v>
      </c>
      <c r="L698" t="n">
        <v>0</v>
      </c>
      <c r="M698" t="n">
        <v>0</v>
      </c>
      <c r="N698" t="n">
        <v>0</v>
      </c>
      <c r="O698" t="n">
        <v>0</v>
      </c>
      <c r="P698" t="n">
        <v>0</v>
      </c>
      <c r="Q698" t="n">
        <v>0</v>
      </c>
      <c r="R698" s="2" t="inlineStr"/>
    </row>
    <row r="699" ht="15" customHeight="1">
      <c r="A699" t="inlineStr">
        <is>
          <t>A 44374-2021</t>
        </is>
      </c>
      <c r="B699" s="1" t="n">
        <v>44447</v>
      </c>
      <c r="C699" s="1" t="n">
        <v>45741</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48440-2021</t>
        </is>
      </c>
      <c r="B700" s="1" t="n">
        <v>44449</v>
      </c>
      <c r="C700" s="1" t="n">
        <v>45741</v>
      </c>
      <c r="D700" t="inlineStr">
        <is>
          <t>JÄMTLANDS LÄN</t>
        </is>
      </c>
      <c r="E700" t="inlineStr">
        <is>
          <t>KROKOM</t>
        </is>
      </c>
      <c r="G700" t="n">
        <v>8.6</v>
      </c>
      <c r="H700" t="n">
        <v>0</v>
      </c>
      <c r="I700" t="n">
        <v>0</v>
      </c>
      <c r="J700" t="n">
        <v>0</v>
      </c>
      <c r="K700" t="n">
        <v>0</v>
      </c>
      <c r="L700" t="n">
        <v>0</v>
      </c>
      <c r="M700" t="n">
        <v>0</v>
      </c>
      <c r="N700" t="n">
        <v>0</v>
      </c>
      <c r="O700" t="n">
        <v>0</v>
      </c>
      <c r="P700" t="n">
        <v>0</v>
      </c>
      <c r="Q700" t="n">
        <v>0</v>
      </c>
      <c r="R700" s="2" t="inlineStr"/>
    </row>
    <row r="701" ht="15" customHeight="1">
      <c r="A701" t="inlineStr">
        <is>
          <t>A 50177-2021</t>
        </is>
      </c>
      <c r="B701" s="1" t="n">
        <v>44456</v>
      </c>
      <c r="C701" s="1" t="n">
        <v>45741</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50476-2021</t>
        </is>
      </c>
      <c r="B702" s="1" t="n">
        <v>44459</v>
      </c>
      <c r="C702" s="1" t="n">
        <v>45741</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50887-2021</t>
        </is>
      </c>
      <c r="B703" s="1" t="n">
        <v>44459</v>
      </c>
      <c r="C703" s="1" t="n">
        <v>45741</v>
      </c>
      <c r="D703" t="inlineStr">
        <is>
          <t>JÄMTLANDS LÄN</t>
        </is>
      </c>
      <c r="E703" t="inlineStr">
        <is>
          <t>KROKOM</t>
        </is>
      </c>
      <c r="G703" t="n">
        <v>4.5</v>
      </c>
      <c r="H703" t="n">
        <v>0</v>
      </c>
      <c r="I703" t="n">
        <v>0</v>
      </c>
      <c r="J703" t="n">
        <v>0</v>
      </c>
      <c r="K703" t="n">
        <v>0</v>
      </c>
      <c r="L703" t="n">
        <v>0</v>
      </c>
      <c r="M703" t="n">
        <v>0</v>
      </c>
      <c r="N703" t="n">
        <v>0</v>
      </c>
      <c r="O703" t="n">
        <v>0</v>
      </c>
      <c r="P703" t="n">
        <v>0</v>
      </c>
      <c r="Q703" t="n">
        <v>0</v>
      </c>
      <c r="R703" s="2" t="inlineStr"/>
    </row>
    <row r="704" ht="15" customHeight="1">
      <c r="A704" t="inlineStr">
        <is>
          <t>A 50790-2021</t>
        </is>
      </c>
      <c r="B704" s="1" t="n">
        <v>44460</v>
      </c>
      <c r="C704" s="1" t="n">
        <v>45741</v>
      </c>
      <c r="D704" t="inlineStr">
        <is>
          <t>JÄMTLANDS LÄN</t>
        </is>
      </c>
      <c r="E704" t="inlineStr">
        <is>
          <t>KROKOM</t>
        </is>
      </c>
      <c r="G704" t="n">
        <v>2.4</v>
      </c>
      <c r="H704" t="n">
        <v>0</v>
      </c>
      <c r="I704" t="n">
        <v>0</v>
      </c>
      <c r="J704" t="n">
        <v>0</v>
      </c>
      <c r="K704" t="n">
        <v>0</v>
      </c>
      <c r="L704" t="n">
        <v>0</v>
      </c>
      <c r="M704" t="n">
        <v>0</v>
      </c>
      <c r="N704" t="n">
        <v>0</v>
      </c>
      <c r="O704" t="n">
        <v>0</v>
      </c>
      <c r="P704" t="n">
        <v>0</v>
      </c>
      <c r="Q704" t="n">
        <v>0</v>
      </c>
      <c r="R704" s="2" t="inlineStr"/>
    </row>
    <row r="705" ht="15" customHeight="1">
      <c r="A705" t="inlineStr">
        <is>
          <t>A 52557-2021</t>
        </is>
      </c>
      <c r="B705" s="1" t="n">
        <v>44466</v>
      </c>
      <c r="C705" s="1" t="n">
        <v>45741</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52578-2021</t>
        </is>
      </c>
      <c r="B706" s="1" t="n">
        <v>44466</v>
      </c>
      <c r="C706" s="1" t="n">
        <v>45741</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53191-2021</t>
        </is>
      </c>
      <c r="B707" s="1" t="n">
        <v>44468</v>
      </c>
      <c r="C707" s="1" t="n">
        <v>45741</v>
      </c>
      <c r="D707" t="inlineStr">
        <is>
          <t>JÄMTLANDS LÄN</t>
        </is>
      </c>
      <c r="E707" t="inlineStr">
        <is>
          <t>KROKOM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54039-2021</t>
        </is>
      </c>
      <c r="B708" s="1" t="n">
        <v>44470</v>
      </c>
      <c r="C708" s="1" t="n">
        <v>45741</v>
      </c>
      <c r="D708" t="inlineStr">
        <is>
          <t>JÄMTLANDS LÄN</t>
        </is>
      </c>
      <c r="E708" t="inlineStr">
        <is>
          <t>KROKOM</t>
        </is>
      </c>
      <c r="G708" t="n">
        <v>9.9</v>
      </c>
      <c r="H708" t="n">
        <v>0</v>
      </c>
      <c r="I708" t="n">
        <v>0</v>
      </c>
      <c r="J708" t="n">
        <v>0</v>
      </c>
      <c r="K708" t="n">
        <v>0</v>
      </c>
      <c r="L708" t="n">
        <v>0</v>
      </c>
      <c r="M708" t="n">
        <v>0</v>
      </c>
      <c r="N708" t="n">
        <v>0</v>
      </c>
      <c r="O708" t="n">
        <v>0</v>
      </c>
      <c r="P708" t="n">
        <v>0</v>
      </c>
      <c r="Q708" t="n">
        <v>0</v>
      </c>
      <c r="R708" s="2" t="inlineStr"/>
    </row>
    <row r="709" ht="15" customHeight="1">
      <c r="A709" t="inlineStr">
        <is>
          <t>A 54037-2021</t>
        </is>
      </c>
      <c r="B709" s="1" t="n">
        <v>44470</v>
      </c>
      <c r="C709" s="1" t="n">
        <v>45741</v>
      </c>
      <c r="D709" t="inlineStr">
        <is>
          <t>JÄMTLANDS LÄN</t>
        </is>
      </c>
      <c r="E709" t="inlineStr">
        <is>
          <t>KROKOM</t>
        </is>
      </c>
      <c r="G709" t="n">
        <v>6.3</v>
      </c>
      <c r="H709" t="n">
        <v>0</v>
      </c>
      <c r="I709" t="n">
        <v>0</v>
      </c>
      <c r="J709" t="n">
        <v>0</v>
      </c>
      <c r="K709" t="n">
        <v>0</v>
      </c>
      <c r="L709" t="n">
        <v>0</v>
      </c>
      <c r="M709" t="n">
        <v>0</v>
      </c>
      <c r="N709" t="n">
        <v>0</v>
      </c>
      <c r="O709" t="n">
        <v>0</v>
      </c>
      <c r="P709" t="n">
        <v>0</v>
      </c>
      <c r="Q709" t="n">
        <v>0</v>
      </c>
      <c r="R709" s="2" t="inlineStr"/>
    </row>
    <row r="710" ht="15" customHeight="1">
      <c r="A710" t="inlineStr">
        <is>
          <t>A 54152-2021</t>
        </is>
      </c>
      <c r="B710" s="1" t="n">
        <v>44470</v>
      </c>
      <c r="C710" s="1" t="n">
        <v>45741</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54516-2021</t>
        </is>
      </c>
      <c r="B711" s="1" t="n">
        <v>44473</v>
      </c>
      <c r="C711" s="1" t="n">
        <v>45741</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54438-2021</t>
        </is>
      </c>
      <c r="B712" s="1" t="n">
        <v>44473</v>
      </c>
      <c r="C712" s="1" t="n">
        <v>45741</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54499-2021</t>
        </is>
      </c>
      <c r="B713" s="1" t="n">
        <v>44473</v>
      </c>
      <c r="C713" s="1" t="n">
        <v>45741</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54497-2021</t>
        </is>
      </c>
      <c r="B714" s="1" t="n">
        <v>44473</v>
      </c>
      <c r="C714" s="1" t="n">
        <v>45741</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54526-2021</t>
        </is>
      </c>
      <c r="B715" s="1" t="n">
        <v>44473</v>
      </c>
      <c r="C715" s="1" t="n">
        <v>45741</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54573-2021</t>
        </is>
      </c>
      <c r="B716" s="1" t="n">
        <v>44473</v>
      </c>
      <c r="C716" s="1" t="n">
        <v>45741</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56577-2021</t>
        </is>
      </c>
      <c r="B717" s="1" t="n">
        <v>44480</v>
      </c>
      <c r="C717" s="1" t="n">
        <v>45741</v>
      </c>
      <c r="D717" t="inlineStr">
        <is>
          <t>JÄMTLANDS LÄN</t>
        </is>
      </c>
      <c r="E717" t="inlineStr">
        <is>
          <t>KROKOM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57304-2021</t>
        </is>
      </c>
      <c r="B718" s="1" t="n">
        <v>44483</v>
      </c>
      <c r="C718" s="1" t="n">
        <v>45741</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58390-2021</t>
        </is>
      </c>
      <c r="B719" s="1" t="n">
        <v>44488</v>
      </c>
      <c r="C719" s="1" t="n">
        <v>45741</v>
      </c>
      <c r="D719" t="inlineStr">
        <is>
          <t>JÄMTLANDS LÄN</t>
        </is>
      </c>
      <c r="E719" t="inlineStr">
        <is>
          <t>KROKOM</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59506-2021</t>
        </is>
      </c>
      <c r="B720" s="1" t="n">
        <v>44491</v>
      </c>
      <c r="C720" s="1" t="n">
        <v>45741</v>
      </c>
      <c r="D720" t="inlineStr">
        <is>
          <t>JÄMTLANDS LÄN</t>
        </is>
      </c>
      <c r="E720" t="inlineStr">
        <is>
          <t>KROKOM</t>
        </is>
      </c>
      <c r="G720" t="n">
        <v>6</v>
      </c>
      <c r="H720" t="n">
        <v>0</v>
      </c>
      <c r="I720" t="n">
        <v>0</v>
      </c>
      <c r="J720" t="n">
        <v>0</v>
      </c>
      <c r="K720" t="n">
        <v>0</v>
      </c>
      <c r="L720" t="n">
        <v>0</v>
      </c>
      <c r="M720" t="n">
        <v>0</v>
      </c>
      <c r="N720" t="n">
        <v>0</v>
      </c>
      <c r="O720" t="n">
        <v>0</v>
      </c>
      <c r="P720" t="n">
        <v>0</v>
      </c>
      <c r="Q720" t="n">
        <v>0</v>
      </c>
      <c r="R720" s="2" t="inlineStr"/>
    </row>
    <row r="721" ht="15" customHeight="1">
      <c r="A721" t="inlineStr">
        <is>
          <t>A 59916-2021</t>
        </is>
      </c>
      <c r="B721" s="1" t="n">
        <v>44494</v>
      </c>
      <c r="C721" s="1" t="n">
        <v>45741</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59913-2021</t>
        </is>
      </c>
      <c r="B722" s="1" t="n">
        <v>44494</v>
      </c>
      <c r="C722" s="1" t="n">
        <v>45741</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60348-2021</t>
        </is>
      </c>
      <c r="B723" s="1" t="n">
        <v>44495</v>
      </c>
      <c r="C723" s="1" t="n">
        <v>45741</v>
      </c>
      <c r="D723" t="inlineStr">
        <is>
          <t>JÄMTLANDS LÄN</t>
        </is>
      </c>
      <c r="E723" t="inlineStr">
        <is>
          <t>KROKOM</t>
        </is>
      </c>
      <c r="G723" t="n">
        <v>11.2</v>
      </c>
      <c r="H723" t="n">
        <v>0</v>
      </c>
      <c r="I723" t="n">
        <v>0</v>
      </c>
      <c r="J723" t="n">
        <v>0</v>
      </c>
      <c r="K723" t="n">
        <v>0</v>
      </c>
      <c r="L723" t="n">
        <v>0</v>
      </c>
      <c r="M723" t="n">
        <v>0</v>
      </c>
      <c r="N723" t="n">
        <v>0</v>
      </c>
      <c r="O723" t="n">
        <v>0</v>
      </c>
      <c r="P723" t="n">
        <v>0</v>
      </c>
      <c r="Q723" t="n">
        <v>0</v>
      </c>
      <c r="R723" s="2" t="inlineStr"/>
    </row>
    <row r="724" ht="15" customHeight="1">
      <c r="A724" t="inlineStr">
        <is>
          <t>A 60351-2021</t>
        </is>
      </c>
      <c r="B724" s="1" t="n">
        <v>44495</v>
      </c>
      <c r="C724" s="1" t="n">
        <v>45741</v>
      </c>
      <c r="D724" t="inlineStr">
        <is>
          <t>JÄMTLANDS LÄN</t>
        </is>
      </c>
      <c r="E724" t="inlineStr">
        <is>
          <t>KROKOM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61230-2021</t>
        </is>
      </c>
      <c r="B725" s="1" t="n">
        <v>44498</v>
      </c>
      <c r="C725" s="1" t="n">
        <v>45741</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61182-2021</t>
        </is>
      </c>
      <c r="B726" s="1" t="n">
        <v>44498</v>
      </c>
      <c r="C726" s="1" t="n">
        <v>45741</v>
      </c>
      <c r="D726" t="inlineStr">
        <is>
          <t>JÄMTLANDS LÄN</t>
        </is>
      </c>
      <c r="E726" t="inlineStr">
        <is>
          <t>KROKOM</t>
        </is>
      </c>
      <c r="G726" t="n">
        <v>2.7</v>
      </c>
      <c r="H726" t="n">
        <v>0</v>
      </c>
      <c r="I726" t="n">
        <v>0</v>
      </c>
      <c r="J726" t="n">
        <v>0</v>
      </c>
      <c r="K726" t="n">
        <v>0</v>
      </c>
      <c r="L726" t="n">
        <v>0</v>
      </c>
      <c r="M726" t="n">
        <v>0</v>
      </c>
      <c r="N726" t="n">
        <v>0</v>
      </c>
      <c r="O726" t="n">
        <v>0</v>
      </c>
      <c r="P726" t="n">
        <v>0</v>
      </c>
      <c r="Q726" t="n">
        <v>0</v>
      </c>
      <c r="R726" s="2" t="inlineStr"/>
    </row>
    <row r="727" ht="15" customHeight="1">
      <c r="A727" t="inlineStr">
        <is>
          <t>A 61732-2021</t>
        </is>
      </c>
      <c r="B727" s="1" t="n">
        <v>44498</v>
      </c>
      <c r="C727" s="1" t="n">
        <v>45741</v>
      </c>
      <c r="D727" t="inlineStr">
        <is>
          <t>JÄMTLANDS LÄN</t>
        </is>
      </c>
      <c r="E727" t="inlineStr">
        <is>
          <t>KROKOM</t>
        </is>
      </c>
      <c r="G727" t="n">
        <v>1.3</v>
      </c>
      <c r="H727" t="n">
        <v>0</v>
      </c>
      <c r="I727" t="n">
        <v>0</v>
      </c>
      <c r="J727" t="n">
        <v>0</v>
      </c>
      <c r="K727" t="n">
        <v>0</v>
      </c>
      <c r="L727" t="n">
        <v>0</v>
      </c>
      <c r="M727" t="n">
        <v>0</v>
      </c>
      <c r="N727" t="n">
        <v>0</v>
      </c>
      <c r="O727" t="n">
        <v>0</v>
      </c>
      <c r="P727" t="n">
        <v>0</v>
      </c>
      <c r="Q727" t="n">
        <v>0</v>
      </c>
      <c r="R727" s="2" t="inlineStr"/>
    </row>
    <row r="728" ht="15" customHeight="1">
      <c r="A728" t="inlineStr">
        <is>
          <t>A 62205-2021</t>
        </is>
      </c>
      <c r="B728" s="1" t="n">
        <v>44502</v>
      </c>
      <c r="C728" s="1" t="n">
        <v>45741</v>
      </c>
      <c r="D728" t="inlineStr">
        <is>
          <t>JÄMTLANDS LÄN</t>
        </is>
      </c>
      <c r="E728" t="inlineStr">
        <is>
          <t>KROKOM</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62206-2021</t>
        </is>
      </c>
      <c r="B729" s="1" t="n">
        <v>44502</v>
      </c>
      <c r="C729" s="1" t="n">
        <v>45741</v>
      </c>
      <c r="D729" t="inlineStr">
        <is>
          <t>JÄMTLANDS LÄN</t>
        </is>
      </c>
      <c r="E729" t="inlineStr">
        <is>
          <t>KROKOM</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62201-2021</t>
        </is>
      </c>
      <c r="B730" s="1" t="n">
        <v>44502</v>
      </c>
      <c r="C730" s="1" t="n">
        <v>45741</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62739-2021</t>
        </is>
      </c>
      <c r="B731" s="1" t="n">
        <v>44504</v>
      </c>
      <c r="C731" s="1" t="n">
        <v>45741</v>
      </c>
      <c r="D731" t="inlineStr">
        <is>
          <t>JÄMTLANDS LÄN</t>
        </is>
      </c>
      <c r="E731" t="inlineStr">
        <is>
          <t>KROKOM</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64299-2021</t>
        </is>
      </c>
      <c r="B732" s="1" t="n">
        <v>44510</v>
      </c>
      <c r="C732" s="1" t="n">
        <v>45741</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64298-2021</t>
        </is>
      </c>
      <c r="B733" s="1" t="n">
        <v>44510</v>
      </c>
      <c r="C733" s="1" t="n">
        <v>45741</v>
      </c>
      <c r="D733" t="inlineStr">
        <is>
          <t>JÄMTLANDS LÄN</t>
        </is>
      </c>
      <c r="E733" t="inlineStr">
        <is>
          <t>KROKOM</t>
        </is>
      </c>
      <c r="G733" t="n">
        <v>3.2</v>
      </c>
      <c r="H733" t="n">
        <v>0</v>
      </c>
      <c r="I733" t="n">
        <v>0</v>
      </c>
      <c r="J733" t="n">
        <v>0</v>
      </c>
      <c r="K733" t="n">
        <v>0</v>
      </c>
      <c r="L733" t="n">
        <v>0</v>
      </c>
      <c r="M733" t="n">
        <v>0</v>
      </c>
      <c r="N733" t="n">
        <v>0</v>
      </c>
      <c r="O733" t="n">
        <v>0</v>
      </c>
      <c r="P733" t="n">
        <v>0</v>
      </c>
      <c r="Q733" t="n">
        <v>0</v>
      </c>
      <c r="R733" s="2" t="inlineStr"/>
    </row>
    <row r="734" ht="15" customHeight="1">
      <c r="A734" t="inlineStr">
        <is>
          <t>A 64953-2021</t>
        </is>
      </c>
      <c r="B734" s="1" t="n">
        <v>44512</v>
      </c>
      <c r="C734" s="1" t="n">
        <v>45741</v>
      </c>
      <c r="D734" t="inlineStr">
        <is>
          <t>JÄMTLANDS LÄN</t>
        </is>
      </c>
      <c r="E734" t="inlineStr">
        <is>
          <t>KROKOM</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64966-2021</t>
        </is>
      </c>
      <c r="B735" s="1" t="n">
        <v>44512</v>
      </c>
      <c r="C735" s="1" t="n">
        <v>45741</v>
      </c>
      <c r="D735" t="inlineStr">
        <is>
          <t>JÄMTLANDS LÄN</t>
        </is>
      </c>
      <c r="E735" t="inlineStr">
        <is>
          <t>KROKOM</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65508-2021</t>
        </is>
      </c>
      <c r="B736" s="1" t="n">
        <v>44516</v>
      </c>
      <c r="C736" s="1" t="n">
        <v>45741</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66477-2021</t>
        </is>
      </c>
      <c r="B737" s="1" t="n">
        <v>44518</v>
      </c>
      <c r="C737" s="1" t="n">
        <v>45741</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66476-2021</t>
        </is>
      </c>
      <c r="B738" s="1" t="n">
        <v>44518</v>
      </c>
      <c r="C738" s="1" t="n">
        <v>45741</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66683-2021</t>
        </is>
      </c>
      <c r="B739" s="1" t="n">
        <v>44519</v>
      </c>
      <c r="C739" s="1" t="n">
        <v>45741</v>
      </c>
      <c r="D739" t="inlineStr">
        <is>
          <t>JÄMTLANDS LÄN</t>
        </is>
      </c>
      <c r="E739" t="inlineStr">
        <is>
          <t>KROKOM</t>
        </is>
      </c>
      <c r="G739" t="n">
        <v>5.4</v>
      </c>
      <c r="H739" t="n">
        <v>0</v>
      </c>
      <c r="I739" t="n">
        <v>0</v>
      </c>
      <c r="J739" t="n">
        <v>0</v>
      </c>
      <c r="K739" t="n">
        <v>0</v>
      </c>
      <c r="L739" t="n">
        <v>0</v>
      </c>
      <c r="M739" t="n">
        <v>0</v>
      </c>
      <c r="N739" t="n">
        <v>0</v>
      </c>
      <c r="O739" t="n">
        <v>0</v>
      </c>
      <c r="P739" t="n">
        <v>0</v>
      </c>
      <c r="Q739" t="n">
        <v>0</v>
      </c>
      <c r="R739" s="2" t="inlineStr"/>
    </row>
    <row r="740" ht="15" customHeight="1">
      <c r="A740" t="inlineStr">
        <is>
          <t>A 66880-2021</t>
        </is>
      </c>
      <c r="B740" s="1" t="n">
        <v>44522</v>
      </c>
      <c r="C740" s="1" t="n">
        <v>45741</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67488-2021</t>
        </is>
      </c>
      <c r="B741" s="1" t="n">
        <v>44524</v>
      </c>
      <c r="C741" s="1" t="n">
        <v>45741</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67740-2021</t>
        </is>
      </c>
      <c r="B742" s="1" t="n">
        <v>44524</v>
      </c>
      <c r="C742" s="1" t="n">
        <v>45741</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67797-2021</t>
        </is>
      </c>
      <c r="B743" s="1" t="n">
        <v>44524</v>
      </c>
      <c r="C743" s="1" t="n">
        <v>45741</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67722-2021</t>
        </is>
      </c>
      <c r="B744" s="1" t="n">
        <v>44525</v>
      </c>
      <c r="C744" s="1" t="n">
        <v>45741</v>
      </c>
      <c r="D744" t="inlineStr">
        <is>
          <t>JÄMTLANDS LÄN</t>
        </is>
      </c>
      <c r="E744" t="inlineStr">
        <is>
          <t>KROKOM</t>
        </is>
      </c>
      <c r="G744" t="n">
        <v>1.7</v>
      </c>
      <c r="H744" t="n">
        <v>0</v>
      </c>
      <c r="I744" t="n">
        <v>0</v>
      </c>
      <c r="J744" t="n">
        <v>0</v>
      </c>
      <c r="K744" t="n">
        <v>0</v>
      </c>
      <c r="L744" t="n">
        <v>0</v>
      </c>
      <c r="M744" t="n">
        <v>0</v>
      </c>
      <c r="N744" t="n">
        <v>0</v>
      </c>
      <c r="O744" t="n">
        <v>0</v>
      </c>
      <c r="P744" t="n">
        <v>0</v>
      </c>
      <c r="Q744" t="n">
        <v>0</v>
      </c>
      <c r="R744" s="2" t="inlineStr"/>
    </row>
    <row r="745" ht="15" customHeight="1">
      <c r="A745" t="inlineStr">
        <is>
          <t>A 68686-2021</t>
        </is>
      </c>
      <c r="B745" s="1" t="n">
        <v>44526</v>
      </c>
      <c r="C745" s="1" t="n">
        <v>45741</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69751-2021</t>
        </is>
      </c>
      <c r="B746" s="1" t="n">
        <v>44532</v>
      </c>
      <c r="C746" s="1" t="n">
        <v>45741</v>
      </c>
      <c r="D746" t="inlineStr">
        <is>
          <t>JÄMTLANDS LÄN</t>
        </is>
      </c>
      <c r="E746" t="inlineStr">
        <is>
          <t>KROKOM</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69949-2021</t>
        </is>
      </c>
      <c r="B747" s="1" t="n">
        <v>44533</v>
      </c>
      <c r="C747" s="1" t="n">
        <v>45741</v>
      </c>
      <c r="D747" t="inlineStr">
        <is>
          <t>JÄMTLANDS LÄN</t>
        </is>
      </c>
      <c r="E747" t="inlineStr">
        <is>
          <t>KROKOM</t>
        </is>
      </c>
      <c r="G747" t="n">
        <v>15.8</v>
      </c>
      <c r="H747" t="n">
        <v>0</v>
      </c>
      <c r="I747" t="n">
        <v>0</v>
      </c>
      <c r="J747" t="n">
        <v>0</v>
      </c>
      <c r="K747" t="n">
        <v>0</v>
      </c>
      <c r="L747" t="n">
        <v>0</v>
      </c>
      <c r="M747" t="n">
        <v>0</v>
      </c>
      <c r="N747" t="n">
        <v>0</v>
      </c>
      <c r="O747" t="n">
        <v>0</v>
      </c>
      <c r="P747" t="n">
        <v>0</v>
      </c>
      <c r="Q747" t="n">
        <v>0</v>
      </c>
      <c r="R747" s="2" t="inlineStr"/>
    </row>
    <row r="748" ht="15" customHeight="1">
      <c r="A748" t="inlineStr">
        <is>
          <t>A 69972-2021</t>
        </is>
      </c>
      <c r="B748" s="1" t="n">
        <v>44533</v>
      </c>
      <c r="C748" s="1" t="n">
        <v>45741</v>
      </c>
      <c r="D748" t="inlineStr">
        <is>
          <t>JÄMTLANDS LÄN</t>
        </is>
      </c>
      <c r="E748" t="inlineStr">
        <is>
          <t>KROKOM</t>
        </is>
      </c>
      <c r="G748" t="n">
        <v>22.9</v>
      </c>
      <c r="H748" t="n">
        <v>0</v>
      </c>
      <c r="I748" t="n">
        <v>0</v>
      </c>
      <c r="J748" t="n">
        <v>0</v>
      </c>
      <c r="K748" t="n">
        <v>0</v>
      </c>
      <c r="L748" t="n">
        <v>0</v>
      </c>
      <c r="M748" t="n">
        <v>0</v>
      </c>
      <c r="N748" t="n">
        <v>0</v>
      </c>
      <c r="O748" t="n">
        <v>0</v>
      </c>
      <c r="P748" t="n">
        <v>0</v>
      </c>
      <c r="Q748" t="n">
        <v>0</v>
      </c>
      <c r="R748" s="2" t="inlineStr"/>
    </row>
    <row r="749" ht="15" customHeight="1">
      <c r="A749" t="inlineStr">
        <is>
          <t>A 70222-2021</t>
        </is>
      </c>
      <c r="B749" s="1" t="n">
        <v>44535</v>
      </c>
      <c r="C749" s="1" t="n">
        <v>45741</v>
      </c>
      <c r="D749" t="inlineStr">
        <is>
          <t>JÄMTLANDS LÄN</t>
        </is>
      </c>
      <c r="E749" t="inlineStr">
        <is>
          <t>KROKOM</t>
        </is>
      </c>
      <c r="G749" t="n">
        <v>2.3</v>
      </c>
      <c r="H749" t="n">
        <v>0</v>
      </c>
      <c r="I749" t="n">
        <v>0</v>
      </c>
      <c r="J749" t="n">
        <v>0</v>
      </c>
      <c r="K749" t="n">
        <v>0</v>
      </c>
      <c r="L749" t="n">
        <v>0</v>
      </c>
      <c r="M749" t="n">
        <v>0</v>
      </c>
      <c r="N749" t="n">
        <v>0</v>
      </c>
      <c r="O749" t="n">
        <v>0</v>
      </c>
      <c r="P749" t="n">
        <v>0</v>
      </c>
      <c r="Q749" t="n">
        <v>0</v>
      </c>
      <c r="R749" s="2" t="inlineStr"/>
    </row>
    <row r="750" ht="15" customHeight="1">
      <c r="A750" t="inlineStr">
        <is>
          <t>A 71307-2021</t>
        </is>
      </c>
      <c r="B750" s="1" t="n">
        <v>44539</v>
      </c>
      <c r="C750" s="1" t="n">
        <v>45741</v>
      </c>
      <c r="D750" t="inlineStr">
        <is>
          <t>JÄMTLANDS LÄN</t>
        </is>
      </c>
      <c r="E750" t="inlineStr">
        <is>
          <t>KROKOM</t>
        </is>
      </c>
      <c r="G750" t="n">
        <v>21.5</v>
      </c>
      <c r="H750" t="n">
        <v>0</v>
      </c>
      <c r="I750" t="n">
        <v>0</v>
      </c>
      <c r="J750" t="n">
        <v>0</v>
      </c>
      <c r="K750" t="n">
        <v>0</v>
      </c>
      <c r="L750" t="n">
        <v>0</v>
      </c>
      <c r="M750" t="n">
        <v>0</v>
      </c>
      <c r="N750" t="n">
        <v>0</v>
      </c>
      <c r="O750" t="n">
        <v>0</v>
      </c>
      <c r="P750" t="n">
        <v>0</v>
      </c>
      <c r="Q750" t="n">
        <v>0</v>
      </c>
      <c r="R750" s="2" t="inlineStr"/>
    </row>
    <row r="751" ht="15" customHeight="1">
      <c r="A751" t="inlineStr">
        <is>
          <t>A 71246-2021</t>
        </is>
      </c>
      <c r="B751" s="1" t="n">
        <v>44539</v>
      </c>
      <c r="C751" s="1" t="n">
        <v>45741</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71572-2021</t>
        </is>
      </c>
      <c r="B752" s="1" t="n">
        <v>44540</v>
      </c>
      <c r="C752" s="1" t="n">
        <v>45741</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71654-2021</t>
        </is>
      </c>
      <c r="B753" s="1" t="n">
        <v>44543</v>
      </c>
      <c r="C753" s="1" t="n">
        <v>45741</v>
      </c>
      <c r="D753" t="inlineStr">
        <is>
          <t>JÄMTLANDS LÄN</t>
        </is>
      </c>
      <c r="E753" t="inlineStr">
        <is>
          <t>KROKOM</t>
        </is>
      </c>
      <c r="G753" t="n">
        <v>4.4</v>
      </c>
      <c r="H753" t="n">
        <v>0</v>
      </c>
      <c r="I753" t="n">
        <v>0</v>
      </c>
      <c r="J753" t="n">
        <v>0</v>
      </c>
      <c r="K753" t="n">
        <v>0</v>
      </c>
      <c r="L753" t="n">
        <v>0</v>
      </c>
      <c r="M753" t="n">
        <v>0</v>
      </c>
      <c r="N753" t="n">
        <v>0</v>
      </c>
      <c r="O753" t="n">
        <v>0</v>
      </c>
      <c r="P753" t="n">
        <v>0</v>
      </c>
      <c r="Q753" t="n">
        <v>0</v>
      </c>
      <c r="R753" s="2" t="inlineStr"/>
    </row>
    <row r="754" ht="15" customHeight="1">
      <c r="A754" t="inlineStr">
        <is>
          <t>A 72286-2021</t>
        </is>
      </c>
      <c r="B754" s="1" t="n">
        <v>44543</v>
      </c>
      <c r="C754" s="1" t="n">
        <v>45741</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72064-2021</t>
        </is>
      </c>
      <c r="B755" s="1" t="n">
        <v>44544</v>
      </c>
      <c r="C755" s="1" t="n">
        <v>45741</v>
      </c>
      <c r="D755" t="inlineStr">
        <is>
          <t>JÄMTLANDS LÄN</t>
        </is>
      </c>
      <c r="E755" t="inlineStr">
        <is>
          <t>KROKOM</t>
        </is>
      </c>
      <c r="G755" t="n">
        <v>18.7</v>
      </c>
      <c r="H755" t="n">
        <v>0</v>
      </c>
      <c r="I755" t="n">
        <v>0</v>
      </c>
      <c r="J755" t="n">
        <v>0</v>
      </c>
      <c r="K755" t="n">
        <v>0</v>
      </c>
      <c r="L755" t="n">
        <v>0</v>
      </c>
      <c r="M755" t="n">
        <v>0</v>
      </c>
      <c r="N755" t="n">
        <v>0</v>
      </c>
      <c r="O755" t="n">
        <v>0</v>
      </c>
      <c r="P755" t="n">
        <v>0</v>
      </c>
      <c r="Q755" t="n">
        <v>0</v>
      </c>
      <c r="R755" s="2" t="inlineStr"/>
    </row>
    <row r="756" ht="15" customHeight="1">
      <c r="A756" t="inlineStr">
        <is>
          <t>A 72599-2021</t>
        </is>
      </c>
      <c r="B756" s="1" t="n">
        <v>44544</v>
      </c>
      <c r="C756" s="1" t="n">
        <v>45741</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72591-2021</t>
        </is>
      </c>
      <c r="B757" s="1" t="n">
        <v>44544</v>
      </c>
      <c r="C757" s="1" t="n">
        <v>45741</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72482-2021</t>
        </is>
      </c>
      <c r="B758" s="1" t="n">
        <v>44545</v>
      </c>
      <c r="C758" s="1" t="n">
        <v>45741</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73174-2021</t>
        </is>
      </c>
      <c r="B759" s="1" t="n">
        <v>44550</v>
      </c>
      <c r="C759" s="1" t="n">
        <v>45741</v>
      </c>
      <c r="D759" t="inlineStr">
        <is>
          <t>JÄMTLANDS LÄN</t>
        </is>
      </c>
      <c r="E759" t="inlineStr">
        <is>
          <t>KROKOM</t>
        </is>
      </c>
      <c r="G759" t="n">
        <v>152.9</v>
      </c>
      <c r="H759" t="n">
        <v>0</v>
      </c>
      <c r="I759" t="n">
        <v>0</v>
      </c>
      <c r="J759" t="n">
        <v>0</v>
      </c>
      <c r="K759" t="n">
        <v>0</v>
      </c>
      <c r="L759" t="n">
        <v>0</v>
      </c>
      <c r="M759" t="n">
        <v>0</v>
      </c>
      <c r="N759" t="n">
        <v>0</v>
      </c>
      <c r="O759" t="n">
        <v>0</v>
      </c>
      <c r="P759" t="n">
        <v>0</v>
      </c>
      <c r="Q759" t="n">
        <v>0</v>
      </c>
      <c r="R759" s="2" t="inlineStr"/>
    </row>
    <row r="760" ht="15" customHeight="1">
      <c r="A760" t="inlineStr">
        <is>
          <t>A 74011-2021</t>
        </is>
      </c>
      <c r="B760" s="1" t="n">
        <v>44557</v>
      </c>
      <c r="C760" s="1" t="n">
        <v>45741</v>
      </c>
      <c r="D760" t="inlineStr">
        <is>
          <t>JÄMTLANDS LÄN</t>
        </is>
      </c>
      <c r="E760" t="inlineStr">
        <is>
          <t>KROKOM</t>
        </is>
      </c>
      <c r="G760" t="n">
        <v>33.2</v>
      </c>
      <c r="H760" t="n">
        <v>0</v>
      </c>
      <c r="I760" t="n">
        <v>0</v>
      </c>
      <c r="J760" t="n">
        <v>0</v>
      </c>
      <c r="K760" t="n">
        <v>0</v>
      </c>
      <c r="L760" t="n">
        <v>0</v>
      </c>
      <c r="M760" t="n">
        <v>0</v>
      </c>
      <c r="N760" t="n">
        <v>0</v>
      </c>
      <c r="O760" t="n">
        <v>0</v>
      </c>
      <c r="P760" t="n">
        <v>0</v>
      </c>
      <c r="Q760" t="n">
        <v>0</v>
      </c>
      <c r="R760" s="2" t="inlineStr"/>
    </row>
    <row r="761" ht="15" customHeight="1">
      <c r="A761" t="inlineStr">
        <is>
          <t>A 1625-2022</t>
        </is>
      </c>
      <c r="B761" s="1" t="n">
        <v>44573</v>
      </c>
      <c r="C761" s="1" t="n">
        <v>45741</v>
      </c>
      <c r="D761" t="inlineStr">
        <is>
          <t>JÄMTLANDS LÄN</t>
        </is>
      </c>
      <c r="E761" t="inlineStr">
        <is>
          <t>KROKOM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2093-2022</t>
        </is>
      </c>
      <c r="B762" s="1" t="n">
        <v>44577</v>
      </c>
      <c r="C762" s="1" t="n">
        <v>45741</v>
      </c>
      <c r="D762" t="inlineStr">
        <is>
          <t>JÄMTLANDS LÄN</t>
        </is>
      </c>
      <c r="E762" t="inlineStr">
        <is>
          <t>KROKOM</t>
        </is>
      </c>
      <c r="G762" t="n">
        <v>0.4</v>
      </c>
      <c r="H762" t="n">
        <v>0</v>
      </c>
      <c r="I762" t="n">
        <v>0</v>
      </c>
      <c r="J762" t="n">
        <v>0</v>
      </c>
      <c r="K762" t="n">
        <v>0</v>
      </c>
      <c r="L762" t="n">
        <v>0</v>
      </c>
      <c r="M762" t="n">
        <v>0</v>
      </c>
      <c r="N762" t="n">
        <v>0</v>
      </c>
      <c r="O762" t="n">
        <v>0</v>
      </c>
      <c r="P762" t="n">
        <v>0</v>
      </c>
      <c r="Q762" t="n">
        <v>0</v>
      </c>
      <c r="R762" s="2" t="inlineStr"/>
    </row>
    <row r="763" ht="15" customHeight="1">
      <c r="A763" t="inlineStr">
        <is>
          <t>A 3231-2022</t>
        </is>
      </c>
      <c r="B763" s="1" t="n">
        <v>44582</v>
      </c>
      <c r="C763" s="1" t="n">
        <v>45741</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4569-2022</t>
        </is>
      </c>
      <c r="B764" s="1" t="n">
        <v>44591</v>
      </c>
      <c r="C764" s="1" t="n">
        <v>45741</v>
      </c>
      <c r="D764" t="inlineStr">
        <is>
          <t>JÄMTLANDS LÄN</t>
        </is>
      </c>
      <c r="E764" t="inlineStr">
        <is>
          <t>KROKOM</t>
        </is>
      </c>
      <c r="G764" t="n">
        <v>20.3</v>
      </c>
      <c r="H764" t="n">
        <v>0</v>
      </c>
      <c r="I764" t="n">
        <v>0</v>
      </c>
      <c r="J764" t="n">
        <v>0</v>
      </c>
      <c r="K764" t="n">
        <v>0</v>
      </c>
      <c r="L764" t="n">
        <v>0</v>
      </c>
      <c r="M764" t="n">
        <v>0</v>
      </c>
      <c r="N764" t="n">
        <v>0</v>
      </c>
      <c r="O764" t="n">
        <v>0</v>
      </c>
      <c r="P764" t="n">
        <v>0</v>
      </c>
      <c r="Q764" t="n">
        <v>0</v>
      </c>
      <c r="R764" s="2" t="inlineStr"/>
    </row>
    <row r="765" ht="15" customHeight="1">
      <c r="A765" t="inlineStr">
        <is>
          <t>A 4741-2022</t>
        </is>
      </c>
      <c r="B765" s="1" t="n">
        <v>44592</v>
      </c>
      <c r="C765" s="1" t="n">
        <v>45741</v>
      </c>
      <c r="D765" t="inlineStr">
        <is>
          <t>JÄMTLANDS LÄN</t>
        </is>
      </c>
      <c r="E765" t="inlineStr">
        <is>
          <t>KROKOM</t>
        </is>
      </c>
      <c r="G765" t="n">
        <v>54.2</v>
      </c>
      <c r="H765" t="n">
        <v>0</v>
      </c>
      <c r="I765" t="n">
        <v>0</v>
      </c>
      <c r="J765" t="n">
        <v>0</v>
      </c>
      <c r="K765" t="n">
        <v>0</v>
      </c>
      <c r="L765" t="n">
        <v>0</v>
      </c>
      <c r="M765" t="n">
        <v>0</v>
      </c>
      <c r="N765" t="n">
        <v>0</v>
      </c>
      <c r="O765" t="n">
        <v>0</v>
      </c>
      <c r="P765" t="n">
        <v>0</v>
      </c>
      <c r="Q765" t="n">
        <v>0</v>
      </c>
      <c r="R765" s="2" t="inlineStr"/>
    </row>
    <row r="766" ht="15" customHeight="1">
      <c r="A766" t="inlineStr">
        <is>
          <t>A 5693-2022</t>
        </is>
      </c>
      <c r="B766" s="1" t="n">
        <v>44596</v>
      </c>
      <c r="C766" s="1" t="n">
        <v>45741</v>
      </c>
      <c r="D766" t="inlineStr">
        <is>
          <t>JÄMTLANDS LÄN</t>
        </is>
      </c>
      <c r="E766" t="inlineStr">
        <is>
          <t>KROKOM</t>
        </is>
      </c>
      <c r="G766" t="n">
        <v>40.8</v>
      </c>
      <c r="H766" t="n">
        <v>0</v>
      </c>
      <c r="I766" t="n">
        <v>0</v>
      </c>
      <c r="J766" t="n">
        <v>0</v>
      </c>
      <c r="K766" t="n">
        <v>0</v>
      </c>
      <c r="L766" t="n">
        <v>0</v>
      </c>
      <c r="M766" t="n">
        <v>0</v>
      </c>
      <c r="N766" t="n">
        <v>0</v>
      </c>
      <c r="O766" t="n">
        <v>0</v>
      </c>
      <c r="P766" t="n">
        <v>0</v>
      </c>
      <c r="Q766" t="n">
        <v>0</v>
      </c>
      <c r="R766" s="2" t="inlineStr"/>
    </row>
    <row r="767" ht="15" customHeight="1">
      <c r="A767" t="inlineStr">
        <is>
          <t>A 6214-2022</t>
        </is>
      </c>
      <c r="B767" s="1" t="n">
        <v>44600</v>
      </c>
      <c r="C767" s="1" t="n">
        <v>45741</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v>
      </c>
      <c r="C768" s="1" t="n">
        <v>45741</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7180-2022</t>
        </is>
      </c>
      <c r="B769" s="1" t="n">
        <v>44605</v>
      </c>
      <c r="C769" s="1" t="n">
        <v>45741</v>
      </c>
      <c r="D769" t="inlineStr">
        <is>
          <t>JÄMTLANDS LÄN</t>
        </is>
      </c>
      <c r="E769" t="inlineStr">
        <is>
          <t>KROKOM</t>
        </is>
      </c>
      <c r="G769" t="n">
        <v>5.9</v>
      </c>
      <c r="H769" t="n">
        <v>0</v>
      </c>
      <c r="I769" t="n">
        <v>0</v>
      </c>
      <c r="J769" t="n">
        <v>0</v>
      </c>
      <c r="K769" t="n">
        <v>0</v>
      </c>
      <c r="L769" t="n">
        <v>0</v>
      </c>
      <c r="M769" t="n">
        <v>0</v>
      </c>
      <c r="N769" t="n">
        <v>0</v>
      </c>
      <c r="O769" t="n">
        <v>0</v>
      </c>
      <c r="P769" t="n">
        <v>0</v>
      </c>
      <c r="Q769" t="n">
        <v>0</v>
      </c>
      <c r="R769" s="2" t="inlineStr"/>
    </row>
    <row r="770" ht="15" customHeight="1">
      <c r="A770" t="inlineStr">
        <is>
          <t>A 8230-2022</t>
        </is>
      </c>
      <c r="B770" s="1" t="n">
        <v>44609</v>
      </c>
      <c r="C770" s="1" t="n">
        <v>45741</v>
      </c>
      <c r="D770" t="inlineStr">
        <is>
          <t>JÄMTLANDS LÄN</t>
        </is>
      </c>
      <c r="E770" t="inlineStr">
        <is>
          <t>KROKOM</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8569-2022</t>
        </is>
      </c>
      <c r="B771" s="1" t="n">
        <v>44610</v>
      </c>
      <c r="C771" s="1" t="n">
        <v>45741</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8559-2022</t>
        </is>
      </c>
      <c r="B772" s="1" t="n">
        <v>44610</v>
      </c>
      <c r="C772" s="1" t="n">
        <v>45741</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11113-2022</t>
        </is>
      </c>
      <c r="B773" s="1" t="n">
        <v>44628</v>
      </c>
      <c r="C773" s="1" t="n">
        <v>45741</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11591-2022</t>
        </is>
      </c>
      <c r="B774" s="1" t="n">
        <v>44631</v>
      </c>
      <c r="C774" s="1" t="n">
        <v>45741</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12543-2022</t>
        </is>
      </c>
      <c r="B775" s="1" t="n">
        <v>44638</v>
      </c>
      <c r="C775" s="1" t="n">
        <v>45741</v>
      </c>
      <c r="D775" t="inlineStr">
        <is>
          <t>JÄMTLANDS LÄN</t>
        </is>
      </c>
      <c r="E775" t="inlineStr">
        <is>
          <t>KROKOM</t>
        </is>
      </c>
      <c r="G775" t="n">
        <v>7.9</v>
      </c>
      <c r="H775" t="n">
        <v>0</v>
      </c>
      <c r="I775" t="n">
        <v>0</v>
      </c>
      <c r="J775" t="n">
        <v>0</v>
      </c>
      <c r="K775" t="n">
        <v>0</v>
      </c>
      <c r="L775" t="n">
        <v>0</v>
      </c>
      <c r="M775" t="n">
        <v>0</v>
      </c>
      <c r="N775" t="n">
        <v>0</v>
      </c>
      <c r="O775" t="n">
        <v>0</v>
      </c>
      <c r="P775" t="n">
        <v>0</v>
      </c>
      <c r="Q775" t="n">
        <v>0</v>
      </c>
      <c r="R775" s="2" t="inlineStr"/>
    </row>
    <row r="776" ht="15" customHeight="1">
      <c r="A776" t="inlineStr">
        <is>
          <t>A 14341-2022</t>
        </is>
      </c>
      <c r="B776" s="1" t="n">
        <v>44652</v>
      </c>
      <c r="C776" s="1" t="n">
        <v>45741</v>
      </c>
      <c r="D776" t="inlineStr">
        <is>
          <t>JÄMTLANDS LÄN</t>
        </is>
      </c>
      <c r="E776" t="inlineStr">
        <is>
          <t>KROKOM</t>
        </is>
      </c>
      <c r="G776" t="n">
        <v>39.8</v>
      </c>
      <c r="H776" t="n">
        <v>0</v>
      </c>
      <c r="I776" t="n">
        <v>0</v>
      </c>
      <c r="J776" t="n">
        <v>0</v>
      </c>
      <c r="K776" t="n">
        <v>0</v>
      </c>
      <c r="L776" t="n">
        <v>0</v>
      </c>
      <c r="M776" t="n">
        <v>0</v>
      </c>
      <c r="N776" t="n">
        <v>0</v>
      </c>
      <c r="O776" t="n">
        <v>0</v>
      </c>
      <c r="P776" t="n">
        <v>0</v>
      </c>
      <c r="Q776" t="n">
        <v>0</v>
      </c>
      <c r="R776" s="2" t="inlineStr"/>
    </row>
    <row r="777" ht="15" customHeight="1">
      <c r="A777" t="inlineStr">
        <is>
          <t>A 15231-2022</t>
        </is>
      </c>
      <c r="B777" s="1" t="n">
        <v>44658</v>
      </c>
      <c r="C777" s="1" t="n">
        <v>45741</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16037-2022</t>
        </is>
      </c>
      <c r="B778" s="1" t="n">
        <v>44665</v>
      </c>
      <c r="C778" s="1" t="n">
        <v>45741</v>
      </c>
      <c r="D778" t="inlineStr">
        <is>
          <t>JÄMTLANDS LÄN</t>
        </is>
      </c>
      <c r="E778" t="inlineStr">
        <is>
          <t>KROKOM</t>
        </is>
      </c>
      <c r="G778" t="n">
        <v>0.3</v>
      </c>
      <c r="H778" t="n">
        <v>0</v>
      </c>
      <c r="I778" t="n">
        <v>0</v>
      </c>
      <c r="J778" t="n">
        <v>0</v>
      </c>
      <c r="K778" t="n">
        <v>0</v>
      </c>
      <c r="L778" t="n">
        <v>0</v>
      </c>
      <c r="M778" t="n">
        <v>0</v>
      </c>
      <c r="N778" t="n">
        <v>0</v>
      </c>
      <c r="O778" t="n">
        <v>0</v>
      </c>
      <c r="P778" t="n">
        <v>0</v>
      </c>
      <c r="Q778" t="n">
        <v>0</v>
      </c>
      <c r="R778" s="2" t="inlineStr"/>
    </row>
    <row r="779" ht="15" customHeight="1">
      <c r="A779" t="inlineStr">
        <is>
          <t>A 16694-2022</t>
        </is>
      </c>
      <c r="B779" s="1" t="n">
        <v>44672</v>
      </c>
      <c r="C779" s="1" t="n">
        <v>45741</v>
      </c>
      <c r="D779" t="inlineStr">
        <is>
          <t>JÄMTLANDS LÄN</t>
        </is>
      </c>
      <c r="E779" t="inlineStr">
        <is>
          <t>KROKOM</t>
        </is>
      </c>
      <c r="G779" t="n">
        <v>16.9</v>
      </c>
      <c r="H779" t="n">
        <v>0</v>
      </c>
      <c r="I779" t="n">
        <v>0</v>
      </c>
      <c r="J779" t="n">
        <v>0</v>
      </c>
      <c r="K779" t="n">
        <v>0</v>
      </c>
      <c r="L779" t="n">
        <v>0</v>
      </c>
      <c r="M779" t="n">
        <v>0</v>
      </c>
      <c r="N779" t="n">
        <v>0</v>
      </c>
      <c r="O779" t="n">
        <v>0</v>
      </c>
      <c r="P779" t="n">
        <v>0</v>
      </c>
      <c r="Q779" t="n">
        <v>0</v>
      </c>
      <c r="R779" s="2" t="inlineStr"/>
    </row>
    <row r="780" ht="15" customHeight="1">
      <c r="A780" t="inlineStr">
        <is>
          <t>A 17051-2022</t>
        </is>
      </c>
      <c r="B780" s="1" t="n">
        <v>44677</v>
      </c>
      <c r="C780" s="1" t="n">
        <v>45741</v>
      </c>
      <c r="D780" t="inlineStr">
        <is>
          <t>JÄMTLANDS LÄN</t>
        </is>
      </c>
      <c r="E780" t="inlineStr">
        <is>
          <t>KROKOM</t>
        </is>
      </c>
      <c r="G780" t="n">
        <v>14.3</v>
      </c>
      <c r="H780" t="n">
        <v>0</v>
      </c>
      <c r="I780" t="n">
        <v>0</v>
      </c>
      <c r="J780" t="n">
        <v>0</v>
      </c>
      <c r="K780" t="n">
        <v>0</v>
      </c>
      <c r="L780" t="n">
        <v>0</v>
      </c>
      <c r="M780" t="n">
        <v>0</v>
      </c>
      <c r="N780" t="n">
        <v>0</v>
      </c>
      <c r="O780" t="n">
        <v>0</v>
      </c>
      <c r="P780" t="n">
        <v>0</v>
      </c>
      <c r="Q780" t="n">
        <v>0</v>
      </c>
      <c r="R780" s="2" t="inlineStr"/>
    </row>
    <row r="781" ht="15" customHeight="1">
      <c r="A781" t="inlineStr">
        <is>
          <t>A 17528-2022</t>
        </is>
      </c>
      <c r="B781" s="1" t="n">
        <v>44679</v>
      </c>
      <c r="C781" s="1" t="n">
        <v>45741</v>
      </c>
      <c r="D781" t="inlineStr">
        <is>
          <t>JÄMTLANDS LÄN</t>
        </is>
      </c>
      <c r="E781" t="inlineStr">
        <is>
          <t>KROKOM</t>
        </is>
      </c>
      <c r="F781" t="inlineStr">
        <is>
          <t>Kyrkan</t>
        </is>
      </c>
      <c r="G781" t="n">
        <v>2.2</v>
      </c>
      <c r="H781" t="n">
        <v>0</v>
      </c>
      <c r="I781" t="n">
        <v>0</v>
      </c>
      <c r="J781" t="n">
        <v>0</v>
      </c>
      <c r="K781" t="n">
        <v>0</v>
      </c>
      <c r="L781" t="n">
        <v>0</v>
      </c>
      <c r="M781" t="n">
        <v>0</v>
      </c>
      <c r="N781" t="n">
        <v>0</v>
      </c>
      <c r="O781" t="n">
        <v>0</v>
      </c>
      <c r="P781" t="n">
        <v>0</v>
      </c>
      <c r="Q781" t="n">
        <v>0</v>
      </c>
      <c r="R781" s="2" t="inlineStr"/>
    </row>
    <row r="782" ht="15" customHeight="1">
      <c r="A782" t="inlineStr">
        <is>
          <t>A 18426-2022</t>
        </is>
      </c>
      <c r="B782" s="1" t="n">
        <v>44686</v>
      </c>
      <c r="C782" s="1" t="n">
        <v>45741</v>
      </c>
      <c r="D782" t="inlineStr">
        <is>
          <t>JÄMTLANDS LÄN</t>
        </is>
      </c>
      <c r="E782" t="inlineStr">
        <is>
          <t>KROKOM</t>
        </is>
      </c>
      <c r="F782" t="inlineStr">
        <is>
          <t>Övriga Aktiebolag</t>
        </is>
      </c>
      <c r="G782" t="n">
        <v>24.8</v>
      </c>
      <c r="H782" t="n">
        <v>0</v>
      </c>
      <c r="I782" t="n">
        <v>0</v>
      </c>
      <c r="J782" t="n">
        <v>0</v>
      </c>
      <c r="K782" t="n">
        <v>0</v>
      </c>
      <c r="L782" t="n">
        <v>0</v>
      </c>
      <c r="M782" t="n">
        <v>0</v>
      </c>
      <c r="N782" t="n">
        <v>0</v>
      </c>
      <c r="O782" t="n">
        <v>0</v>
      </c>
      <c r="P782" t="n">
        <v>0</v>
      </c>
      <c r="Q782" t="n">
        <v>0</v>
      </c>
      <c r="R782" s="2" t="inlineStr"/>
    </row>
    <row r="783" ht="15" customHeight="1">
      <c r="A783" t="inlineStr">
        <is>
          <t>A 18466-2022</t>
        </is>
      </c>
      <c r="B783" s="1" t="n">
        <v>44686</v>
      </c>
      <c r="C783" s="1" t="n">
        <v>45741</v>
      </c>
      <c r="D783" t="inlineStr">
        <is>
          <t>JÄMTLANDS LÄN</t>
        </is>
      </c>
      <c r="E783" t="inlineStr">
        <is>
          <t>KROKOM</t>
        </is>
      </c>
      <c r="G783" t="n">
        <v>3.2</v>
      </c>
      <c r="H783" t="n">
        <v>0</v>
      </c>
      <c r="I783" t="n">
        <v>0</v>
      </c>
      <c r="J783" t="n">
        <v>0</v>
      </c>
      <c r="K783" t="n">
        <v>0</v>
      </c>
      <c r="L783" t="n">
        <v>0</v>
      </c>
      <c r="M783" t="n">
        <v>0</v>
      </c>
      <c r="N783" t="n">
        <v>0</v>
      </c>
      <c r="O783" t="n">
        <v>0</v>
      </c>
      <c r="P783" t="n">
        <v>0</v>
      </c>
      <c r="Q783" t="n">
        <v>0</v>
      </c>
      <c r="R783" s="2" t="inlineStr"/>
    </row>
    <row r="784" ht="15" customHeight="1">
      <c r="A784" t="inlineStr">
        <is>
          <t>A 18476-2022</t>
        </is>
      </c>
      <c r="B784" s="1" t="n">
        <v>44686</v>
      </c>
      <c r="C784" s="1" t="n">
        <v>45741</v>
      </c>
      <c r="D784" t="inlineStr">
        <is>
          <t>JÄMTLANDS LÄN</t>
        </is>
      </c>
      <c r="E784" t="inlineStr">
        <is>
          <t>KROKOM</t>
        </is>
      </c>
      <c r="G784" t="n">
        <v>11.7</v>
      </c>
      <c r="H784" t="n">
        <v>0</v>
      </c>
      <c r="I784" t="n">
        <v>0</v>
      </c>
      <c r="J784" t="n">
        <v>0</v>
      </c>
      <c r="K784" t="n">
        <v>0</v>
      </c>
      <c r="L784" t="n">
        <v>0</v>
      </c>
      <c r="M784" t="n">
        <v>0</v>
      </c>
      <c r="N784" t="n">
        <v>0</v>
      </c>
      <c r="O784" t="n">
        <v>0</v>
      </c>
      <c r="P784" t="n">
        <v>0</v>
      </c>
      <c r="Q784" t="n">
        <v>0</v>
      </c>
      <c r="R784" s="2" t="inlineStr"/>
    </row>
    <row r="785" ht="15" customHeight="1">
      <c r="A785" t="inlineStr">
        <is>
          <t>A 18671-2022</t>
        </is>
      </c>
      <c r="B785" s="1" t="n">
        <v>44687</v>
      </c>
      <c r="C785" s="1" t="n">
        <v>45741</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18669-2022</t>
        </is>
      </c>
      <c r="B786" s="1" t="n">
        <v>44687</v>
      </c>
      <c r="C786" s="1" t="n">
        <v>45741</v>
      </c>
      <c r="D786" t="inlineStr">
        <is>
          <t>JÄMTLANDS LÄN</t>
        </is>
      </c>
      <c r="E786" t="inlineStr">
        <is>
          <t>KROKOM</t>
        </is>
      </c>
      <c r="G786" t="n">
        <v>2.8</v>
      </c>
      <c r="H786" t="n">
        <v>0</v>
      </c>
      <c r="I786" t="n">
        <v>0</v>
      </c>
      <c r="J786" t="n">
        <v>0</v>
      </c>
      <c r="K786" t="n">
        <v>0</v>
      </c>
      <c r="L786" t="n">
        <v>0</v>
      </c>
      <c r="M786" t="n">
        <v>0</v>
      </c>
      <c r="N786" t="n">
        <v>0</v>
      </c>
      <c r="O786" t="n">
        <v>0</v>
      </c>
      <c r="P786" t="n">
        <v>0</v>
      </c>
      <c r="Q786" t="n">
        <v>0</v>
      </c>
      <c r="R786" s="2" t="inlineStr"/>
    </row>
    <row r="787" ht="15" customHeight="1">
      <c r="A787" t="inlineStr">
        <is>
          <t>A 18957-2022</t>
        </is>
      </c>
      <c r="B787" s="1" t="n">
        <v>44690</v>
      </c>
      <c r="C787" s="1" t="n">
        <v>45741</v>
      </c>
      <c r="D787" t="inlineStr">
        <is>
          <t>JÄMTLANDS LÄN</t>
        </is>
      </c>
      <c r="E787" t="inlineStr">
        <is>
          <t>KROKOM</t>
        </is>
      </c>
      <c r="G787" t="n">
        <v>11.5</v>
      </c>
      <c r="H787" t="n">
        <v>0</v>
      </c>
      <c r="I787" t="n">
        <v>0</v>
      </c>
      <c r="J787" t="n">
        <v>0</v>
      </c>
      <c r="K787" t="n">
        <v>0</v>
      </c>
      <c r="L787" t="n">
        <v>0</v>
      </c>
      <c r="M787" t="n">
        <v>0</v>
      </c>
      <c r="N787" t="n">
        <v>0</v>
      </c>
      <c r="O787" t="n">
        <v>0</v>
      </c>
      <c r="P787" t="n">
        <v>0</v>
      </c>
      <c r="Q787" t="n">
        <v>0</v>
      </c>
      <c r="R787" s="2" t="inlineStr"/>
    </row>
    <row r="788" ht="15" customHeight="1">
      <c r="A788" t="inlineStr">
        <is>
          <t>A 19455-2022</t>
        </is>
      </c>
      <c r="B788" s="1" t="n">
        <v>44693</v>
      </c>
      <c r="C788" s="1" t="n">
        <v>45741</v>
      </c>
      <c r="D788" t="inlineStr">
        <is>
          <t>JÄMTLANDS LÄN</t>
        </is>
      </c>
      <c r="E788" t="inlineStr">
        <is>
          <t>KROKOM</t>
        </is>
      </c>
      <c r="G788" t="n">
        <v>7</v>
      </c>
      <c r="H788" t="n">
        <v>0</v>
      </c>
      <c r="I788" t="n">
        <v>0</v>
      </c>
      <c r="J788" t="n">
        <v>0</v>
      </c>
      <c r="K788" t="n">
        <v>0</v>
      </c>
      <c r="L788" t="n">
        <v>0</v>
      </c>
      <c r="M788" t="n">
        <v>0</v>
      </c>
      <c r="N788" t="n">
        <v>0</v>
      </c>
      <c r="O788" t="n">
        <v>0</v>
      </c>
      <c r="P788" t="n">
        <v>0</v>
      </c>
      <c r="Q788" t="n">
        <v>0</v>
      </c>
      <c r="R788" s="2" t="inlineStr"/>
    </row>
    <row r="789" ht="15" customHeight="1">
      <c r="A789" t="inlineStr">
        <is>
          <t>A 19799-2022</t>
        </is>
      </c>
      <c r="B789" s="1" t="n">
        <v>44694</v>
      </c>
      <c r="C789" s="1" t="n">
        <v>45741</v>
      </c>
      <c r="D789" t="inlineStr">
        <is>
          <t>JÄMTLANDS LÄN</t>
        </is>
      </c>
      <c r="E789" t="inlineStr">
        <is>
          <t>KROKOM</t>
        </is>
      </c>
      <c r="F789" t="inlineStr">
        <is>
          <t>SCA</t>
        </is>
      </c>
      <c r="G789" t="n">
        <v>16.3</v>
      </c>
      <c r="H789" t="n">
        <v>0</v>
      </c>
      <c r="I789" t="n">
        <v>0</v>
      </c>
      <c r="J789" t="n">
        <v>0</v>
      </c>
      <c r="K789" t="n">
        <v>0</v>
      </c>
      <c r="L789" t="n">
        <v>0</v>
      </c>
      <c r="M789" t="n">
        <v>0</v>
      </c>
      <c r="N789" t="n">
        <v>0</v>
      </c>
      <c r="O789" t="n">
        <v>0</v>
      </c>
      <c r="P789" t="n">
        <v>0</v>
      </c>
      <c r="Q789" t="n">
        <v>0</v>
      </c>
      <c r="R789" s="2" t="inlineStr"/>
    </row>
    <row r="790" ht="15" customHeight="1">
      <c r="A790" t="inlineStr">
        <is>
          <t>A 20074-2022</t>
        </is>
      </c>
      <c r="B790" s="1" t="n">
        <v>44698</v>
      </c>
      <c r="C790" s="1" t="n">
        <v>45741</v>
      </c>
      <c r="D790" t="inlineStr">
        <is>
          <t>JÄMTLANDS LÄN</t>
        </is>
      </c>
      <c r="E790" t="inlineStr">
        <is>
          <t>KROKOM</t>
        </is>
      </c>
      <c r="G790" t="n">
        <v>3</v>
      </c>
      <c r="H790" t="n">
        <v>0</v>
      </c>
      <c r="I790" t="n">
        <v>0</v>
      </c>
      <c r="J790" t="n">
        <v>0</v>
      </c>
      <c r="K790" t="n">
        <v>0</v>
      </c>
      <c r="L790" t="n">
        <v>0</v>
      </c>
      <c r="M790" t="n">
        <v>0</v>
      </c>
      <c r="N790" t="n">
        <v>0</v>
      </c>
      <c r="O790" t="n">
        <v>0</v>
      </c>
      <c r="P790" t="n">
        <v>0</v>
      </c>
      <c r="Q790" t="n">
        <v>0</v>
      </c>
      <c r="R790" s="2" t="inlineStr"/>
    </row>
    <row r="791" ht="15" customHeight="1">
      <c r="A791" t="inlineStr">
        <is>
          <t>A 20721-2022</t>
        </is>
      </c>
      <c r="B791" s="1" t="n">
        <v>44700</v>
      </c>
      <c r="C791" s="1" t="n">
        <v>45741</v>
      </c>
      <c r="D791" t="inlineStr">
        <is>
          <t>JÄMTLANDS LÄN</t>
        </is>
      </c>
      <c r="E791" t="inlineStr">
        <is>
          <t>KROKOM</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21139-2022</t>
        </is>
      </c>
      <c r="B792" s="1" t="n">
        <v>44704</v>
      </c>
      <c r="C792" s="1" t="n">
        <v>45741</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21301-2022</t>
        </is>
      </c>
      <c r="B793" s="1" t="n">
        <v>44705</v>
      </c>
      <c r="C793" s="1" t="n">
        <v>45741</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21990-2022</t>
        </is>
      </c>
      <c r="B794" s="1" t="n">
        <v>44711</v>
      </c>
      <c r="C794" s="1" t="n">
        <v>45741</v>
      </c>
      <c r="D794" t="inlineStr">
        <is>
          <t>JÄMTLANDS LÄN</t>
        </is>
      </c>
      <c r="E794" t="inlineStr">
        <is>
          <t>KROKOM</t>
        </is>
      </c>
      <c r="F794" t="inlineStr">
        <is>
          <t>Övriga Aktiebolag</t>
        </is>
      </c>
      <c r="G794" t="n">
        <v>26.3</v>
      </c>
      <c r="H794" t="n">
        <v>0</v>
      </c>
      <c r="I794" t="n">
        <v>0</v>
      </c>
      <c r="J794" t="n">
        <v>0</v>
      </c>
      <c r="K794" t="n">
        <v>0</v>
      </c>
      <c r="L794" t="n">
        <v>0</v>
      </c>
      <c r="M794" t="n">
        <v>0</v>
      </c>
      <c r="N794" t="n">
        <v>0</v>
      </c>
      <c r="O794" t="n">
        <v>0</v>
      </c>
      <c r="P794" t="n">
        <v>0</v>
      </c>
      <c r="Q794" t="n">
        <v>0</v>
      </c>
      <c r="R794" s="2" t="inlineStr"/>
    </row>
    <row r="795" ht="15" customHeight="1">
      <c r="A795" t="inlineStr">
        <is>
          <t>A 22273-2022</t>
        </is>
      </c>
      <c r="B795" s="1" t="n">
        <v>44712</v>
      </c>
      <c r="C795" s="1" t="n">
        <v>45741</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22339-2022</t>
        </is>
      </c>
      <c r="B796" s="1" t="n">
        <v>44713</v>
      </c>
      <c r="C796" s="1" t="n">
        <v>45741</v>
      </c>
      <c r="D796" t="inlineStr">
        <is>
          <t>JÄMTLANDS LÄN</t>
        </is>
      </c>
      <c r="E796" t="inlineStr">
        <is>
          <t>KROKOM</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22611-2022</t>
        </is>
      </c>
      <c r="B797" s="1" t="n">
        <v>44714</v>
      </c>
      <c r="C797" s="1" t="n">
        <v>45741</v>
      </c>
      <c r="D797" t="inlineStr">
        <is>
          <t>JÄMTLANDS LÄN</t>
        </is>
      </c>
      <c r="E797" t="inlineStr">
        <is>
          <t>KROKOM</t>
        </is>
      </c>
      <c r="G797" t="n">
        <v>2.6</v>
      </c>
      <c r="H797" t="n">
        <v>0</v>
      </c>
      <c r="I797" t="n">
        <v>0</v>
      </c>
      <c r="J797" t="n">
        <v>0</v>
      </c>
      <c r="K797" t="n">
        <v>0</v>
      </c>
      <c r="L797" t="n">
        <v>0</v>
      </c>
      <c r="M797" t="n">
        <v>0</v>
      </c>
      <c r="N797" t="n">
        <v>0</v>
      </c>
      <c r="O797" t="n">
        <v>0</v>
      </c>
      <c r="P797" t="n">
        <v>0</v>
      </c>
      <c r="Q797" t="n">
        <v>0</v>
      </c>
      <c r="R797" s="2" t="inlineStr"/>
    </row>
    <row r="798" ht="15" customHeight="1">
      <c r="A798" t="inlineStr">
        <is>
          <t>A 22629-2022</t>
        </is>
      </c>
      <c r="B798" s="1" t="n">
        <v>44714</v>
      </c>
      <c r="C798" s="1" t="n">
        <v>45741</v>
      </c>
      <c r="D798" t="inlineStr">
        <is>
          <t>JÄMTLANDS LÄN</t>
        </is>
      </c>
      <c r="E798" t="inlineStr">
        <is>
          <t>KROKOM</t>
        </is>
      </c>
      <c r="G798" t="n">
        <v>17.1</v>
      </c>
      <c r="H798" t="n">
        <v>0</v>
      </c>
      <c r="I798" t="n">
        <v>0</v>
      </c>
      <c r="J798" t="n">
        <v>0</v>
      </c>
      <c r="K798" t="n">
        <v>0</v>
      </c>
      <c r="L798" t="n">
        <v>0</v>
      </c>
      <c r="M798" t="n">
        <v>0</v>
      </c>
      <c r="N798" t="n">
        <v>0</v>
      </c>
      <c r="O798" t="n">
        <v>0</v>
      </c>
      <c r="P798" t="n">
        <v>0</v>
      </c>
      <c r="Q798" t="n">
        <v>0</v>
      </c>
      <c r="R798" s="2" t="inlineStr"/>
    </row>
    <row r="799" ht="15" customHeight="1">
      <c r="A799" t="inlineStr">
        <is>
          <t>A 22863-2022</t>
        </is>
      </c>
      <c r="B799" s="1" t="n">
        <v>44715</v>
      </c>
      <c r="C799" s="1" t="n">
        <v>45741</v>
      </c>
      <c r="D799" t="inlineStr">
        <is>
          <t>JÄMTLANDS LÄN</t>
        </is>
      </c>
      <c r="E799" t="inlineStr">
        <is>
          <t>KROKOM</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22868-2022</t>
        </is>
      </c>
      <c r="B800" s="1" t="n">
        <v>44715</v>
      </c>
      <c r="C800" s="1" t="n">
        <v>45741</v>
      </c>
      <c r="D800" t="inlineStr">
        <is>
          <t>JÄMTLANDS LÄN</t>
        </is>
      </c>
      <c r="E800" t="inlineStr">
        <is>
          <t>KROKOM</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22821-2022</t>
        </is>
      </c>
      <c r="B801" s="1" t="n">
        <v>44715</v>
      </c>
      <c r="C801" s="1" t="n">
        <v>45741</v>
      </c>
      <c r="D801" t="inlineStr">
        <is>
          <t>JÄMTLANDS LÄN</t>
        </is>
      </c>
      <c r="E801" t="inlineStr">
        <is>
          <t>KROKOM</t>
        </is>
      </c>
      <c r="F801" t="inlineStr">
        <is>
          <t>Övriga Aktiebolag</t>
        </is>
      </c>
      <c r="G801" t="n">
        <v>10.1</v>
      </c>
      <c r="H801" t="n">
        <v>0</v>
      </c>
      <c r="I801" t="n">
        <v>0</v>
      </c>
      <c r="J801" t="n">
        <v>0</v>
      </c>
      <c r="K801" t="n">
        <v>0</v>
      </c>
      <c r="L801" t="n">
        <v>0</v>
      </c>
      <c r="M801" t="n">
        <v>0</v>
      </c>
      <c r="N801" t="n">
        <v>0</v>
      </c>
      <c r="O801" t="n">
        <v>0</v>
      </c>
      <c r="P801" t="n">
        <v>0</v>
      </c>
      <c r="Q801" t="n">
        <v>0</v>
      </c>
      <c r="R801" s="2" t="inlineStr"/>
    </row>
    <row r="802" ht="15" customHeight="1">
      <c r="A802" t="inlineStr">
        <is>
          <t>A 22865-2022</t>
        </is>
      </c>
      <c r="B802" s="1" t="n">
        <v>44715</v>
      </c>
      <c r="C802" s="1" t="n">
        <v>45741</v>
      </c>
      <c r="D802" t="inlineStr">
        <is>
          <t>JÄMTLANDS LÄN</t>
        </is>
      </c>
      <c r="E802" t="inlineStr">
        <is>
          <t>KROKOM</t>
        </is>
      </c>
      <c r="F802" t="inlineStr">
        <is>
          <t>Övriga Aktiebolag</t>
        </is>
      </c>
      <c r="G802" t="n">
        <v>1.7</v>
      </c>
      <c r="H802" t="n">
        <v>0</v>
      </c>
      <c r="I802" t="n">
        <v>0</v>
      </c>
      <c r="J802" t="n">
        <v>0</v>
      </c>
      <c r="K802" t="n">
        <v>0</v>
      </c>
      <c r="L802" t="n">
        <v>0</v>
      </c>
      <c r="M802" t="n">
        <v>0</v>
      </c>
      <c r="N802" t="n">
        <v>0</v>
      </c>
      <c r="O802" t="n">
        <v>0</v>
      </c>
      <c r="P802" t="n">
        <v>0</v>
      </c>
      <c r="Q802" t="n">
        <v>0</v>
      </c>
      <c r="R802" s="2" t="inlineStr"/>
    </row>
    <row r="803" ht="15" customHeight="1">
      <c r="A803" t="inlineStr">
        <is>
          <t>A 23504-2022</t>
        </is>
      </c>
      <c r="B803" s="1" t="n">
        <v>44721</v>
      </c>
      <c r="C803" s="1" t="n">
        <v>45741</v>
      </c>
      <c r="D803" t="inlineStr">
        <is>
          <t>JÄMTLANDS LÄN</t>
        </is>
      </c>
      <c r="E803" t="inlineStr">
        <is>
          <t>KROKOM</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23512-2022</t>
        </is>
      </c>
      <c r="B804" s="1" t="n">
        <v>44721</v>
      </c>
      <c r="C804" s="1" t="n">
        <v>45741</v>
      </c>
      <c r="D804" t="inlineStr">
        <is>
          <t>JÄMTLANDS LÄN</t>
        </is>
      </c>
      <c r="E804" t="inlineStr">
        <is>
          <t>KROKOM</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23467-2022</t>
        </is>
      </c>
      <c r="B805" s="1" t="n">
        <v>44721</v>
      </c>
      <c r="C805" s="1" t="n">
        <v>45741</v>
      </c>
      <c r="D805" t="inlineStr">
        <is>
          <t>JÄMTLANDS LÄN</t>
        </is>
      </c>
      <c r="E805" t="inlineStr">
        <is>
          <t>KROKOM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24014-2022</t>
        </is>
      </c>
      <c r="B806" s="1" t="n">
        <v>44723</v>
      </c>
      <c r="C806" s="1" t="n">
        <v>45741</v>
      </c>
      <c r="D806" t="inlineStr">
        <is>
          <t>JÄMTLANDS LÄN</t>
        </is>
      </c>
      <c r="E806" t="inlineStr">
        <is>
          <t>KROKOM</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24117-2022</t>
        </is>
      </c>
      <c r="B807" s="1" t="n">
        <v>44725</v>
      </c>
      <c r="C807" s="1" t="n">
        <v>45741</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24441-2022</t>
        </is>
      </c>
      <c r="B808" s="1" t="n">
        <v>44726</v>
      </c>
      <c r="C808" s="1" t="n">
        <v>45741</v>
      </c>
      <c r="D808" t="inlineStr">
        <is>
          <t>JÄMTLANDS LÄN</t>
        </is>
      </c>
      <c r="E808" t="inlineStr">
        <is>
          <t>KROKOM</t>
        </is>
      </c>
      <c r="G808" t="n">
        <v>12.1</v>
      </c>
      <c r="H808" t="n">
        <v>0</v>
      </c>
      <c r="I808" t="n">
        <v>0</v>
      </c>
      <c r="J808" t="n">
        <v>0</v>
      </c>
      <c r="K808" t="n">
        <v>0</v>
      </c>
      <c r="L808" t="n">
        <v>0</v>
      </c>
      <c r="M808" t="n">
        <v>0</v>
      </c>
      <c r="N808" t="n">
        <v>0</v>
      </c>
      <c r="O808" t="n">
        <v>0</v>
      </c>
      <c r="P808" t="n">
        <v>0</v>
      </c>
      <c r="Q808" t="n">
        <v>0</v>
      </c>
      <c r="R808" s="2" t="inlineStr"/>
    </row>
    <row r="809" ht="15" customHeight="1">
      <c r="A809" t="inlineStr">
        <is>
          <t>A 24402-2022</t>
        </is>
      </c>
      <c r="B809" s="1" t="n">
        <v>44726</v>
      </c>
      <c r="C809" s="1" t="n">
        <v>45741</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24612-2022</t>
        </is>
      </c>
      <c r="B810" s="1" t="n">
        <v>44727</v>
      </c>
      <c r="C810" s="1" t="n">
        <v>45741</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24692-2022</t>
        </is>
      </c>
      <c r="B811" s="1" t="n">
        <v>44727</v>
      </c>
      <c r="C811" s="1" t="n">
        <v>45741</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24688-2022</t>
        </is>
      </c>
      <c r="B812" s="1" t="n">
        <v>44727</v>
      </c>
      <c r="C812" s="1" t="n">
        <v>45741</v>
      </c>
      <c r="D812" t="inlineStr">
        <is>
          <t>JÄMTLANDS LÄN</t>
        </is>
      </c>
      <c r="E812" t="inlineStr">
        <is>
          <t>KROKOM</t>
        </is>
      </c>
      <c r="G812" t="n">
        <v>12.9</v>
      </c>
      <c r="H812" t="n">
        <v>0</v>
      </c>
      <c r="I812" t="n">
        <v>0</v>
      </c>
      <c r="J812" t="n">
        <v>0</v>
      </c>
      <c r="K812" t="n">
        <v>0</v>
      </c>
      <c r="L812" t="n">
        <v>0</v>
      </c>
      <c r="M812" t="n">
        <v>0</v>
      </c>
      <c r="N812" t="n">
        <v>0</v>
      </c>
      <c r="O812" t="n">
        <v>0</v>
      </c>
      <c r="P812" t="n">
        <v>0</v>
      </c>
      <c r="Q812" t="n">
        <v>0</v>
      </c>
      <c r="R812" s="2" t="inlineStr"/>
    </row>
    <row r="813" ht="15" customHeight="1">
      <c r="A813" t="inlineStr">
        <is>
          <t>A 25031-2022</t>
        </is>
      </c>
      <c r="B813" s="1" t="n">
        <v>44729</v>
      </c>
      <c r="C813" s="1" t="n">
        <v>45741</v>
      </c>
      <c r="D813" t="inlineStr">
        <is>
          <t>JÄMTLANDS LÄN</t>
        </is>
      </c>
      <c r="E813" t="inlineStr">
        <is>
          <t>KROKOM</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25428-2022</t>
        </is>
      </c>
      <c r="B814" s="1" t="n">
        <v>44732</v>
      </c>
      <c r="C814" s="1" t="n">
        <v>45741</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25421-2022</t>
        </is>
      </c>
      <c r="B815" s="1" t="n">
        <v>44732</v>
      </c>
      <c r="C815" s="1" t="n">
        <v>45741</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26142-2022</t>
        </is>
      </c>
      <c r="B816" s="1" t="n">
        <v>44735</v>
      </c>
      <c r="C816" s="1" t="n">
        <v>45741</v>
      </c>
      <c r="D816" t="inlineStr">
        <is>
          <t>JÄMTLANDS LÄN</t>
        </is>
      </c>
      <c r="E816" t="inlineStr">
        <is>
          <t>KROKOM</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26448-2022</t>
        </is>
      </c>
      <c r="B817" s="1" t="n">
        <v>44739</v>
      </c>
      <c r="C817" s="1" t="n">
        <v>45741</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27075-2022</t>
        </is>
      </c>
      <c r="B818" s="1" t="n">
        <v>44741</v>
      </c>
      <c r="C818" s="1" t="n">
        <v>45741</v>
      </c>
      <c r="D818" t="inlineStr">
        <is>
          <t>JÄMTLANDS LÄN</t>
        </is>
      </c>
      <c r="E818" t="inlineStr">
        <is>
          <t>KROKOM</t>
        </is>
      </c>
      <c r="G818" t="n">
        <v>10.4</v>
      </c>
      <c r="H818" t="n">
        <v>0</v>
      </c>
      <c r="I818" t="n">
        <v>0</v>
      </c>
      <c r="J818" t="n">
        <v>0</v>
      </c>
      <c r="K818" t="n">
        <v>0</v>
      </c>
      <c r="L818" t="n">
        <v>0</v>
      </c>
      <c r="M818" t="n">
        <v>0</v>
      </c>
      <c r="N818" t="n">
        <v>0</v>
      </c>
      <c r="O818" t="n">
        <v>0</v>
      </c>
      <c r="P818" t="n">
        <v>0</v>
      </c>
      <c r="Q818" t="n">
        <v>0</v>
      </c>
      <c r="R818" s="2" t="inlineStr"/>
    </row>
    <row r="819" ht="15" customHeight="1">
      <c r="A819" t="inlineStr">
        <is>
          <t>A 27157-2022</t>
        </is>
      </c>
      <c r="B819" s="1" t="n">
        <v>44741</v>
      </c>
      <c r="C819" s="1" t="n">
        <v>45741</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27178-2022</t>
        </is>
      </c>
      <c r="B820" s="1" t="n">
        <v>44741</v>
      </c>
      <c r="C820" s="1" t="n">
        <v>45741</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27924-2022</t>
        </is>
      </c>
      <c r="B821" s="1" t="n">
        <v>44743</v>
      </c>
      <c r="C821" s="1" t="n">
        <v>45741</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28669-2022</t>
        </is>
      </c>
      <c r="B822" s="1" t="n">
        <v>44748</v>
      </c>
      <c r="C822" s="1" t="n">
        <v>45741</v>
      </c>
      <c r="D822" t="inlineStr">
        <is>
          <t>JÄMTLANDS LÄN</t>
        </is>
      </c>
      <c r="E822" t="inlineStr">
        <is>
          <t>KROKOM</t>
        </is>
      </c>
      <c r="G822" t="n">
        <v>7.4</v>
      </c>
      <c r="H822" t="n">
        <v>0</v>
      </c>
      <c r="I822" t="n">
        <v>0</v>
      </c>
      <c r="J822" t="n">
        <v>0</v>
      </c>
      <c r="K822" t="n">
        <v>0</v>
      </c>
      <c r="L822" t="n">
        <v>0</v>
      </c>
      <c r="M822" t="n">
        <v>0</v>
      </c>
      <c r="N822" t="n">
        <v>0</v>
      </c>
      <c r="O822" t="n">
        <v>0</v>
      </c>
      <c r="P822" t="n">
        <v>0</v>
      </c>
      <c r="Q822" t="n">
        <v>0</v>
      </c>
      <c r="R822" s="2" t="inlineStr"/>
    </row>
    <row r="823" ht="15" customHeight="1">
      <c r="A823" t="inlineStr">
        <is>
          <t>A 28736-2022</t>
        </is>
      </c>
      <c r="B823" s="1" t="n">
        <v>44749</v>
      </c>
      <c r="C823" s="1" t="n">
        <v>45741</v>
      </c>
      <c r="D823" t="inlineStr">
        <is>
          <t>JÄMTLANDS LÄN</t>
        </is>
      </c>
      <c r="E823" t="inlineStr">
        <is>
          <t>KROKOM</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28735-2022</t>
        </is>
      </c>
      <c r="B824" s="1" t="n">
        <v>44749</v>
      </c>
      <c r="C824" s="1" t="n">
        <v>45741</v>
      </c>
      <c r="D824" t="inlineStr">
        <is>
          <t>JÄMTLANDS LÄN</t>
        </is>
      </c>
      <c r="E824" t="inlineStr">
        <is>
          <t>KROKOM</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28804-2022</t>
        </is>
      </c>
      <c r="B825" s="1" t="n">
        <v>44749</v>
      </c>
      <c r="C825" s="1" t="n">
        <v>45741</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28856-2022</t>
        </is>
      </c>
      <c r="B826" s="1" t="n">
        <v>44749</v>
      </c>
      <c r="C826" s="1" t="n">
        <v>45741</v>
      </c>
      <c r="D826" t="inlineStr">
        <is>
          <t>JÄMTLANDS LÄN</t>
        </is>
      </c>
      <c r="E826" t="inlineStr">
        <is>
          <t>KROKOM</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28776-2022</t>
        </is>
      </c>
      <c r="B827" s="1" t="n">
        <v>44749</v>
      </c>
      <c r="C827" s="1" t="n">
        <v>45741</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28771-2022</t>
        </is>
      </c>
      <c r="B828" s="1" t="n">
        <v>44749</v>
      </c>
      <c r="C828" s="1" t="n">
        <v>45741</v>
      </c>
      <c r="D828" t="inlineStr">
        <is>
          <t>JÄMTLANDS LÄN</t>
        </is>
      </c>
      <c r="E828" t="inlineStr">
        <is>
          <t>KROKOM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28883-2022</t>
        </is>
      </c>
      <c r="B829" s="1" t="n">
        <v>44749</v>
      </c>
      <c r="C829" s="1" t="n">
        <v>45741</v>
      </c>
      <c r="D829" t="inlineStr">
        <is>
          <t>JÄMTLANDS LÄN</t>
        </is>
      </c>
      <c r="E829" t="inlineStr">
        <is>
          <t>KROKOM</t>
        </is>
      </c>
      <c r="F829" t="inlineStr">
        <is>
          <t>Övriga Aktiebolag</t>
        </is>
      </c>
      <c r="G829" t="n">
        <v>14.1</v>
      </c>
      <c r="H829" t="n">
        <v>0</v>
      </c>
      <c r="I829" t="n">
        <v>0</v>
      </c>
      <c r="J829" t="n">
        <v>0</v>
      </c>
      <c r="K829" t="n">
        <v>0</v>
      </c>
      <c r="L829" t="n">
        <v>0</v>
      </c>
      <c r="M829" t="n">
        <v>0</v>
      </c>
      <c r="N829" t="n">
        <v>0</v>
      </c>
      <c r="O829" t="n">
        <v>0</v>
      </c>
      <c r="P829" t="n">
        <v>0</v>
      </c>
      <c r="Q829" t="n">
        <v>0</v>
      </c>
      <c r="R829" s="2" t="inlineStr"/>
    </row>
    <row r="830" ht="15" customHeight="1">
      <c r="A830" t="inlineStr">
        <is>
          <t>A 29050-2022</t>
        </is>
      </c>
      <c r="B830" s="1" t="n">
        <v>44750</v>
      </c>
      <c r="C830" s="1" t="n">
        <v>45741</v>
      </c>
      <c r="D830" t="inlineStr">
        <is>
          <t>JÄMTLANDS LÄN</t>
        </is>
      </c>
      <c r="E830" t="inlineStr">
        <is>
          <t>KROKOM</t>
        </is>
      </c>
      <c r="F830" t="inlineStr">
        <is>
          <t>SCA</t>
        </is>
      </c>
      <c r="G830" t="n">
        <v>10.8</v>
      </c>
      <c r="H830" t="n">
        <v>0</v>
      </c>
      <c r="I830" t="n">
        <v>0</v>
      </c>
      <c r="J830" t="n">
        <v>0</v>
      </c>
      <c r="K830" t="n">
        <v>0</v>
      </c>
      <c r="L830" t="n">
        <v>0</v>
      </c>
      <c r="M830" t="n">
        <v>0</v>
      </c>
      <c r="N830" t="n">
        <v>0</v>
      </c>
      <c r="O830" t="n">
        <v>0</v>
      </c>
      <c r="P830" t="n">
        <v>0</v>
      </c>
      <c r="Q830" t="n">
        <v>0</v>
      </c>
      <c r="R830" s="2" t="inlineStr"/>
    </row>
    <row r="831" ht="15" customHeight="1">
      <c r="A831" t="inlineStr">
        <is>
          <t>A 29187-2022</t>
        </is>
      </c>
      <c r="B831" s="1" t="n">
        <v>44750</v>
      </c>
      <c r="C831" s="1" t="n">
        <v>45741</v>
      </c>
      <c r="D831" t="inlineStr">
        <is>
          <t>JÄMTLANDS LÄN</t>
        </is>
      </c>
      <c r="E831" t="inlineStr">
        <is>
          <t>KROKOM</t>
        </is>
      </c>
      <c r="F831" t="inlineStr">
        <is>
          <t>Övriga Aktiebolag</t>
        </is>
      </c>
      <c r="G831" t="n">
        <v>20.4</v>
      </c>
      <c r="H831" t="n">
        <v>0</v>
      </c>
      <c r="I831" t="n">
        <v>0</v>
      </c>
      <c r="J831" t="n">
        <v>0</v>
      </c>
      <c r="K831" t="n">
        <v>0</v>
      </c>
      <c r="L831" t="n">
        <v>0</v>
      </c>
      <c r="M831" t="n">
        <v>0</v>
      </c>
      <c r="N831" t="n">
        <v>0</v>
      </c>
      <c r="O831" t="n">
        <v>0</v>
      </c>
      <c r="P831" t="n">
        <v>0</v>
      </c>
      <c r="Q831" t="n">
        <v>0</v>
      </c>
      <c r="R831" s="2" t="inlineStr"/>
    </row>
    <row r="832" ht="15" customHeight="1">
      <c r="A832" t="inlineStr">
        <is>
          <t>A 29245-2022</t>
        </is>
      </c>
      <c r="B832" s="1" t="n">
        <v>44750</v>
      </c>
      <c r="C832" s="1" t="n">
        <v>45741</v>
      </c>
      <c r="D832" t="inlineStr">
        <is>
          <t>JÄMTLANDS LÄN</t>
        </is>
      </c>
      <c r="E832" t="inlineStr">
        <is>
          <t>KROKOM</t>
        </is>
      </c>
      <c r="G832" t="n">
        <v>7.6</v>
      </c>
      <c r="H832" t="n">
        <v>0</v>
      </c>
      <c r="I832" t="n">
        <v>0</v>
      </c>
      <c r="J832" t="n">
        <v>0</v>
      </c>
      <c r="K832" t="n">
        <v>0</v>
      </c>
      <c r="L832" t="n">
        <v>0</v>
      </c>
      <c r="M832" t="n">
        <v>0</v>
      </c>
      <c r="N832" t="n">
        <v>0</v>
      </c>
      <c r="O832" t="n">
        <v>0</v>
      </c>
      <c r="P832" t="n">
        <v>0</v>
      </c>
      <c r="Q832" t="n">
        <v>0</v>
      </c>
      <c r="R832" s="2" t="inlineStr"/>
    </row>
    <row r="833" ht="15" customHeight="1">
      <c r="A833" t="inlineStr">
        <is>
          <t>A 29238-2022</t>
        </is>
      </c>
      <c r="B833" s="1" t="n">
        <v>44750</v>
      </c>
      <c r="C833" s="1" t="n">
        <v>45741</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29314-2022</t>
        </is>
      </c>
      <c r="B834" s="1" t="n">
        <v>44751</v>
      </c>
      <c r="C834" s="1" t="n">
        <v>45741</v>
      </c>
      <c r="D834" t="inlineStr">
        <is>
          <t>JÄMTLANDS LÄN</t>
        </is>
      </c>
      <c r="E834" t="inlineStr">
        <is>
          <t>KROKOM</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30160-2022</t>
        </is>
      </c>
      <c r="B835" s="1" t="n">
        <v>44757</v>
      </c>
      <c r="C835" s="1" t="n">
        <v>45741</v>
      </c>
      <c r="D835" t="inlineStr">
        <is>
          <t>JÄMTLANDS LÄN</t>
        </is>
      </c>
      <c r="E835" t="inlineStr">
        <is>
          <t>KROKOM</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30058-2022</t>
        </is>
      </c>
      <c r="B836" s="1" t="n">
        <v>44757</v>
      </c>
      <c r="C836" s="1" t="n">
        <v>45741</v>
      </c>
      <c r="D836" t="inlineStr">
        <is>
          <t>JÄMTLANDS LÄN</t>
        </is>
      </c>
      <c r="E836" t="inlineStr">
        <is>
          <t>KROKOM</t>
        </is>
      </c>
      <c r="G836" t="n">
        <v>5</v>
      </c>
      <c r="H836" t="n">
        <v>0</v>
      </c>
      <c r="I836" t="n">
        <v>0</v>
      </c>
      <c r="J836" t="n">
        <v>0</v>
      </c>
      <c r="K836" t="n">
        <v>0</v>
      </c>
      <c r="L836" t="n">
        <v>0</v>
      </c>
      <c r="M836" t="n">
        <v>0</v>
      </c>
      <c r="N836" t="n">
        <v>0</v>
      </c>
      <c r="O836" t="n">
        <v>0</v>
      </c>
      <c r="P836" t="n">
        <v>0</v>
      </c>
      <c r="Q836" t="n">
        <v>0</v>
      </c>
      <c r="R836" s="2" t="inlineStr"/>
    </row>
    <row r="837" ht="15" customHeight="1">
      <c r="A837" t="inlineStr">
        <is>
          <t>A 30158-2022</t>
        </is>
      </c>
      <c r="B837" s="1" t="n">
        <v>44757</v>
      </c>
      <c r="C837" s="1" t="n">
        <v>45741</v>
      </c>
      <c r="D837" t="inlineStr">
        <is>
          <t>JÄMTLANDS LÄN</t>
        </is>
      </c>
      <c r="E837" t="inlineStr">
        <is>
          <t>KROKOM</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30728-2022</t>
        </is>
      </c>
      <c r="B838" s="1" t="n">
        <v>44764</v>
      </c>
      <c r="C838" s="1" t="n">
        <v>45741</v>
      </c>
      <c r="D838" t="inlineStr">
        <is>
          <t>JÄMTLANDS LÄN</t>
        </is>
      </c>
      <c r="E838" t="inlineStr">
        <is>
          <t>KROKOM</t>
        </is>
      </c>
      <c r="G838" t="n">
        <v>6.4</v>
      </c>
      <c r="H838" t="n">
        <v>0</v>
      </c>
      <c r="I838" t="n">
        <v>0</v>
      </c>
      <c r="J838" t="n">
        <v>0</v>
      </c>
      <c r="K838" t="n">
        <v>0</v>
      </c>
      <c r="L838" t="n">
        <v>0</v>
      </c>
      <c r="M838" t="n">
        <v>0</v>
      </c>
      <c r="N838" t="n">
        <v>0</v>
      </c>
      <c r="O838" t="n">
        <v>0</v>
      </c>
      <c r="P838" t="n">
        <v>0</v>
      </c>
      <c r="Q838" t="n">
        <v>0</v>
      </c>
      <c r="R838" s="2" t="inlineStr"/>
    </row>
    <row r="839" ht="15" customHeight="1">
      <c r="A839" t="inlineStr">
        <is>
          <t>A 30729-2022</t>
        </is>
      </c>
      <c r="B839" s="1" t="n">
        <v>44764</v>
      </c>
      <c r="C839" s="1" t="n">
        <v>45741</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32366-2022</t>
        </is>
      </c>
      <c r="B840" s="1" t="n">
        <v>44782</v>
      </c>
      <c r="C840" s="1" t="n">
        <v>45741</v>
      </c>
      <c r="D840" t="inlineStr">
        <is>
          <t>JÄMTLANDS LÄN</t>
        </is>
      </c>
      <c r="E840" t="inlineStr">
        <is>
          <t>KROKOM</t>
        </is>
      </c>
      <c r="F840" t="inlineStr">
        <is>
          <t>SCA</t>
        </is>
      </c>
      <c r="G840" t="n">
        <v>16.5</v>
      </c>
      <c r="H840" t="n">
        <v>0</v>
      </c>
      <c r="I840" t="n">
        <v>0</v>
      </c>
      <c r="J840" t="n">
        <v>0</v>
      </c>
      <c r="K840" t="n">
        <v>0</v>
      </c>
      <c r="L840" t="n">
        <v>0</v>
      </c>
      <c r="M840" t="n">
        <v>0</v>
      </c>
      <c r="N840" t="n">
        <v>0</v>
      </c>
      <c r="O840" t="n">
        <v>0</v>
      </c>
      <c r="P840" t="n">
        <v>0</v>
      </c>
      <c r="Q840" t="n">
        <v>0</v>
      </c>
      <c r="R840" s="2" t="inlineStr"/>
    </row>
    <row r="841" ht="15" customHeight="1">
      <c r="A841" t="inlineStr">
        <is>
          <t>A 33359-2022</t>
        </is>
      </c>
      <c r="B841" s="1" t="n">
        <v>44788</v>
      </c>
      <c r="C841" s="1" t="n">
        <v>45741</v>
      </c>
      <c r="D841" t="inlineStr">
        <is>
          <t>JÄMTLANDS LÄN</t>
        </is>
      </c>
      <c r="E841" t="inlineStr">
        <is>
          <t>KROKOM</t>
        </is>
      </c>
      <c r="G841" t="n">
        <v>1.1</v>
      </c>
      <c r="H841" t="n">
        <v>0</v>
      </c>
      <c r="I841" t="n">
        <v>0</v>
      </c>
      <c r="J841" t="n">
        <v>0</v>
      </c>
      <c r="K841" t="n">
        <v>0</v>
      </c>
      <c r="L841" t="n">
        <v>0</v>
      </c>
      <c r="M841" t="n">
        <v>0</v>
      </c>
      <c r="N841" t="n">
        <v>0</v>
      </c>
      <c r="O841" t="n">
        <v>0</v>
      </c>
      <c r="P841" t="n">
        <v>0</v>
      </c>
      <c r="Q841" t="n">
        <v>0</v>
      </c>
      <c r="R841" s="2" t="inlineStr"/>
    </row>
    <row r="842" ht="15" customHeight="1">
      <c r="A842" t="inlineStr">
        <is>
          <t>A 33327-2022</t>
        </is>
      </c>
      <c r="B842" s="1" t="n">
        <v>44788</v>
      </c>
      <c r="C842" s="1" t="n">
        <v>45741</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33395-2022</t>
        </is>
      </c>
      <c r="B843" s="1" t="n">
        <v>44788</v>
      </c>
      <c r="C843" s="1" t="n">
        <v>45741</v>
      </c>
      <c r="D843" t="inlineStr">
        <is>
          <t>JÄMTLANDS LÄN</t>
        </is>
      </c>
      <c r="E843" t="inlineStr">
        <is>
          <t>KROKOM</t>
        </is>
      </c>
      <c r="F843" t="inlineStr">
        <is>
          <t>Övriga Aktiebolag</t>
        </is>
      </c>
      <c r="G843" t="n">
        <v>6.2</v>
      </c>
      <c r="H843" t="n">
        <v>0</v>
      </c>
      <c r="I843" t="n">
        <v>0</v>
      </c>
      <c r="J843" t="n">
        <v>0</v>
      </c>
      <c r="K843" t="n">
        <v>0</v>
      </c>
      <c r="L843" t="n">
        <v>0</v>
      </c>
      <c r="M843" t="n">
        <v>0</v>
      </c>
      <c r="N843" t="n">
        <v>0</v>
      </c>
      <c r="O843" t="n">
        <v>0</v>
      </c>
      <c r="P843" t="n">
        <v>0</v>
      </c>
      <c r="Q843" t="n">
        <v>0</v>
      </c>
      <c r="R843" s="2" t="inlineStr"/>
    </row>
    <row r="844" ht="15" customHeight="1">
      <c r="A844" t="inlineStr">
        <is>
          <t>A 33314-2022</t>
        </is>
      </c>
      <c r="B844" s="1" t="n">
        <v>44788</v>
      </c>
      <c r="C844" s="1" t="n">
        <v>45741</v>
      </c>
      <c r="D844" t="inlineStr">
        <is>
          <t>JÄMTLANDS LÄN</t>
        </is>
      </c>
      <c r="E844" t="inlineStr">
        <is>
          <t>KROKOM</t>
        </is>
      </c>
      <c r="G844" t="n">
        <v>7.4</v>
      </c>
      <c r="H844" t="n">
        <v>0</v>
      </c>
      <c r="I844" t="n">
        <v>0</v>
      </c>
      <c r="J844" t="n">
        <v>0</v>
      </c>
      <c r="K844" t="n">
        <v>0</v>
      </c>
      <c r="L844" t="n">
        <v>0</v>
      </c>
      <c r="M844" t="n">
        <v>0</v>
      </c>
      <c r="N844" t="n">
        <v>0</v>
      </c>
      <c r="O844" t="n">
        <v>0</v>
      </c>
      <c r="P844" t="n">
        <v>0</v>
      </c>
      <c r="Q844" t="n">
        <v>0</v>
      </c>
      <c r="R844" s="2" t="inlineStr"/>
    </row>
    <row r="845" ht="15" customHeight="1">
      <c r="A845" t="inlineStr">
        <is>
          <t>A 33362-2022</t>
        </is>
      </c>
      <c r="B845" s="1" t="n">
        <v>44788</v>
      </c>
      <c r="C845" s="1" t="n">
        <v>45741</v>
      </c>
      <c r="D845" t="inlineStr">
        <is>
          <t>JÄMTLANDS LÄN</t>
        </is>
      </c>
      <c r="E845" t="inlineStr">
        <is>
          <t>KROKOM</t>
        </is>
      </c>
      <c r="F845" t="inlineStr">
        <is>
          <t>Övriga Aktiebolag</t>
        </is>
      </c>
      <c r="G845" t="n">
        <v>6.8</v>
      </c>
      <c r="H845" t="n">
        <v>0</v>
      </c>
      <c r="I845" t="n">
        <v>0</v>
      </c>
      <c r="J845" t="n">
        <v>0</v>
      </c>
      <c r="K845" t="n">
        <v>0</v>
      </c>
      <c r="L845" t="n">
        <v>0</v>
      </c>
      <c r="M845" t="n">
        <v>0</v>
      </c>
      <c r="N845" t="n">
        <v>0</v>
      </c>
      <c r="O845" t="n">
        <v>0</v>
      </c>
      <c r="P845" t="n">
        <v>0</v>
      </c>
      <c r="Q845" t="n">
        <v>0</v>
      </c>
      <c r="R845" s="2" t="inlineStr"/>
    </row>
    <row r="846" ht="15" customHeight="1">
      <c r="A846" t="inlineStr">
        <is>
          <t>A 33509-2022</t>
        </is>
      </c>
      <c r="B846" s="1" t="n">
        <v>44789</v>
      </c>
      <c r="C846" s="1" t="n">
        <v>45741</v>
      </c>
      <c r="D846" t="inlineStr">
        <is>
          <t>JÄMTLANDS LÄN</t>
        </is>
      </c>
      <c r="E846" t="inlineStr">
        <is>
          <t>KROKOM</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34278-2022</t>
        </is>
      </c>
      <c r="B847" s="1" t="n">
        <v>44792</v>
      </c>
      <c r="C847" s="1" t="n">
        <v>45741</v>
      </c>
      <c r="D847" t="inlineStr">
        <is>
          <t>JÄMTLANDS LÄN</t>
        </is>
      </c>
      <c r="E847" t="inlineStr">
        <is>
          <t>KROKOM</t>
        </is>
      </c>
      <c r="G847" t="n">
        <v>19.5</v>
      </c>
      <c r="H847" t="n">
        <v>0</v>
      </c>
      <c r="I847" t="n">
        <v>0</v>
      </c>
      <c r="J847" t="n">
        <v>0</v>
      </c>
      <c r="K847" t="n">
        <v>0</v>
      </c>
      <c r="L847" t="n">
        <v>0</v>
      </c>
      <c r="M847" t="n">
        <v>0</v>
      </c>
      <c r="N847" t="n">
        <v>0</v>
      </c>
      <c r="O847" t="n">
        <v>0</v>
      </c>
      <c r="P847" t="n">
        <v>0</v>
      </c>
      <c r="Q847" t="n">
        <v>0</v>
      </c>
      <c r="R847" s="2" t="inlineStr"/>
    </row>
    <row r="848" ht="15" customHeight="1">
      <c r="A848" t="inlineStr">
        <is>
          <t>A 34794-2022</t>
        </is>
      </c>
      <c r="B848" s="1" t="n">
        <v>44795</v>
      </c>
      <c r="C848" s="1" t="n">
        <v>45741</v>
      </c>
      <c r="D848" t="inlineStr">
        <is>
          <t>JÄMTLANDS LÄN</t>
        </is>
      </c>
      <c r="E848" t="inlineStr">
        <is>
          <t>KROKOM</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34793-2022</t>
        </is>
      </c>
      <c r="B849" s="1" t="n">
        <v>44795</v>
      </c>
      <c r="C849" s="1" t="n">
        <v>45741</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35058-2022</t>
        </is>
      </c>
      <c r="B850" s="1" t="n">
        <v>44796</v>
      </c>
      <c r="C850" s="1" t="n">
        <v>45741</v>
      </c>
      <c r="D850" t="inlineStr">
        <is>
          <t>JÄMTLANDS LÄN</t>
        </is>
      </c>
      <c r="E850" t="inlineStr">
        <is>
          <t>KROKOM</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35226-2022</t>
        </is>
      </c>
      <c r="B851" s="1" t="n">
        <v>44797</v>
      </c>
      <c r="C851" s="1" t="n">
        <v>45741</v>
      </c>
      <c r="D851" t="inlineStr">
        <is>
          <t>JÄMTLANDS LÄN</t>
        </is>
      </c>
      <c r="E851" t="inlineStr">
        <is>
          <t>KROKOM</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35275-2022</t>
        </is>
      </c>
      <c r="B852" s="1" t="n">
        <v>44797</v>
      </c>
      <c r="C852" s="1" t="n">
        <v>45741</v>
      </c>
      <c r="D852" t="inlineStr">
        <is>
          <t>JÄMTLANDS LÄN</t>
        </is>
      </c>
      <c r="E852" t="inlineStr">
        <is>
          <t>KROKOM</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36122-2022</t>
        </is>
      </c>
      <c r="B853" s="1" t="n">
        <v>44803</v>
      </c>
      <c r="C853" s="1" t="n">
        <v>45741</v>
      </c>
      <c r="D853" t="inlineStr">
        <is>
          <t>JÄMTLANDS LÄN</t>
        </is>
      </c>
      <c r="E853" t="inlineStr">
        <is>
          <t>KROKOM</t>
        </is>
      </c>
      <c r="G853" t="n">
        <v>5.7</v>
      </c>
      <c r="H853" t="n">
        <v>0</v>
      </c>
      <c r="I853" t="n">
        <v>0</v>
      </c>
      <c r="J853" t="n">
        <v>0</v>
      </c>
      <c r="K853" t="n">
        <v>0</v>
      </c>
      <c r="L853" t="n">
        <v>0</v>
      </c>
      <c r="M853" t="n">
        <v>0</v>
      </c>
      <c r="N853" t="n">
        <v>0</v>
      </c>
      <c r="O853" t="n">
        <v>0</v>
      </c>
      <c r="P853" t="n">
        <v>0</v>
      </c>
      <c r="Q853" t="n">
        <v>0</v>
      </c>
      <c r="R853" s="2" t="inlineStr"/>
    </row>
    <row r="854" ht="15" customHeight="1">
      <c r="A854" t="inlineStr">
        <is>
          <t>A 39490-2022</t>
        </is>
      </c>
      <c r="B854" s="1" t="n">
        <v>44818</v>
      </c>
      <c r="C854" s="1" t="n">
        <v>45741</v>
      </c>
      <c r="D854" t="inlineStr">
        <is>
          <t>JÄMTLANDS LÄN</t>
        </is>
      </c>
      <c r="E854" t="inlineStr">
        <is>
          <t>KROKOM</t>
        </is>
      </c>
      <c r="G854" t="n">
        <v>11.9</v>
      </c>
      <c r="H854" t="n">
        <v>0</v>
      </c>
      <c r="I854" t="n">
        <v>0</v>
      </c>
      <c r="J854" t="n">
        <v>0</v>
      </c>
      <c r="K854" t="n">
        <v>0</v>
      </c>
      <c r="L854" t="n">
        <v>0</v>
      </c>
      <c r="M854" t="n">
        <v>0</v>
      </c>
      <c r="N854" t="n">
        <v>0</v>
      </c>
      <c r="O854" t="n">
        <v>0</v>
      </c>
      <c r="P854" t="n">
        <v>0</v>
      </c>
      <c r="Q854" t="n">
        <v>0</v>
      </c>
      <c r="R854" s="2" t="inlineStr"/>
    </row>
    <row r="855" ht="15" customHeight="1">
      <c r="A855" t="inlineStr">
        <is>
          <t>A 40866-2022</t>
        </is>
      </c>
      <c r="B855" s="1" t="n">
        <v>44820</v>
      </c>
      <c r="C855" s="1" t="n">
        <v>45741</v>
      </c>
      <c r="D855" t="inlineStr">
        <is>
          <t>JÄMTLANDS LÄN</t>
        </is>
      </c>
      <c r="E855" t="inlineStr">
        <is>
          <t>KROKOM</t>
        </is>
      </c>
      <c r="G855" t="n">
        <v>4.3</v>
      </c>
      <c r="H855" t="n">
        <v>0</v>
      </c>
      <c r="I855" t="n">
        <v>0</v>
      </c>
      <c r="J855" t="n">
        <v>0</v>
      </c>
      <c r="K855" t="n">
        <v>0</v>
      </c>
      <c r="L855" t="n">
        <v>0</v>
      </c>
      <c r="M855" t="n">
        <v>0</v>
      </c>
      <c r="N855" t="n">
        <v>0</v>
      </c>
      <c r="O855" t="n">
        <v>0</v>
      </c>
      <c r="P855" t="n">
        <v>0</v>
      </c>
      <c r="Q855" t="n">
        <v>0</v>
      </c>
      <c r="R855" s="2" t="inlineStr"/>
    </row>
    <row r="856" ht="15" customHeight="1">
      <c r="A856" t="inlineStr">
        <is>
          <t>A 41170-2022</t>
        </is>
      </c>
      <c r="B856" s="1" t="n">
        <v>44825</v>
      </c>
      <c r="C856" s="1" t="n">
        <v>45741</v>
      </c>
      <c r="D856" t="inlineStr">
        <is>
          <t>JÄMTLANDS LÄN</t>
        </is>
      </c>
      <c r="E856" t="inlineStr">
        <is>
          <t>KROKOM</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41197-2022</t>
        </is>
      </c>
      <c r="B857" s="1" t="n">
        <v>44825</v>
      </c>
      <c r="C857" s="1" t="n">
        <v>45741</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42210-2022</t>
        </is>
      </c>
      <c r="B858" s="1" t="n">
        <v>44830</v>
      </c>
      <c r="C858" s="1" t="n">
        <v>45741</v>
      </c>
      <c r="D858" t="inlineStr">
        <is>
          <t>JÄMTLANDS LÄN</t>
        </is>
      </c>
      <c r="E858" t="inlineStr">
        <is>
          <t>KROKOM</t>
        </is>
      </c>
      <c r="F858" t="inlineStr">
        <is>
          <t>Övriga Aktiebolag</t>
        </is>
      </c>
      <c r="G858" t="n">
        <v>11.6</v>
      </c>
      <c r="H858" t="n">
        <v>0</v>
      </c>
      <c r="I858" t="n">
        <v>0</v>
      </c>
      <c r="J858" t="n">
        <v>0</v>
      </c>
      <c r="K858" t="n">
        <v>0</v>
      </c>
      <c r="L858" t="n">
        <v>0</v>
      </c>
      <c r="M858" t="n">
        <v>0</v>
      </c>
      <c r="N858" t="n">
        <v>0</v>
      </c>
      <c r="O858" t="n">
        <v>0</v>
      </c>
      <c r="P858" t="n">
        <v>0</v>
      </c>
      <c r="Q858" t="n">
        <v>0</v>
      </c>
      <c r="R858" s="2" t="inlineStr"/>
    </row>
    <row r="859" ht="15" customHeight="1">
      <c r="A859" t="inlineStr">
        <is>
          <t>A 42360-2022</t>
        </is>
      </c>
      <c r="B859" s="1" t="n">
        <v>44831</v>
      </c>
      <c r="C859" s="1" t="n">
        <v>45741</v>
      </c>
      <c r="D859" t="inlineStr">
        <is>
          <t>JÄMTLANDS LÄN</t>
        </is>
      </c>
      <c r="E859" t="inlineStr">
        <is>
          <t>KROKOM</t>
        </is>
      </c>
      <c r="F859" t="inlineStr">
        <is>
          <t>Övriga Aktiebolag</t>
        </is>
      </c>
      <c r="G859" t="n">
        <v>3.9</v>
      </c>
      <c r="H859" t="n">
        <v>0</v>
      </c>
      <c r="I859" t="n">
        <v>0</v>
      </c>
      <c r="J859" t="n">
        <v>0</v>
      </c>
      <c r="K859" t="n">
        <v>0</v>
      </c>
      <c r="L859" t="n">
        <v>0</v>
      </c>
      <c r="M859" t="n">
        <v>0</v>
      </c>
      <c r="N859" t="n">
        <v>0</v>
      </c>
      <c r="O859" t="n">
        <v>0</v>
      </c>
      <c r="P859" t="n">
        <v>0</v>
      </c>
      <c r="Q859" t="n">
        <v>0</v>
      </c>
      <c r="R859" s="2" t="inlineStr"/>
    </row>
    <row r="860" ht="15" customHeight="1">
      <c r="A860" t="inlineStr">
        <is>
          <t>A 42661-2022</t>
        </is>
      </c>
      <c r="B860" s="1" t="n">
        <v>44832</v>
      </c>
      <c r="C860" s="1" t="n">
        <v>45741</v>
      </c>
      <c r="D860" t="inlineStr">
        <is>
          <t>JÄMTLANDS LÄN</t>
        </is>
      </c>
      <c r="E860" t="inlineStr">
        <is>
          <t>KROKOM</t>
        </is>
      </c>
      <c r="G860" t="n">
        <v>14.4</v>
      </c>
      <c r="H860" t="n">
        <v>0</v>
      </c>
      <c r="I860" t="n">
        <v>0</v>
      </c>
      <c r="J860" t="n">
        <v>0</v>
      </c>
      <c r="K860" t="n">
        <v>0</v>
      </c>
      <c r="L860" t="n">
        <v>0</v>
      </c>
      <c r="M860" t="n">
        <v>0</v>
      </c>
      <c r="N860" t="n">
        <v>0</v>
      </c>
      <c r="O860" t="n">
        <v>0</v>
      </c>
      <c r="P860" t="n">
        <v>0</v>
      </c>
      <c r="Q860" t="n">
        <v>0</v>
      </c>
      <c r="R860" s="2" t="inlineStr"/>
    </row>
    <row r="861" ht="15" customHeight="1">
      <c r="A861" t="inlineStr">
        <is>
          <t>A 42980-2022</t>
        </is>
      </c>
      <c r="B861" s="1" t="n">
        <v>44833</v>
      </c>
      <c r="C861" s="1" t="n">
        <v>45741</v>
      </c>
      <c r="D861" t="inlineStr">
        <is>
          <t>JÄMTLANDS LÄN</t>
        </is>
      </c>
      <c r="E861" t="inlineStr">
        <is>
          <t>KROKOM</t>
        </is>
      </c>
      <c r="G861" t="n">
        <v>7.7</v>
      </c>
      <c r="H861" t="n">
        <v>0</v>
      </c>
      <c r="I861" t="n">
        <v>0</v>
      </c>
      <c r="J861" t="n">
        <v>0</v>
      </c>
      <c r="K861" t="n">
        <v>0</v>
      </c>
      <c r="L861" t="n">
        <v>0</v>
      </c>
      <c r="M861" t="n">
        <v>0</v>
      </c>
      <c r="N861" t="n">
        <v>0</v>
      </c>
      <c r="O861" t="n">
        <v>0</v>
      </c>
      <c r="P861" t="n">
        <v>0</v>
      </c>
      <c r="Q861" t="n">
        <v>0</v>
      </c>
      <c r="R861" s="2" t="inlineStr"/>
    </row>
    <row r="862" ht="15" customHeight="1">
      <c r="A862" t="inlineStr">
        <is>
          <t>A 43426-2022</t>
        </is>
      </c>
      <c r="B862" s="1" t="n">
        <v>44835</v>
      </c>
      <c r="C862" s="1" t="n">
        <v>45741</v>
      </c>
      <c r="D862" t="inlineStr">
        <is>
          <t>JÄMTLANDS LÄN</t>
        </is>
      </c>
      <c r="E862" t="inlineStr">
        <is>
          <t>KROKOM</t>
        </is>
      </c>
      <c r="F862" t="inlineStr">
        <is>
          <t>SCA</t>
        </is>
      </c>
      <c r="G862" t="n">
        <v>34.4</v>
      </c>
      <c r="H862" t="n">
        <v>0</v>
      </c>
      <c r="I862" t="n">
        <v>0</v>
      </c>
      <c r="J862" t="n">
        <v>0</v>
      </c>
      <c r="K862" t="n">
        <v>0</v>
      </c>
      <c r="L862" t="n">
        <v>0</v>
      </c>
      <c r="M862" t="n">
        <v>0</v>
      </c>
      <c r="N862" t="n">
        <v>0</v>
      </c>
      <c r="O862" t="n">
        <v>0</v>
      </c>
      <c r="P862" t="n">
        <v>0</v>
      </c>
      <c r="Q862" t="n">
        <v>0</v>
      </c>
      <c r="R862" s="2" t="inlineStr"/>
    </row>
    <row r="863" ht="15" customHeight="1">
      <c r="A863" t="inlineStr">
        <is>
          <t>A 46753-2022</t>
        </is>
      </c>
      <c r="B863" s="1" t="n">
        <v>44847</v>
      </c>
      <c r="C863" s="1" t="n">
        <v>45741</v>
      </c>
      <c r="D863" t="inlineStr">
        <is>
          <t>JÄMTLANDS LÄN</t>
        </is>
      </c>
      <c r="E863" t="inlineStr">
        <is>
          <t>KROKOM</t>
        </is>
      </c>
      <c r="G863" t="n">
        <v>0.5</v>
      </c>
      <c r="H863" t="n">
        <v>0</v>
      </c>
      <c r="I863" t="n">
        <v>0</v>
      </c>
      <c r="J863" t="n">
        <v>0</v>
      </c>
      <c r="K863" t="n">
        <v>0</v>
      </c>
      <c r="L863" t="n">
        <v>0</v>
      </c>
      <c r="M863" t="n">
        <v>0</v>
      </c>
      <c r="N863" t="n">
        <v>0</v>
      </c>
      <c r="O863" t="n">
        <v>0</v>
      </c>
      <c r="P863" t="n">
        <v>0</v>
      </c>
      <c r="Q863" t="n">
        <v>0</v>
      </c>
      <c r="R863" s="2" t="inlineStr"/>
    </row>
    <row r="864" ht="15" customHeight="1">
      <c r="A864" t="inlineStr">
        <is>
          <t>A 46761-2022</t>
        </is>
      </c>
      <c r="B864" s="1" t="n">
        <v>44847</v>
      </c>
      <c r="C864" s="1" t="n">
        <v>45741</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46507-2022</t>
        </is>
      </c>
      <c r="B865" s="1" t="n">
        <v>44848</v>
      </c>
      <c r="C865" s="1" t="n">
        <v>45741</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46506-2022</t>
        </is>
      </c>
      <c r="B866" s="1" t="n">
        <v>44848</v>
      </c>
      <c r="C866" s="1" t="n">
        <v>45741</v>
      </c>
      <c r="D866" t="inlineStr">
        <is>
          <t>JÄMTLANDS LÄN</t>
        </is>
      </c>
      <c r="E866" t="inlineStr">
        <is>
          <t>KROKOM</t>
        </is>
      </c>
      <c r="G866" t="n">
        <v>1.9</v>
      </c>
      <c r="H866" t="n">
        <v>0</v>
      </c>
      <c r="I866" t="n">
        <v>0</v>
      </c>
      <c r="J866" t="n">
        <v>0</v>
      </c>
      <c r="K866" t="n">
        <v>0</v>
      </c>
      <c r="L866" t="n">
        <v>0</v>
      </c>
      <c r="M866" t="n">
        <v>0</v>
      </c>
      <c r="N866" t="n">
        <v>0</v>
      </c>
      <c r="O866" t="n">
        <v>0</v>
      </c>
      <c r="P866" t="n">
        <v>0</v>
      </c>
      <c r="Q866" t="n">
        <v>0</v>
      </c>
      <c r="R866" s="2" t="inlineStr"/>
    </row>
    <row r="867" ht="15" customHeight="1">
      <c r="A867" t="inlineStr">
        <is>
          <t>A 46519-2022</t>
        </is>
      </c>
      <c r="B867" s="1" t="n">
        <v>44848</v>
      </c>
      <c r="C867" s="1" t="n">
        <v>45741</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46631-2022</t>
        </is>
      </c>
      <c r="B868" s="1" t="n">
        <v>44848</v>
      </c>
      <c r="C868" s="1" t="n">
        <v>45741</v>
      </c>
      <c r="D868" t="inlineStr">
        <is>
          <t>JÄMTLANDS LÄN</t>
        </is>
      </c>
      <c r="E868" t="inlineStr">
        <is>
          <t>KROKOM</t>
        </is>
      </c>
      <c r="G868" t="n">
        <v>14.3</v>
      </c>
      <c r="H868" t="n">
        <v>0</v>
      </c>
      <c r="I868" t="n">
        <v>0</v>
      </c>
      <c r="J868" t="n">
        <v>0</v>
      </c>
      <c r="K868" t="n">
        <v>0</v>
      </c>
      <c r="L868" t="n">
        <v>0</v>
      </c>
      <c r="M868" t="n">
        <v>0</v>
      </c>
      <c r="N868" t="n">
        <v>0</v>
      </c>
      <c r="O868" t="n">
        <v>0</v>
      </c>
      <c r="P868" t="n">
        <v>0</v>
      </c>
      <c r="Q868" t="n">
        <v>0</v>
      </c>
      <c r="R868" s="2" t="inlineStr"/>
    </row>
    <row r="869" ht="15" customHeight="1">
      <c r="A869" t="inlineStr">
        <is>
          <t>A 46644-2022</t>
        </is>
      </c>
      <c r="B869" s="1" t="n">
        <v>44849</v>
      </c>
      <c r="C869" s="1" t="n">
        <v>45741</v>
      </c>
      <c r="D869" t="inlineStr">
        <is>
          <t>JÄMTLANDS LÄN</t>
        </is>
      </c>
      <c r="E869" t="inlineStr">
        <is>
          <t>KROKOM</t>
        </is>
      </c>
      <c r="G869" t="n">
        <v>4.2</v>
      </c>
      <c r="H869" t="n">
        <v>0</v>
      </c>
      <c r="I869" t="n">
        <v>0</v>
      </c>
      <c r="J869" t="n">
        <v>0</v>
      </c>
      <c r="K869" t="n">
        <v>0</v>
      </c>
      <c r="L869" t="n">
        <v>0</v>
      </c>
      <c r="M869" t="n">
        <v>0</v>
      </c>
      <c r="N869" t="n">
        <v>0</v>
      </c>
      <c r="O869" t="n">
        <v>0</v>
      </c>
      <c r="P869" t="n">
        <v>0</v>
      </c>
      <c r="Q869" t="n">
        <v>0</v>
      </c>
      <c r="R869" s="2" t="inlineStr"/>
    </row>
    <row r="870" ht="15" customHeight="1">
      <c r="A870" t="inlineStr">
        <is>
          <t>A 46825-2022</t>
        </is>
      </c>
      <c r="B870" s="1" t="n">
        <v>44851</v>
      </c>
      <c r="C870" s="1" t="n">
        <v>45741</v>
      </c>
      <c r="D870" t="inlineStr">
        <is>
          <t>JÄMTLANDS LÄN</t>
        </is>
      </c>
      <c r="E870" t="inlineStr">
        <is>
          <t>KROKOM</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48777-2022</t>
        </is>
      </c>
      <c r="B871" s="1" t="n">
        <v>44855</v>
      </c>
      <c r="C871" s="1" t="n">
        <v>45741</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48769-2022</t>
        </is>
      </c>
      <c r="B872" s="1" t="n">
        <v>44855</v>
      </c>
      <c r="C872" s="1" t="n">
        <v>45741</v>
      </c>
      <c r="D872" t="inlineStr">
        <is>
          <t>JÄMTLANDS LÄN</t>
        </is>
      </c>
      <c r="E872" t="inlineStr">
        <is>
          <t>KROKOM</t>
        </is>
      </c>
      <c r="G872" t="n">
        <v>7.5</v>
      </c>
      <c r="H872" t="n">
        <v>0</v>
      </c>
      <c r="I872" t="n">
        <v>0</v>
      </c>
      <c r="J872" t="n">
        <v>0</v>
      </c>
      <c r="K872" t="n">
        <v>0</v>
      </c>
      <c r="L872" t="n">
        <v>0</v>
      </c>
      <c r="M872" t="n">
        <v>0</v>
      </c>
      <c r="N872" t="n">
        <v>0</v>
      </c>
      <c r="O872" t="n">
        <v>0</v>
      </c>
      <c r="P872" t="n">
        <v>0</v>
      </c>
      <c r="Q872" t="n">
        <v>0</v>
      </c>
      <c r="R872" s="2" t="inlineStr"/>
    </row>
    <row r="873" ht="15" customHeight="1">
      <c r="A873" t="inlineStr">
        <is>
          <t>A 48250-2022</t>
        </is>
      </c>
      <c r="B873" s="1" t="n">
        <v>44858</v>
      </c>
      <c r="C873" s="1" t="n">
        <v>45741</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48502-2022</t>
        </is>
      </c>
      <c r="B874" s="1" t="n">
        <v>44859</v>
      </c>
      <c r="C874" s="1" t="n">
        <v>45741</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48334-2022</t>
        </is>
      </c>
      <c r="B875" s="1" t="n">
        <v>44858</v>
      </c>
      <c r="C875" s="1" t="n">
        <v>45741</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48417-2022</t>
        </is>
      </c>
      <c r="B876" s="1" t="n">
        <v>44858</v>
      </c>
      <c r="C876" s="1" t="n">
        <v>45741</v>
      </c>
      <c r="D876" t="inlineStr">
        <is>
          <t>JÄMTLANDS LÄN</t>
        </is>
      </c>
      <c r="E876" t="inlineStr">
        <is>
          <t>KROKOM</t>
        </is>
      </c>
      <c r="G876" t="n">
        <v>2.7</v>
      </c>
      <c r="H876" t="n">
        <v>0</v>
      </c>
      <c r="I876" t="n">
        <v>0</v>
      </c>
      <c r="J876" t="n">
        <v>0</v>
      </c>
      <c r="K876" t="n">
        <v>0</v>
      </c>
      <c r="L876" t="n">
        <v>0</v>
      </c>
      <c r="M876" t="n">
        <v>0</v>
      </c>
      <c r="N876" t="n">
        <v>0</v>
      </c>
      <c r="O876" t="n">
        <v>0</v>
      </c>
      <c r="P876" t="n">
        <v>0</v>
      </c>
      <c r="Q876" t="n">
        <v>0</v>
      </c>
      <c r="R876" s="2" t="inlineStr"/>
    </row>
    <row r="877" ht="15" customHeight="1">
      <c r="A877" t="inlineStr">
        <is>
          <t>A 48500-2022</t>
        </is>
      </c>
      <c r="B877" s="1" t="n">
        <v>44859</v>
      </c>
      <c r="C877" s="1" t="n">
        <v>45741</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row>
    <row r="878" ht="15" customHeight="1">
      <c r="A878" t="inlineStr">
        <is>
          <t>A 49220-2022</t>
        </is>
      </c>
      <c r="B878" s="1" t="n">
        <v>44861</v>
      </c>
      <c r="C878" s="1" t="n">
        <v>45741</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50302-2022</t>
        </is>
      </c>
      <c r="B879" s="1" t="n">
        <v>44865</v>
      </c>
      <c r="C879" s="1" t="n">
        <v>45741</v>
      </c>
      <c r="D879" t="inlineStr">
        <is>
          <t>JÄMTLANDS LÄN</t>
        </is>
      </c>
      <c r="E879" t="inlineStr">
        <is>
          <t>KROKOM</t>
        </is>
      </c>
      <c r="G879" t="n">
        <v>3.4</v>
      </c>
      <c r="H879" t="n">
        <v>0</v>
      </c>
      <c r="I879" t="n">
        <v>0</v>
      </c>
      <c r="J879" t="n">
        <v>0</v>
      </c>
      <c r="K879" t="n">
        <v>0</v>
      </c>
      <c r="L879" t="n">
        <v>0</v>
      </c>
      <c r="M879" t="n">
        <v>0</v>
      </c>
      <c r="N879" t="n">
        <v>0</v>
      </c>
      <c r="O879" t="n">
        <v>0</v>
      </c>
      <c r="P879" t="n">
        <v>0</v>
      </c>
      <c r="Q879" t="n">
        <v>0</v>
      </c>
      <c r="R879" s="2" t="inlineStr"/>
    </row>
    <row r="880" ht="15" customHeight="1">
      <c r="A880" t="inlineStr">
        <is>
          <t>A 51345-2022</t>
        </is>
      </c>
      <c r="B880" s="1" t="n">
        <v>44866</v>
      </c>
      <c r="C880" s="1" t="n">
        <v>45741</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51359-2022</t>
        </is>
      </c>
      <c r="B881" s="1" t="n">
        <v>44869</v>
      </c>
      <c r="C881" s="1" t="n">
        <v>45741</v>
      </c>
      <c r="D881" t="inlineStr">
        <is>
          <t>JÄMTLANDS LÄN</t>
        </is>
      </c>
      <c r="E881" t="inlineStr">
        <is>
          <t>KROKOM</t>
        </is>
      </c>
      <c r="G881" t="n">
        <v>1.2</v>
      </c>
      <c r="H881" t="n">
        <v>0</v>
      </c>
      <c r="I881" t="n">
        <v>0</v>
      </c>
      <c r="J881" t="n">
        <v>0</v>
      </c>
      <c r="K881" t="n">
        <v>0</v>
      </c>
      <c r="L881" t="n">
        <v>0</v>
      </c>
      <c r="M881" t="n">
        <v>0</v>
      </c>
      <c r="N881" t="n">
        <v>0</v>
      </c>
      <c r="O881" t="n">
        <v>0</v>
      </c>
      <c r="P881" t="n">
        <v>0</v>
      </c>
      <c r="Q881" t="n">
        <v>0</v>
      </c>
      <c r="R881" s="2" t="inlineStr"/>
    </row>
    <row r="882" ht="15" customHeight="1">
      <c r="A882" t="inlineStr">
        <is>
          <t>A 52253-2022</t>
        </is>
      </c>
      <c r="B882" s="1" t="n">
        <v>44873</v>
      </c>
      <c r="C882" s="1" t="n">
        <v>45741</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52268-2022</t>
        </is>
      </c>
      <c r="B883" s="1" t="n">
        <v>44873</v>
      </c>
      <c r="C883" s="1" t="n">
        <v>45741</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c r="U883">
        <f>HYPERLINK("https://klasma.github.io/Logging_2309/knärot/A 52268-2022 karta knärot.png", "A 52268-2022")</f>
        <v/>
      </c>
      <c r="V883">
        <f>HYPERLINK("https://klasma.github.io/Logging_2309/klagomål/A 52268-2022 FSC-klagomål.docx", "A 52268-2022")</f>
        <v/>
      </c>
      <c r="W883">
        <f>HYPERLINK("https://klasma.github.io/Logging_2309/klagomålsmail/A 52268-2022 FSC-klagomål mail.docx", "A 52268-2022")</f>
        <v/>
      </c>
      <c r="X883">
        <f>HYPERLINK("https://klasma.github.io/Logging_2309/tillsyn/A 52268-2022 tillsynsbegäran.docx", "A 52268-2022")</f>
        <v/>
      </c>
      <c r="Y883">
        <f>HYPERLINK("https://klasma.github.io/Logging_2309/tillsynsmail/A 52268-2022 tillsynsbegäran mail.docx", "A 52268-2022")</f>
        <v/>
      </c>
    </row>
    <row r="884" ht="15" customHeight="1">
      <c r="A884" t="inlineStr">
        <is>
          <t>A 52258-2022</t>
        </is>
      </c>
      <c r="B884" s="1" t="n">
        <v>44873</v>
      </c>
      <c r="C884" s="1" t="n">
        <v>45741</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53402-2022</t>
        </is>
      </c>
      <c r="B885" s="1" t="n">
        <v>44874</v>
      </c>
      <c r="C885" s="1" t="n">
        <v>45741</v>
      </c>
      <c r="D885" t="inlineStr">
        <is>
          <t>JÄMTLANDS LÄN</t>
        </is>
      </c>
      <c r="E885" t="inlineStr">
        <is>
          <t>KROKOM</t>
        </is>
      </c>
      <c r="G885" t="n">
        <v>36.7</v>
      </c>
      <c r="H885" t="n">
        <v>0</v>
      </c>
      <c r="I885" t="n">
        <v>0</v>
      </c>
      <c r="J885" t="n">
        <v>0</v>
      </c>
      <c r="K885" t="n">
        <v>0</v>
      </c>
      <c r="L885" t="n">
        <v>0</v>
      </c>
      <c r="M885" t="n">
        <v>0</v>
      </c>
      <c r="N885" t="n">
        <v>0</v>
      </c>
      <c r="O885" t="n">
        <v>0</v>
      </c>
      <c r="P885" t="n">
        <v>0</v>
      </c>
      <c r="Q885" t="n">
        <v>0</v>
      </c>
      <c r="R885" s="2" t="inlineStr"/>
    </row>
    <row r="886" ht="15" customHeight="1">
      <c r="A886" t="inlineStr">
        <is>
          <t>A 52801-2022</t>
        </is>
      </c>
      <c r="B886" s="1" t="n">
        <v>44875</v>
      </c>
      <c r="C886" s="1" t="n">
        <v>45741</v>
      </c>
      <c r="D886" t="inlineStr">
        <is>
          <t>JÄMTLANDS LÄN</t>
        </is>
      </c>
      <c r="E886" t="inlineStr">
        <is>
          <t>KROKOM</t>
        </is>
      </c>
      <c r="G886" t="n">
        <v>3.1</v>
      </c>
      <c r="H886" t="n">
        <v>0</v>
      </c>
      <c r="I886" t="n">
        <v>0</v>
      </c>
      <c r="J886" t="n">
        <v>0</v>
      </c>
      <c r="K886" t="n">
        <v>0</v>
      </c>
      <c r="L886" t="n">
        <v>0</v>
      </c>
      <c r="M886" t="n">
        <v>0</v>
      </c>
      <c r="N886" t="n">
        <v>0</v>
      </c>
      <c r="O886" t="n">
        <v>0</v>
      </c>
      <c r="P886" t="n">
        <v>0</v>
      </c>
      <c r="Q886" t="n">
        <v>0</v>
      </c>
      <c r="R886" s="2" t="inlineStr"/>
    </row>
    <row r="887" ht="15" customHeight="1">
      <c r="A887" t="inlineStr">
        <is>
          <t>A 52788-2022</t>
        </is>
      </c>
      <c r="B887" s="1" t="n">
        <v>44875</v>
      </c>
      <c r="C887" s="1" t="n">
        <v>45741</v>
      </c>
      <c r="D887" t="inlineStr">
        <is>
          <t>JÄMTLANDS LÄN</t>
        </is>
      </c>
      <c r="E887" t="inlineStr">
        <is>
          <t>KROKOM</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52843-2022</t>
        </is>
      </c>
      <c r="B888" s="1" t="n">
        <v>44875</v>
      </c>
      <c r="C888" s="1" t="n">
        <v>45741</v>
      </c>
      <c r="D888" t="inlineStr">
        <is>
          <t>JÄMTLANDS LÄN</t>
        </is>
      </c>
      <c r="E888" t="inlineStr">
        <is>
          <t>KROKOM</t>
        </is>
      </c>
      <c r="G888" t="n">
        <v>5.5</v>
      </c>
      <c r="H888" t="n">
        <v>0</v>
      </c>
      <c r="I888" t="n">
        <v>0</v>
      </c>
      <c r="J888" t="n">
        <v>0</v>
      </c>
      <c r="K888" t="n">
        <v>0</v>
      </c>
      <c r="L888" t="n">
        <v>0</v>
      </c>
      <c r="M888" t="n">
        <v>0</v>
      </c>
      <c r="N888" t="n">
        <v>0</v>
      </c>
      <c r="O888" t="n">
        <v>0</v>
      </c>
      <c r="P888" t="n">
        <v>0</v>
      </c>
      <c r="Q888" t="n">
        <v>0</v>
      </c>
      <c r="R888" s="2" t="inlineStr"/>
    </row>
    <row r="889" ht="15" customHeight="1">
      <c r="A889" t="inlineStr">
        <is>
          <t>A 52858-2022</t>
        </is>
      </c>
      <c r="B889" s="1" t="n">
        <v>44875</v>
      </c>
      <c r="C889" s="1" t="n">
        <v>45741</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53765-2022</t>
        </is>
      </c>
      <c r="B890" s="1" t="n">
        <v>44875</v>
      </c>
      <c r="C890" s="1" t="n">
        <v>45741</v>
      </c>
      <c r="D890" t="inlineStr">
        <is>
          <t>JÄMTLANDS LÄN</t>
        </is>
      </c>
      <c r="E890" t="inlineStr">
        <is>
          <t>KROKOM</t>
        </is>
      </c>
      <c r="G890" t="n">
        <v>6.4</v>
      </c>
      <c r="H890" t="n">
        <v>0</v>
      </c>
      <c r="I890" t="n">
        <v>0</v>
      </c>
      <c r="J890" t="n">
        <v>0</v>
      </c>
      <c r="K890" t="n">
        <v>0</v>
      </c>
      <c r="L890" t="n">
        <v>0</v>
      </c>
      <c r="M890" t="n">
        <v>0</v>
      </c>
      <c r="N890" t="n">
        <v>0</v>
      </c>
      <c r="O890" t="n">
        <v>0</v>
      </c>
      <c r="P890" t="n">
        <v>0</v>
      </c>
      <c r="Q890" t="n">
        <v>0</v>
      </c>
      <c r="R890" s="2" t="inlineStr"/>
    </row>
    <row r="891" ht="15" customHeight="1">
      <c r="A891" t="inlineStr">
        <is>
          <t>A 53771-2022</t>
        </is>
      </c>
      <c r="B891" s="1" t="n">
        <v>44875</v>
      </c>
      <c r="C891" s="1" t="n">
        <v>45741</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53843-2022</t>
        </is>
      </c>
      <c r="B892" s="1" t="n">
        <v>44880</v>
      </c>
      <c r="C892" s="1" t="n">
        <v>45741</v>
      </c>
      <c r="D892" t="inlineStr">
        <is>
          <t>JÄMTLANDS LÄN</t>
        </is>
      </c>
      <c r="E892" t="inlineStr">
        <is>
          <t>KROKOM</t>
        </is>
      </c>
      <c r="F892" t="inlineStr">
        <is>
          <t>Övriga Aktiebolag</t>
        </is>
      </c>
      <c r="G892" t="n">
        <v>26.4</v>
      </c>
      <c r="H892" t="n">
        <v>0</v>
      </c>
      <c r="I892" t="n">
        <v>0</v>
      </c>
      <c r="J892" t="n">
        <v>0</v>
      </c>
      <c r="K892" t="n">
        <v>0</v>
      </c>
      <c r="L892" t="n">
        <v>0</v>
      </c>
      <c r="M892" t="n">
        <v>0</v>
      </c>
      <c r="N892" t="n">
        <v>0</v>
      </c>
      <c r="O892" t="n">
        <v>0</v>
      </c>
      <c r="P892" t="n">
        <v>0</v>
      </c>
      <c r="Q892" t="n">
        <v>0</v>
      </c>
      <c r="R892" s="2" t="inlineStr"/>
    </row>
    <row r="893" ht="15" customHeight="1">
      <c r="A893" t="inlineStr">
        <is>
          <t>A 54491-2022</t>
        </is>
      </c>
      <c r="B893" s="1" t="n">
        <v>44880</v>
      </c>
      <c r="C893" s="1" t="n">
        <v>45741</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54049-2022</t>
        </is>
      </c>
      <c r="B894" s="1" t="n">
        <v>44881</v>
      </c>
      <c r="C894" s="1" t="n">
        <v>45741</v>
      </c>
      <c r="D894" t="inlineStr">
        <is>
          <t>JÄMTLANDS LÄN</t>
        </is>
      </c>
      <c r="E894" t="inlineStr">
        <is>
          <t>KROKOM</t>
        </is>
      </c>
      <c r="G894" t="n">
        <v>6.8</v>
      </c>
      <c r="H894" t="n">
        <v>0</v>
      </c>
      <c r="I894" t="n">
        <v>0</v>
      </c>
      <c r="J894" t="n">
        <v>0</v>
      </c>
      <c r="K894" t="n">
        <v>0</v>
      </c>
      <c r="L894" t="n">
        <v>0</v>
      </c>
      <c r="M894" t="n">
        <v>0</v>
      </c>
      <c r="N894" t="n">
        <v>0</v>
      </c>
      <c r="O894" t="n">
        <v>0</v>
      </c>
      <c r="P894" t="n">
        <v>0</v>
      </c>
      <c r="Q894" t="n">
        <v>0</v>
      </c>
      <c r="R894" s="2" t="inlineStr"/>
    </row>
    <row r="895" ht="15" customHeight="1">
      <c r="A895" t="inlineStr">
        <is>
          <t>A 54605-2022</t>
        </is>
      </c>
      <c r="B895" s="1" t="n">
        <v>44881</v>
      </c>
      <c r="C895" s="1" t="n">
        <v>45741</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55564-2022</t>
        </is>
      </c>
      <c r="B896" s="1" t="n">
        <v>44883</v>
      </c>
      <c r="C896" s="1" t="n">
        <v>45741</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55567-2022</t>
        </is>
      </c>
      <c r="B897" s="1" t="n">
        <v>44883</v>
      </c>
      <c r="C897" s="1" t="n">
        <v>45741</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55479-2022</t>
        </is>
      </c>
      <c r="B898" s="1" t="n">
        <v>44887</v>
      </c>
      <c r="C898" s="1" t="n">
        <v>45741</v>
      </c>
      <c r="D898" t="inlineStr">
        <is>
          <t>JÄMTLANDS LÄN</t>
        </is>
      </c>
      <c r="E898" t="inlineStr">
        <is>
          <t>KROKOM</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55455-2022</t>
        </is>
      </c>
      <c r="B899" s="1" t="n">
        <v>44887</v>
      </c>
      <c r="C899" s="1" t="n">
        <v>45741</v>
      </c>
      <c r="D899" t="inlineStr">
        <is>
          <t>JÄMTLANDS LÄN</t>
        </is>
      </c>
      <c r="E899" t="inlineStr">
        <is>
          <t>KROKOM</t>
        </is>
      </c>
      <c r="F899" t="inlineStr">
        <is>
          <t>Övriga Aktiebolag</t>
        </is>
      </c>
      <c r="G899" t="n">
        <v>5.2</v>
      </c>
      <c r="H899" t="n">
        <v>0</v>
      </c>
      <c r="I899" t="n">
        <v>0</v>
      </c>
      <c r="J899" t="n">
        <v>0</v>
      </c>
      <c r="K899" t="n">
        <v>0</v>
      </c>
      <c r="L899" t="n">
        <v>0</v>
      </c>
      <c r="M899" t="n">
        <v>0</v>
      </c>
      <c r="N899" t="n">
        <v>0</v>
      </c>
      <c r="O899" t="n">
        <v>0</v>
      </c>
      <c r="P899" t="n">
        <v>0</v>
      </c>
      <c r="Q899" t="n">
        <v>0</v>
      </c>
      <c r="R899" s="2" t="inlineStr"/>
    </row>
    <row r="900" ht="15" customHeight="1">
      <c r="A900" t="inlineStr">
        <is>
          <t>A 56167-2022</t>
        </is>
      </c>
      <c r="B900" s="1" t="n">
        <v>44889</v>
      </c>
      <c r="C900" s="1" t="n">
        <v>45741</v>
      </c>
      <c r="D900" t="inlineStr">
        <is>
          <t>JÄMTLANDS LÄN</t>
        </is>
      </c>
      <c r="E900" t="inlineStr">
        <is>
          <t>KROKOM</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56166-2022</t>
        </is>
      </c>
      <c r="B901" s="1" t="n">
        <v>44889</v>
      </c>
      <c r="C901" s="1" t="n">
        <v>45741</v>
      </c>
      <c r="D901" t="inlineStr">
        <is>
          <t>JÄMTLANDS LÄN</t>
        </is>
      </c>
      <c r="E901" t="inlineStr">
        <is>
          <t>KROKOM</t>
        </is>
      </c>
      <c r="G901" t="n">
        <v>17.6</v>
      </c>
      <c r="H901" t="n">
        <v>0</v>
      </c>
      <c r="I901" t="n">
        <v>0</v>
      </c>
      <c r="J901" t="n">
        <v>0</v>
      </c>
      <c r="K901" t="n">
        <v>0</v>
      </c>
      <c r="L901" t="n">
        <v>0</v>
      </c>
      <c r="M901" t="n">
        <v>0</v>
      </c>
      <c r="N901" t="n">
        <v>0</v>
      </c>
      <c r="O901" t="n">
        <v>0</v>
      </c>
      <c r="P901" t="n">
        <v>0</v>
      </c>
      <c r="Q901" t="n">
        <v>0</v>
      </c>
      <c r="R901" s="2" t="inlineStr"/>
    </row>
    <row r="902" ht="15" customHeight="1">
      <c r="A902" t="inlineStr">
        <is>
          <t>A 57454-2022</t>
        </is>
      </c>
      <c r="B902" s="1" t="n">
        <v>44889</v>
      </c>
      <c r="C902" s="1" t="n">
        <v>45741</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58052-2022</t>
        </is>
      </c>
      <c r="B903" s="1" t="n">
        <v>44893</v>
      </c>
      <c r="C903" s="1" t="n">
        <v>45741</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58771-2022</t>
        </is>
      </c>
      <c r="B904" s="1" t="n">
        <v>44895</v>
      </c>
      <c r="C904" s="1" t="n">
        <v>45741</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57480-2022</t>
        </is>
      </c>
      <c r="B905" s="1" t="n">
        <v>44896</v>
      </c>
      <c r="C905" s="1" t="n">
        <v>45741</v>
      </c>
      <c r="D905" t="inlineStr">
        <is>
          <t>JÄMTLANDS LÄN</t>
        </is>
      </c>
      <c r="E905" t="inlineStr">
        <is>
          <t>KROKOM</t>
        </is>
      </c>
      <c r="G905" t="n">
        <v>12.3</v>
      </c>
      <c r="H905" t="n">
        <v>0</v>
      </c>
      <c r="I905" t="n">
        <v>0</v>
      </c>
      <c r="J905" t="n">
        <v>0</v>
      </c>
      <c r="K905" t="n">
        <v>0</v>
      </c>
      <c r="L905" t="n">
        <v>0</v>
      </c>
      <c r="M905" t="n">
        <v>0</v>
      </c>
      <c r="N905" t="n">
        <v>0</v>
      </c>
      <c r="O905" t="n">
        <v>0</v>
      </c>
      <c r="P905" t="n">
        <v>0</v>
      </c>
      <c r="Q905" t="n">
        <v>0</v>
      </c>
      <c r="R905" s="2" t="inlineStr"/>
    </row>
    <row r="906" ht="15" customHeight="1">
      <c r="A906" t="inlineStr">
        <is>
          <t>A 58044-2022</t>
        </is>
      </c>
      <c r="B906" s="1" t="n">
        <v>44900</v>
      </c>
      <c r="C906" s="1" t="n">
        <v>45741</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58041-2022</t>
        </is>
      </c>
      <c r="B907" s="1" t="n">
        <v>44900</v>
      </c>
      <c r="C907" s="1" t="n">
        <v>45741</v>
      </c>
      <c r="D907" t="inlineStr">
        <is>
          <t>JÄMTLANDS LÄN</t>
        </is>
      </c>
      <c r="E907" t="inlineStr">
        <is>
          <t>KROKOM</t>
        </is>
      </c>
      <c r="G907" t="n">
        <v>1.3</v>
      </c>
      <c r="H907" t="n">
        <v>0</v>
      </c>
      <c r="I907" t="n">
        <v>0</v>
      </c>
      <c r="J907" t="n">
        <v>0</v>
      </c>
      <c r="K907" t="n">
        <v>0</v>
      </c>
      <c r="L907" t="n">
        <v>0</v>
      </c>
      <c r="M907" t="n">
        <v>0</v>
      </c>
      <c r="N907" t="n">
        <v>0</v>
      </c>
      <c r="O907" t="n">
        <v>0</v>
      </c>
      <c r="P907" t="n">
        <v>0</v>
      </c>
      <c r="Q907" t="n">
        <v>0</v>
      </c>
      <c r="R907" s="2" t="inlineStr"/>
    </row>
    <row r="908" ht="15" customHeight="1">
      <c r="A908" t="inlineStr">
        <is>
          <t>A 58313-2022</t>
        </is>
      </c>
      <c r="B908" s="1" t="n">
        <v>44901</v>
      </c>
      <c r="C908" s="1" t="n">
        <v>45741</v>
      </c>
      <c r="D908" t="inlineStr">
        <is>
          <t>JÄMTLANDS LÄN</t>
        </is>
      </c>
      <c r="E908" t="inlineStr">
        <is>
          <t>KROKOM</t>
        </is>
      </c>
      <c r="F908" t="inlineStr">
        <is>
          <t>Övriga Aktiebolag</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58347-2022</t>
        </is>
      </c>
      <c r="B909" s="1" t="n">
        <v>44901</v>
      </c>
      <c r="C909" s="1" t="n">
        <v>45741</v>
      </c>
      <c r="D909" t="inlineStr">
        <is>
          <t>JÄMTLANDS LÄN</t>
        </is>
      </c>
      <c r="E909" t="inlineStr">
        <is>
          <t>KROKOM</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58316-2022</t>
        </is>
      </c>
      <c r="B910" s="1" t="n">
        <v>44901</v>
      </c>
      <c r="C910" s="1" t="n">
        <v>45741</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59830-2022</t>
        </is>
      </c>
      <c r="B911" s="1" t="n">
        <v>44901</v>
      </c>
      <c r="C911" s="1" t="n">
        <v>45741</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58870-2022</t>
        </is>
      </c>
      <c r="B912" s="1" t="n">
        <v>44903</v>
      </c>
      <c r="C912" s="1" t="n">
        <v>45741</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59076-2022</t>
        </is>
      </c>
      <c r="B913" s="1" t="n">
        <v>44904</v>
      </c>
      <c r="C913" s="1" t="n">
        <v>45741</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59668-2022</t>
        </is>
      </c>
      <c r="B914" s="1" t="n">
        <v>44908</v>
      </c>
      <c r="C914" s="1" t="n">
        <v>45741</v>
      </c>
      <c r="D914" t="inlineStr">
        <is>
          <t>JÄMTLANDS LÄN</t>
        </is>
      </c>
      <c r="E914" t="inlineStr">
        <is>
          <t>KROKOM</t>
        </is>
      </c>
      <c r="F914" t="inlineStr">
        <is>
          <t>Övriga Aktiebolag</t>
        </is>
      </c>
      <c r="G914" t="n">
        <v>7.8</v>
      </c>
      <c r="H914" t="n">
        <v>0</v>
      </c>
      <c r="I914" t="n">
        <v>0</v>
      </c>
      <c r="J914" t="n">
        <v>0</v>
      </c>
      <c r="K914" t="n">
        <v>0</v>
      </c>
      <c r="L914" t="n">
        <v>0</v>
      </c>
      <c r="M914" t="n">
        <v>0</v>
      </c>
      <c r="N914" t="n">
        <v>0</v>
      </c>
      <c r="O914" t="n">
        <v>0</v>
      </c>
      <c r="P914" t="n">
        <v>0</v>
      </c>
      <c r="Q914" t="n">
        <v>0</v>
      </c>
      <c r="R914" s="2" t="inlineStr"/>
    </row>
    <row r="915" ht="15" customHeight="1">
      <c r="A915" t="inlineStr">
        <is>
          <t>A 60536-2022</t>
        </is>
      </c>
      <c r="B915" s="1" t="n">
        <v>44911</v>
      </c>
      <c r="C915" s="1" t="n">
        <v>45741</v>
      </c>
      <c r="D915" t="inlineStr">
        <is>
          <t>JÄMTLANDS LÄN</t>
        </is>
      </c>
      <c r="E915" t="inlineStr">
        <is>
          <t>KROKOM</t>
        </is>
      </c>
      <c r="F915" t="inlineStr">
        <is>
          <t>Övriga Aktiebolag</t>
        </is>
      </c>
      <c r="G915" t="n">
        <v>39.4</v>
      </c>
      <c r="H915" t="n">
        <v>0</v>
      </c>
      <c r="I915" t="n">
        <v>0</v>
      </c>
      <c r="J915" t="n">
        <v>0</v>
      </c>
      <c r="K915" t="n">
        <v>0</v>
      </c>
      <c r="L915" t="n">
        <v>0</v>
      </c>
      <c r="M915" t="n">
        <v>0</v>
      </c>
      <c r="N915" t="n">
        <v>0</v>
      </c>
      <c r="O915" t="n">
        <v>0</v>
      </c>
      <c r="P915" t="n">
        <v>0</v>
      </c>
      <c r="Q915" t="n">
        <v>0</v>
      </c>
      <c r="R915" s="2" t="inlineStr"/>
    </row>
    <row r="916" ht="15" customHeight="1">
      <c r="A916" t="inlineStr">
        <is>
          <t>A 61675-2022</t>
        </is>
      </c>
      <c r="B916" s="1" t="n">
        <v>44911</v>
      </c>
      <c r="C916" s="1" t="n">
        <v>45741</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61572-2022</t>
        </is>
      </c>
      <c r="B917" s="1" t="n">
        <v>44916</v>
      </c>
      <c r="C917" s="1" t="n">
        <v>45741</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62146-2022</t>
        </is>
      </c>
      <c r="B918" s="1" t="n">
        <v>44922</v>
      </c>
      <c r="C918" s="1" t="n">
        <v>45741</v>
      </c>
      <c r="D918" t="inlineStr">
        <is>
          <t>JÄMTLANDS LÄN</t>
        </is>
      </c>
      <c r="E918" t="inlineStr">
        <is>
          <t>KROKOM</t>
        </is>
      </c>
      <c r="F918" t="inlineStr">
        <is>
          <t>Övriga Aktiebolag</t>
        </is>
      </c>
      <c r="G918" t="n">
        <v>17.5</v>
      </c>
      <c r="H918" t="n">
        <v>0</v>
      </c>
      <c r="I918" t="n">
        <v>0</v>
      </c>
      <c r="J918" t="n">
        <v>0</v>
      </c>
      <c r="K918" t="n">
        <v>0</v>
      </c>
      <c r="L918" t="n">
        <v>0</v>
      </c>
      <c r="M918" t="n">
        <v>0</v>
      </c>
      <c r="N918" t="n">
        <v>0</v>
      </c>
      <c r="O918" t="n">
        <v>0</v>
      </c>
      <c r="P918" t="n">
        <v>0</v>
      </c>
      <c r="Q918" t="n">
        <v>0</v>
      </c>
      <c r="R918" s="2" t="inlineStr"/>
    </row>
    <row r="919" ht="15" customHeight="1">
      <c r="A919" t="inlineStr">
        <is>
          <t>A 62142-2022</t>
        </is>
      </c>
      <c r="B919" s="1" t="n">
        <v>44922</v>
      </c>
      <c r="C919" s="1" t="n">
        <v>45741</v>
      </c>
      <c r="D919" t="inlineStr">
        <is>
          <t>JÄMTLANDS LÄN</t>
        </is>
      </c>
      <c r="E919" t="inlineStr">
        <is>
          <t>KROKOM</t>
        </is>
      </c>
      <c r="F919" t="inlineStr">
        <is>
          <t>Övriga Aktiebolag</t>
        </is>
      </c>
      <c r="G919" t="n">
        <v>11.7</v>
      </c>
      <c r="H919" t="n">
        <v>0</v>
      </c>
      <c r="I919" t="n">
        <v>0</v>
      </c>
      <c r="J919" t="n">
        <v>0</v>
      </c>
      <c r="K919" t="n">
        <v>0</v>
      </c>
      <c r="L919" t="n">
        <v>0</v>
      </c>
      <c r="M919" t="n">
        <v>0</v>
      </c>
      <c r="N919" t="n">
        <v>0</v>
      </c>
      <c r="O919" t="n">
        <v>0</v>
      </c>
      <c r="P919" t="n">
        <v>0</v>
      </c>
      <c r="Q919" t="n">
        <v>0</v>
      </c>
      <c r="R919" s="2" t="inlineStr"/>
    </row>
    <row r="920" ht="15" customHeight="1">
      <c r="A920" t="inlineStr">
        <is>
          <t>A 233-2023</t>
        </is>
      </c>
      <c r="B920" s="1" t="n">
        <v>44922</v>
      </c>
      <c r="C920" s="1" t="n">
        <v>45741</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731-2023</t>
        </is>
      </c>
      <c r="B921" s="1" t="n">
        <v>44930</v>
      </c>
      <c r="C921" s="1" t="n">
        <v>45741</v>
      </c>
      <c r="D921" t="inlineStr">
        <is>
          <t>JÄMTLANDS LÄN</t>
        </is>
      </c>
      <c r="E921" t="inlineStr">
        <is>
          <t>KROKOM</t>
        </is>
      </c>
      <c r="G921" t="n">
        <v>10.6</v>
      </c>
      <c r="H921" t="n">
        <v>0</v>
      </c>
      <c r="I921" t="n">
        <v>0</v>
      </c>
      <c r="J921" t="n">
        <v>0</v>
      </c>
      <c r="K921" t="n">
        <v>0</v>
      </c>
      <c r="L921" t="n">
        <v>0</v>
      </c>
      <c r="M921" t="n">
        <v>0</v>
      </c>
      <c r="N921" t="n">
        <v>0</v>
      </c>
      <c r="O921" t="n">
        <v>0</v>
      </c>
      <c r="P921" t="n">
        <v>0</v>
      </c>
      <c r="Q921" t="n">
        <v>0</v>
      </c>
      <c r="R921" s="2" t="inlineStr"/>
    </row>
    <row r="922" ht="15" customHeight="1">
      <c r="A922" t="inlineStr">
        <is>
          <t>A 1297-2023</t>
        </is>
      </c>
      <c r="B922" s="1" t="n">
        <v>44931</v>
      </c>
      <c r="C922" s="1" t="n">
        <v>45741</v>
      </c>
      <c r="D922" t="inlineStr">
        <is>
          <t>JÄMTLANDS LÄN</t>
        </is>
      </c>
      <c r="E922" t="inlineStr">
        <is>
          <t>KROKOM</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1517-2023</t>
        </is>
      </c>
      <c r="B923" s="1" t="n">
        <v>44935</v>
      </c>
      <c r="C923" s="1" t="n">
        <v>45741</v>
      </c>
      <c r="D923" t="inlineStr">
        <is>
          <t>JÄMTLANDS LÄN</t>
        </is>
      </c>
      <c r="E923" t="inlineStr">
        <is>
          <t>KROKOM</t>
        </is>
      </c>
      <c r="G923" t="n">
        <v>11.1</v>
      </c>
      <c r="H923" t="n">
        <v>0</v>
      </c>
      <c r="I923" t="n">
        <v>0</v>
      </c>
      <c r="J923" t="n">
        <v>0</v>
      </c>
      <c r="K923" t="n">
        <v>0</v>
      </c>
      <c r="L923" t="n">
        <v>0</v>
      </c>
      <c r="M923" t="n">
        <v>0</v>
      </c>
      <c r="N923" t="n">
        <v>0</v>
      </c>
      <c r="O923" t="n">
        <v>0</v>
      </c>
      <c r="P923" t="n">
        <v>0</v>
      </c>
      <c r="Q923" t="n">
        <v>0</v>
      </c>
      <c r="R923" s="2" t="inlineStr"/>
    </row>
    <row r="924" ht="15" customHeight="1">
      <c r="A924" t="inlineStr">
        <is>
          <t>A 1877-2023</t>
        </is>
      </c>
      <c r="B924" s="1" t="n">
        <v>44938</v>
      </c>
      <c r="C924" s="1" t="n">
        <v>45741</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2609-2023</t>
        </is>
      </c>
      <c r="B925" s="1" t="n">
        <v>44939</v>
      </c>
      <c r="C925" s="1" t="n">
        <v>45741</v>
      </c>
      <c r="D925" t="inlineStr">
        <is>
          <t>JÄMTLANDS LÄN</t>
        </is>
      </c>
      <c r="E925" t="inlineStr">
        <is>
          <t>KROKOM</t>
        </is>
      </c>
      <c r="G925" t="n">
        <v>16.9</v>
      </c>
      <c r="H925" t="n">
        <v>0</v>
      </c>
      <c r="I925" t="n">
        <v>0</v>
      </c>
      <c r="J925" t="n">
        <v>0</v>
      </c>
      <c r="K925" t="n">
        <v>0</v>
      </c>
      <c r="L925" t="n">
        <v>0</v>
      </c>
      <c r="M925" t="n">
        <v>0</v>
      </c>
      <c r="N925" t="n">
        <v>0</v>
      </c>
      <c r="O925" t="n">
        <v>0</v>
      </c>
      <c r="P925" t="n">
        <v>0</v>
      </c>
      <c r="Q925" t="n">
        <v>0</v>
      </c>
      <c r="R925" s="2" t="inlineStr"/>
    </row>
    <row r="926" ht="15" customHeight="1">
      <c r="A926" t="inlineStr">
        <is>
          <t>A 3213-2023</t>
        </is>
      </c>
      <c r="B926" s="1" t="n">
        <v>44946</v>
      </c>
      <c r="C926" s="1" t="n">
        <v>45741</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3218-2023</t>
        </is>
      </c>
      <c r="B927" s="1" t="n">
        <v>44946</v>
      </c>
      <c r="C927" s="1" t="n">
        <v>45741</v>
      </c>
      <c r="D927" t="inlineStr">
        <is>
          <t>JÄMTLANDS LÄN</t>
        </is>
      </c>
      <c r="E927" t="inlineStr">
        <is>
          <t>KROKOM</t>
        </is>
      </c>
      <c r="G927" t="n">
        <v>1.4</v>
      </c>
      <c r="H927" t="n">
        <v>0</v>
      </c>
      <c r="I927" t="n">
        <v>0</v>
      </c>
      <c r="J927" t="n">
        <v>0</v>
      </c>
      <c r="K927" t="n">
        <v>0</v>
      </c>
      <c r="L927" t="n">
        <v>0</v>
      </c>
      <c r="M927" t="n">
        <v>0</v>
      </c>
      <c r="N927" t="n">
        <v>0</v>
      </c>
      <c r="O927" t="n">
        <v>0</v>
      </c>
      <c r="P927" t="n">
        <v>0</v>
      </c>
      <c r="Q927" t="n">
        <v>0</v>
      </c>
      <c r="R927" s="2" t="inlineStr"/>
    </row>
    <row r="928" ht="15" customHeight="1">
      <c r="A928" t="inlineStr">
        <is>
          <t>A 3210-2023</t>
        </is>
      </c>
      <c r="B928" s="1" t="n">
        <v>44946</v>
      </c>
      <c r="C928" s="1" t="n">
        <v>45741</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5722-2023</t>
        </is>
      </c>
      <c r="B929" s="1" t="n">
        <v>44961</v>
      </c>
      <c r="C929" s="1" t="n">
        <v>45741</v>
      </c>
      <c r="D929" t="inlineStr">
        <is>
          <t>JÄMTLANDS LÄN</t>
        </is>
      </c>
      <c r="E929" t="inlineStr">
        <is>
          <t>KROKOM</t>
        </is>
      </c>
      <c r="G929" t="n">
        <v>12.3</v>
      </c>
      <c r="H929" t="n">
        <v>0</v>
      </c>
      <c r="I929" t="n">
        <v>0</v>
      </c>
      <c r="J929" t="n">
        <v>0</v>
      </c>
      <c r="K929" t="n">
        <v>0</v>
      </c>
      <c r="L929" t="n">
        <v>0</v>
      </c>
      <c r="M929" t="n">
        <v>0</v>
      </c>
      <c r="N929" t="n">
        <v>0</v>
      </c>
      <c r="O929" t="n">
        <v>0</v>
      </c>
      <c r="P929" t="n">
        <v>0</v>
      </c>
      <c r="Q929" t="n">
        <v>0</v>
      </c>
      <c r="R929" s="2" t="inlineStr"/>
    </row>
    <row r="930" ht="15" customHeight="1">
      <c r="A930" t="inlineStr">
        <is>
          <t>A 6595-2023</t>
        </is>
      </c>
      <c r="B930" s="1" t="n">
        <v>44963</v>
      </c>
      <c r="C930" s="1" t="n">
        <v>45741</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6347-2023</t>
        </is>
      </c>
      <c r="B931" s="1" t="n">
        <v>44965</v>
      </c>
      <c r="C931" s="1" t="n">
        <v>45741</v>
      </c>
      <c r="D931" t="inlineStr">
        <is>
          <t>JÄMTLANDS LÄN</t>
        </is>
      </c>
      <c r="E931" t="inlineStr">
        <is>
          <t>KROKOM</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7371-2023</t>
        </is>
      </c>
      <c r="B932" s="1" t="n">
        <v>44966</v>
      </c>
      <c r="C932" s="1" t="n">
        <v>45741</v>
      </c>
      <c r="D932" t="inlineStr">
        <is>
          <t>JÄMTLANDS LÄN</t>
        </is>
      </c>
      <c r="E932" t="inlineStr">
        <is>
          <t>KROKOM</t>
        </is>
      </c>
      <c r="G932" t="n">
        <v>5</v>
      </c>
      <c r="H932" t="n">
        <v>0</v>
      </c>
      <c r="I932" t="n">
        <v>0</v>
      </c>
      <c r="J932" t="n">
        <v>0</v>
      </c>
      <c r="K932" t="n">
        <v>0</v>
      </c>
      <c r="L932" t="n">
        <v>0</v>
      </c>
      <c r="M932" t="n">
        <v>0</v>
      </c>
      <c r="N932" t="n">
        <v>0</v>
      </c>
      <c r="O932" t="n">
        <v>0</v>
      </c>
      <c r="P932" t="n">
        <v>0</v>
      </c>
      <c r="Q932" t="n">
        <v>0</v>
      </c>
      <c r="R932" s="2" t="inlineStr"/>
    </row>
    <row r="933" ht="15" customHeight="1">
      <c r="A933" t="inlineStr">
        <is>
          <t>A 7373-2023</t>
        </is>
      </c>
      <c r="B933" s="1" t="n">
        <v>44966</v>
      </c>
      <c r="C933" s="1" t="n">
        <v>45741</v>
      </c>
      <c r="D933" t="inlineStr">
        <is>
          <t>JÄMTLANDS LÄN</t>
        </is>
      </c>
      <c r="E933" t="inlineStr">
        <is>
          <t>KROKOM</t>
        </is>
      </c>
      <c r="G933" t="n">
        <v>4.5</v>
      </c>
      <c r="H933" t="n">
        <v>0</v>
      </c>
      <c r="I933" t="n">
        <v>0</v>
      </c>
      <c r="J933" t="n">
        <v>0</v>
      </c>
      <c r="K933" t="n">
        <v>0</v>
      </c>
      <c r="L933" t="n">
        <v>0</v>
      </c>
      <c r="M933" t="n">
        <v>0</v>
      </c>
      <c r="N933" t="n">
        <v>0</v>
      </c>
      <c r="O933" t="n">
        <v>0</v>
      </c>
      <c r="P933" t="n">
        <v>0</v>
      </c>
      <c r="Q933" t="n">
        <v>0</v>
      </c>
      <c r="R933" s="2" t="inlineStr"/>
    </row>
    <row r="934" ht="15" customHeight="1">
      <c r="A934" t="inlineStr">
        <is>
          <t>A 7952-2023</t>
        </is>
      </c>
      <c r="B934" s="1" t="n">
        <v>44970</v>
      </c>
      <c r="C934" s="1" t="n">
        <v>45741</v>
      </c>
      <c r="D934" t="inlineStr">
        <is>
          <t>JÄMTLANDS LÄN</t>
        </is>
      </c>
      <c r="E934" t="inlineStr">
        <is>
          <t>KROKOM</t>
        </is>
      </c>
      <c r="G934" t="n">
        <v>4.8</v>
      </c>
      <c r="H934" t="n">
        <v>0</v>
      </c>
      <c r="I934" t="n">
        <v>0</v>
      </c>
      <c r="J934" t="n">
        <v>0</v>
      </c>
      <c r="K934" t="n">
        <v>0</v>
      </c>
      <c r="L934" t="n">
        <v>0</v>
      </c>
      <c r="M934" t="n">
        <v>0</v>
      </c>
      <c r="N934" t="n">
        <v>0</v>
      </c>
      <c r="O934" t="n">
        <v>0</v>
      </c>
      <c r="P934" t="n">
        <v>0</v>
      </c>
      <c r="Q934" t="n">
        <v>0</v>
      </c>
      <c r="R934" s="2" t="inlineStr"/>
    </row>
    <row r="935" ht="15" customHeight="1">
      <c r="A935" t="inlineStr">
        <is>
          <t>A 7962-2023</t>
        </is>
      </c>
      <c r="B935" s="1" t="n">
        <v>44970</v>
      </c>
      <c r="C935" s="1" t="n">
        <v>45741</v>
      </c>
      <c r="D935" t="inlineStr">
        <is>
          <t>JÄMTLANDS LÄN</t>
        </is>
      </c>
      <c r="E935" t="inlineStr">
        <is>
          <t>KROKOM</t>
        </is>
      </c>
      <c r="G935" t="n">
        <v>12.2</v>
      </c>
      <c r="H935" t="n">
        <v>0</v>
      </c>
      <c r="I935" t="n">
        <v>0</v>
      </c>
      <c r="J935" t="n">
        <v>0</v>
      </c>
      <c r="K935" t="n">
        <v>0</v>
      </c>
      <c r="L935" t="n">
        <v>0</v>
      </c>
      <c r="M935" t="n">
        <v>0</v>
      </c>
      <c r="N935" t="n">
        <v>0</v>
      </c>
      <c r="O935" t="n">
        <v>0</v>
      </c>
      <c r="P935" t="n">
        <v>0</v>
      </c>
      <c r="Q935" t="n">
        <v>0</v>
      </c>
      <c r="R935" s="2" t="inlineStr"/>
    </row>
    <row r="936" ht="15" customHeight="1">
      <c r="A936" t="inlineStr">
        <is>
          <t>A 8369-2023</t>
        </is>
      </c>
      <c r="B936" s="1" t="n">
        <v>44971</v>
      </c>
      <c r="C936" s="1" t="n">
        <v>45741</v>
      </c>
      <c r="D936" t="inlineStr">
        <is>
          <t>JÄMTLANDS LÄN</t>
        </is>
      </c>
      <c r="E936" t="inlineStr">
        <is>
          <t>KROKOM</t>
        </is>
      </c>
      <c r="G936" t="n">
        <v>47.2</v>
      </c>
      <c r="H936" t="n">
        <v>0</v>
      </c>
      <c r="I936" t="n">
        <v>0</v>
      </c>
      <c r="J936" t="n">
        <v>0</v>
      </c>
      <c r="K936" t="n">
        <v>0</v>
      </c>
      <c r="L936" t="n">
        <v>0</v>
      </c>
      <c r="M936" t="n">
        <v>0</v>
      </c>
      <c r="N936" t="n">
        <v>0</v>
      </c>
      <c r="O936" t="n">
        <v>0</v>
      </c>
      <c r="P936" t="n">
        <v>0</v>
      </c>
      <c r="Q936" t="n">
        <v>0</v>
      </c>
      <c r="R936" s="2" t="inlineStr"/>
    </row>
    <row r="937" ht="15" customHeight="1">
      <c r="A937" t="inlineStr">
        <is>
          <t>A 7630-2023</t>
        </is>
      </c>
      <c r="B937" s="1" t="n">
        <v>44972</v>
      </c>
      <c r="C937" s="1" t="n">
        <v>45741</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8037-2023</t>
        </is>
      </c>
      <c r="B938" s="1" t="n">
        <v>44973</v>
      </c>
      <c r="C938" s="1" t="n">
        <v>45741</v>
      </c>
      <c r="D938" t="inlineStr">
        <is>
          <t>JÄMTLANDS LÄN</t>
        </is>
      </c>
      <c r="E938" t="inlineStr">
        <is>
          <t>KROKOM</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9132-2023</t>
        </is>
      </c>
      <c r="B939" s="1" t="n">
        <v>44974</v>
      </c>
      <c r="C939" s="1" t="n">
        <v>45741</v>
      </c>
      <c r="D939" t="inlineStr">
        <is>
          <t>JÄMTLANDS LÄN</t>
        </is>
      </c>
      <c r="E939" t="inlineStr">
        <is>
          <t>KROKOM</t>
        </is>
      </c>
      <c r="F939" t="inlineStr">
        <is>
          <t>SCA</t>
        </is>
      </c>
      <c r="G939" t="n">
        <v>22.7</v>
      </c>
      <c r="H939" t="n">
        <v>0</v>
      </c>
      <c r="I939" t="n">
        <v>0</v>
      </c>
      <c r="J939" t="n">
        <v>0</v>
      </c>
      <c r="K939" t="n">
        <v>0</v>
      </c>
      <c r="L939" t="n">
        <v>0</v>
      </c>
      <c r="M939" t="n">
        <v>0</v>
      </c>
      <c r="N939" t="n">
        <v>0</v>
      </c>
      <c r="O939" t="n">
        <v>0</v>
      </c>
      <c r="P939" t="n">
        <v>0</v>
      </c>
      <c r="Q939" t="n">
        <v>0</v>
      </c>
      <c r="R939" s="2" t="inlineStr"/>
    </row>
    <row r="940" ht="15" customHeight="1">
      <c r="A940" t="inlineStr">
        <is>
          <t>A 9263-2023</t>
        </is>
      </c>
      <c r="B940" s="1" t="n">
        <v>44977</v>
      </c>
      <c r="C940" s="1" t="n">
        <v>45741</v>
      </c>
      <c r="D940" t="inlineStr">
        <is>
          <t>JÄMTLANDS LÄN</t>
        </is>
      </c>
      <c r="E940" t="inlineStr">
        <is>
          <t>KROKOM</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9269-2023</t>
        </is>
      </c>
      <c r="B941" s="1" t="n">
        <v>44977</v>
      </c>
      <c r="C941" s="1" t="n">
        <v>45741</v>
      </c>
      <c r="D941" t="inlineStr">
        <is>
          <t>JÄMTLANDS LÄN</t>
        </is>
      </c>
      <c r="E941" t="inlineStr">
        <is>
          <t>KROKOM</t>
        </is>
      </c>
      <c r="G941" t="n">
        <v>6.3</v>
      </c>
      <c r="H941" t="n">
        <v>0</v>
      </c>
      <c r="I941" t="n">
        <v>0</v>
      </c>
      <c r="J941" t="n">
        <v>0</v>
      </c>
      <c r="K941" t="n">
        <v>0</v>
      </c>
      <c r="L941" t="n">
        <v>0</v>
      </c>
      <c r="M941" t="n">
        <v>0</v>
      </c>
      <c r="N941" t="n">
        <v>0</v>
      </c>
      <c r="O941" t="n">
        <v>0</v>
      </c>
      <c r="P941" t="n">
        <v>0</v>
      </c>
      <c r="Q941" t="n">
        <v>0</v>
      </c>
      <c r="R941" s="2" t="inlineStr"/>
    </row>
    <row r="942" ht="15" customHeight="1">
      <c r="A942" t="inlineStr">
        <is>
          <t>A 9671-2023</t>
        </is>
      </c>
      <c r="B942" s="1" t="n">
        <v>44978</v>
      </c>
      <c r="C942" s="1" t="n">
        <v>45741</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10310-2023</t>
        </is>
      </c>
      <c r="B943" s="1" t="n">
        <v>44986</v>
      </c>
      <c r="C943" s="1" t="n">
        <v>45741</v>
      </c>
      <c r="D943" t="inlineStr">
        <is>
          <t>JÄMTLANDS LÄN</t>
        </is>
      </c>
      <c r="E943" t="inlineStr">
        <is>
          <t>KROKOM</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10314-2023</t>
        </is>
      </c>
      <c r="B944" s="1" t="n">
        <v>44986</v>
      </c>
      <c r="C944" s="1" t="n">
        <v>45741</v>
      </c>
      <c r="D944" t="inlineStr">
        <is>
          <t>JÄMTLANDS LÄN</t>
        </is>
      </c>
      <c r="E944" t="inlineStr">
        <is>
          <t>KROKOM</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10782-2023</t>
        </is>
      </c>
      <c r="B945" s="1" t="n">
        <v>44988</v>
      </c>
      <c r="C945" s="1" t="n">
        <v>45741</v>
      </c>
      <c r="D945" t="inlineStr">
        <is>
          <t>JÄMTLANDS LÄN</t>
        </is>
      </c>
      <c r="E945" t="inlineStr">
        <is>
          <t>KROKOM</t>
        </is>
      </c>
      <c r="F945" t="inlineStr">
        <is>
          <t>SCA</t>
        </is>
      </c>
      <c r="G945" t="n">
        <v>68.8</v>
      </c>
      <c r="H945" t="n">
        <v>0</v>
      </c>
      <c r="I945" t="n">
        <v>0</v>
      </c>
      <c r="J945" t="n">
        <v>0</v>
      </c>
      <c r="K945" t="n">
        <v>0</v>
      </c>
      <c r="L945" t="n">
        <v>0</v>
      </c>
      <c r="M945" t="n">
        <v>0</v>
      </c>
      <c r="N945" t="n">
        <v>0</v>
      </c>
      <c r="O945" t="n">
        <v>0</v>
      </c>
      <c r="P945" t="n">
        <v>0</v>
      </c>
      <c r="Q945" t="n">
        <v>0</v>
      </c>
      <c r="R945" s="2" t="inlineStr"/>
    </row>
    <row r="946" ht="15" customHeight="1">
      <c r="A946" t="inlineStr">
        <is>
          <t>A 11319-2023</t>
        </is>
      </c>
      <c r="B946" s="1" t="n">
        <v>44993</v>
      </c>
      <c r="C946" s="1" t="n">
        <v>45741</v>
      </c>
      <c r="D946" t="inlineStr">
        <is>
          <t>JÄMTLANDS LÄN</t>
        </is>
      </c>
      <c r="E946" t="inlineStr">
        <is>
          <t>KROKOM</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12520-2023</t>
        </is>
      </c>
      <c r="B947" s="1" t="n">
        <v>45000</v>
      </c>
      <c r="C947" s="1" t="n">
        <v>45741</v>
      </c>
      <c r="D947" t="inlineStr">
        <is>
          <t>JÄMTLANDS LÄN</t>
        </is>
      </c>
      <c r="E947" t="inlineStr">
        <is>
          <t>KROKOM</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12813-2023</t>
        </is>
      </c>
      <c r="B948" s="1" t="n">
        <v>45000</v>
      </c>
      <c r="C948" s="1" t="n">
        <v>45741</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13703-2023</t>
        </is>
      </c>
      <c r="B949" s="1" t="n">
        <v>45006</v>
      </c>
      <c r="C949" s="1" t="n">
        <v>45741</v>
      </c>
      <c r="D949" t="inlineStr">
        <is>
          <t>JÄMTLANDS LÄN</t>
        </is>
      </c>
      <c r="E949" t="inlineStr">
        <is>
          <t>KROKOM</t>
        </is>
      </c>
      <c r="F949" t="inlineStr">
        <is>
          <t>SCA</t>
        </is>
      </c>
      <c r="G949" t="n">
        <v>22.2</v>
      </c>
      <c r="H949" t="n">
        <v>0</v>
      </c>
      <c r="I949" t="n">
        <v>0</v>
      </c>
      <c r="J949" t="n">
        <v>0</v>
      </c>
      <c r="K949" t="n">
        <v>0</v>
      </c>
      <c r="L949" t="n">
        <v>0</v>
      </c>
      <c r="M949" t="n">
        <v>0</v>
      </c>
      <c r="N949" t="n">
        <v>0</v>
      </c>
      <c r="O949" t="n">
        <v>0</v>
      </c>
      <c r="P949" t="n">
        <v>0</v>
      </c>
      <c r="Q949" t="n">
        <v>0</v>
      </c>
      <c r="R949" s="2" t="inlineStr"/>
    </row>
    <row r="950" ht="15" customHeight="1">
      <c r="A950" t="inlineStr">
        <is>
          <t>A 15595-2023</t>
        </is>
      </c>
      <c r="B950" s="1" t="n">
        <v>45019</v>
      </c>
      <c r="C950" s="1" t="n">
        <v>45741</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15826-2023</t>
        </is>
      </c>
      <c r="B951" s="1" t="n">
        <v>45022</v>
      </c>
      <c r="C951" s="1" t="n">
        <v>45741</v>
      </c>
      <c r="D951" t="inlineStr">
        <is>
          <t>JÄMTLANDS LÄN</t>
        </is>
      </c>
      <c r="E951" t="inlineStr">
        <is>
          <t>KROKOM</t>
        </is>
      </c>
      <c r="F951" t="inlineStr">
        <is>
          <t>SCA</t>
        </is>
      </c>
      <c r="G951" t="n">
        <v>13.9</v>
      </c>
      <c r="H951" t="n">
        <v>0</v>
      </c>
      <c r="I951" t="n">
        <v>0</v>
      </c>
      <c r="J951" t="n">
        <v>0</v>
      </c>
      <c r="K951" t="n">
        <v>0</v>
      </c>
      <c r="L951" t="n">
        <v>0</v>
      </c>
      <c r="M951" t="n">
        <v>0</v>
      </c>
      <c r="N951" t="n">
        <v>0</v>
      </c>
      <c r="O951" t="n">
        <v>0</v>
      </c>
      <c r="P951" t="n">
        <v>0</v>
      </c>
      <c r="Q951" t="n">
        <v>0</v>
      </c>
      <c r="R951" s="2" t="inlineStr"/>
    </row>
    <row r="952" ht="15" customHeight="1">
      <c r="A952" t="inlineStr">
        <is>
          <t>A 15805-2023</t>
        </is>
      </c>
      <c r="B952" s="1" t="n">
        <v>45022</v>
      </c>
      <c r="C952" s="1" t="n">
        <v>45741</v>
      </c>
      <c r="D952" t="inlineStr">
        <is>
          <t>JÄMTLANDS LÄN</t>
        </is>
      </c>
      <c r="E952" t="inlineStr">
        <is>
          <t>KROKOM</t>
        </is>
      </c>
      <c r="G952" t="n">
        <v>9.1</v>
      </c>
      <c r="H952" t="n">
        <v>0</v>
      </c>
      <c r="I952" t="n">
        <v>0</v>
      </c>
      <c r="J952" t="n">
        <v>0</v>
      </c>
      <c r="K952" t="n">
        <v>0</v>
      </c>
      <c r="L952" t="n">
        <v>0</v>
      </c>
      <c r="M952" t="n">
        <v>0</v>
      </c>
      <c r="N952" t="n">
        <v>0</v>
      </c>
      <c r="O952" t="n">
        <v>0</v>
      </c>
      <c r="P952" t="n">
        <v>0</v>
      </c>
      <c r="Q952" t="n">
        <v>0</v>
      </c>
      <c r="R952" s="2" t="inlineStr"/>
    </row>
    <row r="953" ht="15" customHeight="1">
      <c r="A953" t="inlineStr">
        <is>
          <t>A 15885-2023</t>
        </is>
      </c>
      <c r="B953" s="1" t="n">
        <v>45022</v>
      </c>
      <c r="C953" s="1" t="n">
        <v>45741</v>
      </c>
      <c r="D953" t="inlineStr">
        <is>
          <t>JÄMTLANDS LÄN</t>
        </is>
      </c>
      <c r="E953" t="inlineStr">
        <is>
          <t>KROKOM</t>
        </is>
      </c>
      <c r="G953" t="n">
        <v>2.3</v>
      </c>
      <c r="H953" t="n">
        <v>0</v>
      </c>
      <c r="I953" t="n">
        <v>0</v>
      </c>
      <c r="J953" t="n">
        <v>0</v>
      </c>
      <c r="K953" t="n">
        <v>0</v>
      </c>
      <c r="L953" t="n">
        <v>0</v>
      </c>
      <c r="M953" t="n">
        <v>0</v>
      </c>
      <c r="N953" t="n">
        <v>0</v>
      </c>
      <c r="O953" t="n">
        <v>0</v>
      </c>
      <c r="P953" t="n">
        <v>0</v>
      </c>
      <c r="Q953" t="n">
        <v>0</v>
      </c>
      <c r="R953" s="2" t="inlineStr"/>
    </row>
    <row r="954" ht="15" customHeight="1">
      <c r="A954" t="inlineStr">
        <is>
          <t>A 15980-2023</t>
        </is>
      </c>
      <c r="B954" s="1" t="n">
        <v>45023</v>
      </c>
      <c r="C954" s="1" t="n">
        <v>45741</v>
      </c>
      <c r="D954" t="inlineStr">
        <is>
          <t>JÄMTLANDS LÄN</t>
        </is>
      </c>
      <c r="E954" t="inlineStr">
        <is>
          <t>KROKOM</t>
        </is>
      </c>
      <c r="F954" t="inlineStr">
        <is>
          <t>SCA</t>
        </is>
      </c>
      <c r="G954" t="n">
        <v>7.8</v>
      </c>
      <c r="H954" t="n">
        <v>0</v>
      </c>
      <c r="I954" t="n">
        <v>0</v>
      </c>
      <c r="J954" t="n">
        <v>0</v>
      </c>
      <c r="K954" t="n">
        <v>0</v>
      </c>
      <c r="L954" t="n">
        <v>0</v>
      </c>
      <c r="M954" t="n">
        <v>0</v>
      </c>
      <c r="N954" t="n">
        <v>0</v>
      </c>
      <c r="O954" t="n">
        <v>0</v>
      </c>
      <c r="P954" t="n">
        <v>0</v>
      </c>
      <c r="Q954" t="n">
        <v>0</v>
      </c>
      <c r="R954" s="2" t="inlineStr"/>
    </row>
    <row r="955" ht="15" customHeight="1">
      <c r="A955" t="inlineStr">
        <is>
          <t>A 16566-2023</t>
        </is>
      </c>
      <c r="B955" s="1" t="n">
        <v>45029</v>
      </c>
      <c r="C955" s="1" t="n">
        <v>45741</v>
      </c>
      <c r="D955" t="inlineStr">
        <is>
          <t>JÄMTLANDS LÄN</t>
        </is>
      </c>
      <c r="E955" t="inlineStr">
        <is>
          <t>KROKOM</t>
        </is>
      </c>
      <c r="F955" t="inlineStr">
        <is>
          <t>SCA</t>
        </is>
      </c>
      <c r="G955" t="n">
        <v>11.9</v>
      </c>
      <c r="H955" t="n">
        <v>0</v>
      </c>
      <c r="I955" t="n">
        <v>0</v>
      </c>
      <c r="J955" t="n">
        <v>0</v>
      </c>
      <c r="K955" t="n">
        <v>0</v>
      </c>
      <c r="L955" t="n">
        <v>0</v>
      </c>
      <c r="M955" t="n">
        <v>0</v>
      </c>
      <c r="N955" t="n">
        <v>0</v>
      </c>
      <c r="O955" t="n">
        <v>0</v>
      </c>
      <c r="P955" t="n">
        <v>0</v>
      </c>
      <c r="Q955" t="n">
        <v>0</v>
      </c>
      <c r="R955" s="2" t="inlineStr"/>
    </row>
    <row r="956" ht="15" customHeight="1">
      <c r="A956" t="inlineStr">
        <is>
          <t>A 17555-2023</t>
        </is>
      </c>
      <c r="B956" s="1" t="n">
        <v>45034</v>
      </c>
      <c r="C956" s="1" t="n">
        <v>45741</v>
      </c>
      <c r="D956" t="inlineStr">
        <is>
          <t>JÄMTLANDS LÄN</t>
        </is>
      </c>
      <c r="E956" t="inlineStr">
        <is>
          <t>KROKOM</t>
        </is>
      </c>
      <c r="G956" t="n">
        <v>7.1</v>
      </c>
      <c r="H956" t="n">
        <v>0</v>
      </c>
      <c r="I956" t="n">
        <v>0</v>
      </c>
      <c r="J956" t="n">
        <v>0</v>
      </c>
      <c r="K956" t="n">
        <v>0</v>
      </c>
      <c r="L956" t="n">
        <v>0</v>
      </c>
      <c r="M956" t="n">
        <v>0</v>
      </c>
      <c r="N956" t="n">
        <v>0</v>
      </c>
      <c r="O956" t="n">
        <v>0</v>
      </c>
      <c r="P956" t="n">
        <v>0</v>
      </c>
      <c r="Q956" t="n">
        <v>0</v>
      </c>
      <c r="R956" s="2" t="inlineStr"/>
    </row>
    <row r="957" ht="15" customHeight="1">
      <c r="A957" t="inlineStr">
        <is>
          <t>A 17383-2023</t>
        </is>
      </c>
      <c r="B957" s="1" t="n">
        <v>45035</v>
      </c>
      <c r="C957" s="1" t="n">
        <v>45741</v>
      </c>
      <c r="D957" t="inlineStr">
        <is>
          <t>JÄMTLANDS LÄN</t>
        </is>
      </c>
      <c r="E957" t="inlineStr">
        <is>
          <t>KROKOM</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17594-2023</t>
        </is>
      </c>
      <c r="B958" s="1" t="n">
        <v>45036</v>
      </c>
      <c r="C958" s="1" t="n">
        <v>45741</v>
      </c>
      <c r="D958" t="inlineStr">
        <is>
          <t>JÄMTLANDS LÄN</t>
        </is>
      </c>
      <c r="E958" t="inlineStr">
        <is>
          <t>KROKOM</t>
        </is>
      </c>
      <c r="G958" t="n">
        <v>5.5</v>
      </c>
      <c r="H958" t="n">
        <v>0</v>
      </c>
      <c r="I958" t="n">
        <v>0</v>
      </c>
      <c r="J958" t="n">
        <v>0</v>
      </c>
      <c r="K958" t="n">
        <v>0</v>
      </c>
      <c r="L958" t="n">
        <v>0</v>
      </c>
      <c r="M958" t="n">
        <v>0</v>
      </c>
      <c r="N958" t="n">
        <v>0</v>
      </c>
      <c r="O958" t="n">
        <v>0</v>
      </c>
      <c r="P958" t="n">
        <v>0</v>
      </c>
      <c r="Q958" t="n">
        <v>0</v>
      </c>
      <c r="R958" s="2" t="inlineStr"/>
    </row>
    <row r="959" ht="15" customHeight="1">
      <c r="A959" t="inlineStr">
        <is>
          <t>A 17591-2023</t>
        </is>
      </c>
      <c r="B959" s="1" t="n">
        <v>45036</v>
      </c>
      <c r="C959" s="1" t="n">
        <v>45741</v>
      </c>
      <c r="D959" t="inlineStr">
        <is>
          <t>JÄMTLANDS LÄN</t>
        </is>
      </c>
      <c r="E959" t="inlineStr">
        <is>
          <t>KROKOM</t>
        </is>
      </c>
      <c r="G959" t="n">
        <v>8.4</v>
      </c>
      <c r="H959" t="n">
        <v>0</v>
      </c>
      <c r="I959" t="n">
        <v>0</v>
      </c>
      <c r="J959" t="n">
        <v>0</v>
      </c>
      <c r="K959" t="n">
        <v>0</v>
      </c>
      <c r="L959" t="n">
        <v>0</v>
      </c>
      <c r="M959" t="n">
        <v>0</v>
      </c>
      <c r="N959" t="n">
        <v>0</v>
      </c>
      <c r="O959" t="n">
        <v>0</v>
      </c>
      <c r="P959" t="n">
        <v>0</v>
      </c>
      <c r="Q959" t="n">
        <v>0</v>
      </c>
      <c r="R959" s="2" t="inlineStr"/>
    </row>
    <row r="960" ht="15" customHeight="1">
      <c r="A960" t="inlineStr">
        <is>
          <t>A 17603-2023</t>
        </is>
      </c>
      <c r="B960" s="1" t="n">
        <v>45036</v>
      </c>
      <c r="C960" s="1" t="n">
        <v>45741</v>
      </c>
      <c r="D960" t="inlineStr">
        <is>
          <t>JÄMTLANDS LÄN</t>
        </is>
      </c>
      <c r="E960" t="inlineStr">
        <is>
          <t>KROKOM</t>
        </is>
      </c>
      <c r="G960" t="n">
        <v>7.4</v>
      </c>
      <c r="H960" t="n">
        <v>0</v>
      </c>
      <c r="I960" t="n">
        <v>0</v>
      </c>
      <c r="J960" t="n">
        <v>0</v>
      </c>
      <c r="K960" t="n">
        <v>0</v>
      </c>
      <c r="L960" t="n">
        <v>0</v>
      </c>
      <c r="M960" t="n">
        <v>0</v>
      </c>
      <c r="N960" t="n">
        <v>0</v>
      </c>
      <c r="O960" t="n">
        <v>0</v>
      </c>
      <c r="P960" t="n">
        <v>0</v>
      </c>
      <c r="Q960" t="n">
        <v>0</v>
      </c>
      <c r="R960" s="2" t="inlineStr"/>
    </row>
    <row r="961" ht="15" customHeight="1">
      <c r="A961" t="inlineStr">
        <is>
          <t>A 17602-2023</t>
        </is>
      </c>
      <c r="B961" s="1" t="n">
        <v>45036</v>
      </c>
      <c r="C961" s="1" t="n">
        <v>45741</v>
      </c>
      <c r="D961" t="inlineStr">
        <is>
          <t>JÄMTLANDS LÄN</t>
        </is>
      </c>
      <c r="E961" t="inlineStr">
        <is>
          <t>KROKOM</t>
        </is>
      </c>
      <c r="G961" t="n">
        <v>6.9</v>
      </c>
      <c r="H961" t="n">
        <v>0</v>
      </c>
      <c r="I961" t="n">
        <v>0</v>
      </c>
      <c r="J961" t="n">
        <v>0</v>
      </c>
      <c r="K961" t="n">
        <v>0</v>
      </c>
      <c r="L961" t="n">
        <v>0</v>
      </c>
      <c r="M961" t="n">
        <v>0</v>
      </c>
      <c r="N961" t="n">
        <v>0</v>
      </c>
      <c r="O961" t="n">
        <v>0</v>
      </c>
      <c r="P961" t="n">
        <v>0</v>
      </c>
      <c r="Q961" t="n">
        <v>0</v>
      </c>
      <c r="R961" s="2" t="inlineStr"/>
    </row>
    <row r="962" ht="15" customHeight="1">
      <c r="A962" t="inlineStr">
        <is>
          <t>A 17751-2023</t>
        </is>
      </c>
      <c r="B962" s="1" t="n">
        <v>45036</v>
      </c>
      <c r="C962" s="1" t="n">
        <v>45741</v>
      </c>
      <c r="D962" t="inlineStr">
        <is>
          <t>JÄMTLANDS LÄN</t>
        </is>
      </c>
      <c r="E962" t="inlineStr">
        <is>
          <t>KROKOM</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18139-2023</t>
        </is>
      </c>
      <c r="B963" s="1" t="n">
        <v>45040</v>
      </c>
      <c r="C963" s="1" t="n">
        <v>45741</v>
      </c>
      <c r="D963" t="inlineStr">
        <is>
          <t>JÄMTLANDS LÄN</t>
        </is>
      </c>
      <c r="E963" t="inlineStr">
        <is>
          <t>KROKOM</t>
        </is>
      </c>
      <c r="G963" t="n">
        <v>4.6</v>
      </c>
      <c r="H963" t="n">
        <v>0</v>
      </c>
      <c r="I963" t="n">
        <v>0</v>
      </c>
      <c r="J963" t="n">
        <v>0</v>
      </c>
      <c r="K963" t="n">
        <v>0</v>
      </c>
      <c r="L963" t="n">
        <v>0</v>
      </c>
      <c r="M963" t="n">
        <v>0</v>
      </c>
      <c r="N963" t="n">
        <v>0</v>
      </c>
      <c r="O963" t="n">
        <v>0</v>
      </c>
      <c r="P963" t="n">
        <v>0</v>
      </c>
      <c r="Q963" t="n">
        <v>0</v>
      </c>
      <c r="R963" s="2" t="inlineStr"/>
    </row>
    <row r="964" ht="15" customHeight="1">
      <c r="A964" t="inlineStr">
        <is>
          <t>A 18296-2023</t>
        </is>
      </c>
      <c r="B964" s="1" t="n">
        <v>45040</v>
      </c>
      <c r="C964" s="1" t="n">
        <v>45741</v>
      </c>
      <c r="D964" t="inlineStr">
        <is>
          <t>JÄMTLANDS LÄN</t>
        </is>
      </c>
      <c r="E964" t="inlineStr">
        <is>
          <t>KROKOM</t>
        </is>
      </c>
      <c r="G964" t="n">
        <v>20.3</v>
      </c>
      <c r="H964" t="n">
        <v>0</v>
      </c>
      <c r="I964" t="n">
        <v>0</v>
      </c>
      <c r="J964" t="n">
        <v>0</v>
      </c>
      <c r="K964" t="n">
        <v>0</v>
      </c>
      <c r="L964" t="n">
        <v>0</v>
      </c>
      <c r="M964" t="n">
        <v>0</v>
      </c>
      <c r="N964" t="n">
        <v>0</v>
      </c>
      <c r="O964" t="n">
        <v>0</v>
      </c>
      <c r="P964" t="n">
        <v>0</v>
      </c>
      <c r="Q964" t="n">
        <v>0</v>
      </c>
      <c r="R964" s="2" t="inlineStr"/>
    </row>
    <row r="965" ht="15" customHeight="1">
      <c r="A965" t="inlineStr">
        <is>
          <t>A 18539-2023</t>
        </is>
      </c>
      <c r="B965" s="1" t="n">
        <v>45041</v>
      </c>
      <c r="C965" s="1" t="n">
        <v>45741</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18826-2023</t>
        </is>
      </c>
      <c r="B966" s="1" t="n">
        <v>45042</v>
      </c>
      <c r="C966" s="1" t="n">
        <v>45741</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18990-2023</t>
        </is>
      </c>
      <c r="B967" s="1" t="n">
        <v>45045</v>
      </c>
      <c r="C967" s="1" t="n">
        <v>45741</v>
      </c>
      <c r="D967" t="inlineStr">
        <is>
          <t>JÄMTLANDS LÄN</t>
        </is>
      </c>
      <c r="E967" t="inlineStr">
        <is>
          <t>KROKOM</t>
        </is>
      </c>
      <c r="F967" t="inlineStr">
        <is>
          <t>SCA</t>
        </is>
      </c>
      <c r="G967" t="n">
        <v>10.9</v>
      </c>
      <c r="H967" t="n">
        <v>0</v>
      </c>
      <c r="I967" t="n">
        <v>0</v>
      </c>
      <c r="J967" t="n">
        <v>0</v>
      </c>
      <c r="K967" t="n">
        <v>0</v>
      </c>
      <c r="L967" t="n">
        <v>0</v>
      </c>
      <c r="M967" t="n">
        <v>0</v>
      </c>
      <c r="N967" t="n">
        <v>0</v>
      </c>
      <c r="O967" t="n">
        <v>0</v>
      </c>
      <c r="P967" t="n">
        <v>0</v>
      </c>
      <c r="Q967" t="n">
        <v>0</v>
      </c>
      <c r="R967" s="2" t="inlineStr"/>
    </row>
    <row r="968" ht="15" customHeight="1">
      <c r="A968" t="inlineStr">
        <is>
          <t>A 19245-2023</t>
        </is>
      </c>
      <c r="B968" s="1" t="n">
        <v>45048</v>
      </c>
      <c r="C968" s="1" t="n">
        <v>45741</v>
      </c>
      <c r="D968" t="inlineStr">
        <is>
          <t>JÄMTLANDS LÄN</t>
        </is>
      </c>
      <c r="E968" t="inlineStr">
        <is>
          <t>KROKOM</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19247-2023</t>
        </is>
      </c>
      <c r="B969" s="1" t="n">
        <v>45048</v>
      </c>
      <c r="C969" s="1" t="n">
        <v>45741</v>
      </c>
      <c r="D969" t="inlineStr">
        <is>
          <t>JÄMTLANDS LÄN</t>
        </is>
      </c>
      <c r="E969" t="inlineStr">
        <is>
          <t>KROKOM</t>
        </is>
      </c>
      <c r="F969" t="inlineStr">
        <is>
          <t>SCA</t>
        </is>
      </c>
      <c r="G969" t="n">
        <v>13.4</v>
      </c>
      <c r="H969" t="n">
        <v>0</v>
      </c>
      <c r="I969" t="n">
        <v>0</v>
      </c>
      <c r="J969" t="n">
        <v>0</v>
      </c>
      <c r="K969" t="n">
        <v>0</v>
      </c>
      <c r="L969" t="n">
        <v>0</v>
      </c>
      <c r="M969" t="n">
        <v>0</v>
      </c>
      <c r="N969" t="n">
        <v>0</v>
      </c>
      <c r="O969" t="n">
        <v>0</v>
      </c>
      <c r="P969" t="n">
        <v>0</v>
      </c>
      <c r="Q969" t="n">
        <v>0</v>
      </c>
      <c r="R969" s="2" t="inlineStr"/>
    </row>
    <row r="970" ht="15" customHeight="1">
      <c r="A970" t="inlineStr">
        <is>
          <t>A 19502-2023</t>
        </is>
      </c>
      <c r="B970" s="1" t="n">
        <v>45049</v>
      </c>
      <c r="C970" s="1" t="n">
        <v>45741</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19348-2023</t>
        </is>
      </c>
      <c r="B971" s="1" t="n">
        <v>45049</v>
      </c>
      <c r="C971" s="1" t="n">
        <v>45741</v>
      </c>
      <c r="D971" t="inlineStr">
        <is>
          <t>JÄMTLANDS LÄN</t>
        </is>
      </c>
      <c r="E971" t="inlineStr">
        <is>
          <t>KROKOM</t>
        </is>
      </c>
      <c r="G971" t="n">
        <v>11.6</v>
      </c>
      <c r="H971" t="n">
        <v>0</v>
      </c>
      <c r="I971" t="n">
        <v>0</v>
      </c>
      <c r="J971" t="n">
        <v>0</v>
      </c>
      <c r="K971" t="n">
        <v>0</v>
      </c>
      <c r="L971" t="n">
        <v>0</v>
      </c>
      <c r="M971" t="n">
        <v>0</v>
      </c>
      <c r="N971" t="n">
        <v>0</v>
      </c>
      <c r="O971" t="n">
        <v>0</v>
      </c>
      <c r="P971" t="n">
        <v>0</v>
      </c>
      <c r="Q971" t="n">
        <v>0</v>
      </c>
      <c r="R971" s="2" t="inlineStr"/>
    </row>
    <row r="972" ht="15" customHeight="1">
      <c r="A972" t="inlineStr">
        <is>
          <t>A 19478-2023</t>
        </is>
      </c>
      <c r="B972" s="1" t="n">
        <v>45050</v>
      </c>
      <c r="C972" s="1" t="n">
        <v>45741</v>
      </c>
      <c r="D972" t="inlineStr">
        <is>
          <t>JÄMTLANDS LÄN</t>
        </is>
      </c>
      <c r="E972" t="inlineStr">
        <is>
          <t>KROKOM</t>
        </is>
      </c>
      <c r="F972" t="inlineStr">
        <is>
          <t>Övriga Aktiebolag</t>
        </is>
      </c>
      <c r="G972" t="n">
        <v>22.2</v>
      </c>
      <c r="H972" t="n">
        <v>0</v>
      </c>
      <c r="I972" t="n">
        <v>0</v>
      </c>
      <c r="J972" t="n">
        <v>0</v>
      </c>
      <c r="K972" t="n">
        <v>0</v>
      </c>
      <c r="L972" t="n">
        <v>0</v>
      </c>
      <c r="M972" t="n">
        <v>0</v>
      </c>
      <c r="N972" t="n">
        <v>0</v>
      </c>
      <c r="O972" t="n">
        <v>0</v>
      </c>
      <c r="P972" t="n">
        <v>0</v>
      </c>
      <c r="Q972" t="n">
        <v>0</v>
      </c>
      <c r="R972" s="2" t="inlineStr"/>
    </row>
    <row r="973" ht="15" customHeight="1">
      <c r="A973" t="inlineStr">
        <is>
          <t>A 20735-2023</t>
        </is>
      </c>
      <c r="B973" s="1" t="n">
        <v>45055</v>
      </c>
      <c r="C973" s="1" t="n">
        <v>45741</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45741</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20966-2023</t>
        </is>
      </c>
      <c r="B975" s="1" t="n">
        <v>45056</v>
      </c>
      <c r="C975" s="1" t="n">
        <v>45741</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20953-2023</t>
        </is>
      </c>
      <c r="B976" s="1" t="n">
        <v>45056</v>
      </c>
      <c r="C976" s="1" t="n">
        <v>45741</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20976-2023</t>
        </is>
      </c>
      <c r="B977" s="1" t="n">
        <v>45056</v>
      </c>
      <c r="C977" s="1" t="n">
        <v>45741</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20622-2023</t>
        </is>
      </c>
      <c r="B978" s="1" t="n">
        <v>45057</v>
      </c>
      <c r="C978" s="1" t="n">
        <v>45741</v>
      </c>
      <c r="D978" t="inlineStr">
        <is>
          <t>JÄMTLANDS LÄN</t>
        </is>
      </c>
      <c r="E978" t="inlineStr">
        <is>
          <t>KROKOM</t>
        </is>
      </c>
      <c r="F978" t="inlineStr">
        <is>
          <t>SCA</t>
        </is>
      </c>
      <c r="G978" t="n">
        <v>15.5</v>
      </c>
      <c r="H978" t="n">
        <v>0</v>
      </c>
      <c r="I978" t="n">
        <v>0</v>
      </c>
      <c r="J978" t="n">
        <v>0</v>
      </c>
      <c r="K978" t="n">
        <v>0</v>
      </c>
      <c r="L978" t="n">
        <v>0</v>
      </c>
      <c r="M978" t="n">
        <v>0</v>
      </c>
      <c r="N978" t="n">
        <v>0</v>
      </c>
      <c r="O978" t="n">
        <v>0</v>
      </c>
      <c r="P978" t="n">
        <v>0</v>
      </c>
      <c r="Q978" t="n">
        <v>0</v>
      </c>
      <c r="R978" s="2" t="inlineStr"/>
    </row>
    <row r="979" ht="15" customHeight="1">
      <c r="A979" t="inlineStr">
        <is>
          <t>A 20623-2023</t>
        </is>
      </c>
      <c r="B979" s="1" t="n">
        <v>45058</v>
      </c>
      <c r="C979" s="1" t="n">
        <v>45741</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20860-2023</t>
        </is>
      </c>
      <c r="B980" s="1" t="n">
        <v>45059</v>
      </c>
      <c r="C980" s="1" t="n">
        <v>45741</v>
      </c>
      <c r="D980" t="inlineStr">
        <is>
          <t>JÄMTLANDS LÄN</t>
        </is>
      </c>
      <c r="E980" t="inlineStr">
        <is>
          <t>KROKOM</t>
        </is>
      </c>
      <c r="G980" t="n">
        <v>11</v>
      </c>
      <c r="H980" t="n">
        <v>0</v>
      </c>
      <c r="I980" t="n">
        <v>0</v>
      </c>
      <c r="J980" t="n">
        <v>0</v>
      </c>
      <c r="K980" t="n">
        <v>0</v>
      </c>
      <c r="L980" t="n">
        <v>0</v>
      </c>
      <c r="M980" t="n">
        <v>0</v>
      </c>
      <c r="N980" t="n">
        <v>0</v>
      </c>
      <c r="O980" t="n">
        <v>0</v>
      </c>
      <c r="P980" t="n">
        <v>0</v>
      </c>
      <c r="Q980" t="n">
        <v>0</v>
      </c>
      <c r="R980" s="2" t="inlineStr"/>
    </row>
    <row r="981" ht="15" customHeight="1">
      <c r="A981" t="inlineStr">
        <is>
          <t>A 21348-2023</t>
        </is>
      </c>
      <c r="B981" s="1" t="n">
        <v>45062</v>
      </c>
      <c r="C981" s="1" t="n">
        <v>45741</v>
      </c>
      <c r="D981" t="inlineStr">
        <is>
          <t>JÄMTLANDS LÄN</t>
        </is>
      </c>
      <c r="E981" t="inlineStr">
        <is>
          <t>KROKOM</t>
        </is>
      </c>
      <c r="F981" t="inlineStr">
        <is>
          <t>SCA</t>
        </is>
      </c>
      <c r="G981" t="n">
        <v>48.1</v>
      </c>
      <c r="H981" t="n">
        <v>0</v>
      </c>
      <c r="I981" t="n">
        <v>0</v>
      </c>
      <c r="J981" t="n">
        <v>0</v>
      </c>
      <c r="K981" t="n">
        <v>0</v>
      </c>
      <c r="L981" t="n">
        <v>0</v>
      </c>
      <c r="M981" t="n">
        <v>0</v>
      </c>
      <c r="N981" t="n">
        <v>0</v>
      </c>
      <c r="O981" t="n">
        <v>0</v>
      </c>
      <c r="P981" t="n">
        <v>0</v>
      </c>
      <c r="Q981" t="n">
        <v>0</v>
      </c>
      <c r="R981" s="2" t="inlineStr"/>
    </row>
    <row r="982" ht="15" customHeight="1">
      <c r="A982" t="inlineStr">
        <is>
          <t>A 21347-2023</t>
        </is>
      </c>
      <c r="B982" s="1" t="n">
        <v>45062</v>
      </c>
      <c r="C982" s="1" t="n">
        <v>45741</v>
      </c>
      <c r="D982" t="inlineStr">
        <is>
          <t>JÄMTLANDS LÄN</t>
        </is>
      </c>
      <c r="E982" t="inlineStr">
        <is>
          <t>KROKOM</t>
        </is>
      </c>
      <c r="F982" t="inlineStr">
        <is>
          <t>SCA</t>
        </is>
      </c>
      <c r="G982" t="n">
        <v>13.6</v>
      </c>
      <c r="H982" t="n">
        <v>0</v>
      </c>
      <c r="I982" t="n">
        <v>0</v>
      </c>
      <c r="J982" t="n">
        <v>0</v>
      </c>
      <c r="K982" t="n">
        <v>0</v>
      </c>
      <c r="L982" t="n">
        <v>0</v>
      </c>
      <c r="M982" t="n">
        <v>0</v>
      </c>
      <c r="N982" t="n">
        <v>0</v>
      </c>
      <c r="O982" t="n">
        <v>0</v>
      </c>
      <c r="P982" t="n">
        <v>0</v>
      </c>
      <c r="Q982" t="n">
        <v>0</v>
      </c>
      <c r="R982" s="2" t="inlineStr"/>
    </row>
    <row r="983" ht="15" customHeight="1">
      <c r="A983" t="inlineStr">
        <is>
          <t>A 21784-2023</t>
        </is>
      </c>
      <c r="B983" s="1" t="n">
        <v>45065</v>
      </c>
      <c r="C983" s="1" t="n">
        <v>45741</v>
      </c>
      <c r="D983" t="inlineStr">
        <is>
          <t>JÄMTLANDS LÄN</t>
        </is>
      </c>
      <c r="E983" t="inlineStr">
        <is>
          <t>KROKOM</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23326-2023</t>
        </is>
      </c>
      <c r="B984" s="1" t="n">
        <v>45071</v>
      </c>
      <c r="C984" s="1" t="n">
        <v>45741</v>
      </c>
      <c r="D984" t="inlineStr">
        <is>
          <t>JÄMTLANDS LÄN</t>
        </is>
      </c>
      <c r="E984" t="inlineStr">
        <is>
          <t>KROKOM</t>
        </is>
      </c>
      <c r="G984" t="n">
        <v>2.7</v>
      </c>
      <c r="H984" t="n">
        <v>0</v>
      </c>
      <c r="I984" t="n">
        <v>0</v>
      </c>
      <c r="J984" t="n">
        <v>0</v>
      </c>
      <c r="K984" t="n">
        <v>0</v>
      </c>
      <c r="L984" t="n">
        <v>0</v>
      </c>
      <c r="M984" t="n">
        <v>0</v>
      </c>
      <c r="N984" t="n">
        <v>0</v>
      </c>
      <c r="O984" t="n">
        <v>0</v>
      </c>
      <c r="P984" t="n">
        <v>0</v>
      </c>
      <c r="Q984" t="n">
        <v>0</v>
      </c>
      <c r="R984" s="2" t="inlineStr"/>
    </row>
    <row r="985" ht="15" customHeight="1">
      <c r="A985" t="inlineStr">
        <is>
          <t>A 22999-2023</t>
        </is>
      </c>
      <c r="B985" s="1" t="n">
        <v>45073</v>
      </c>
      <c r="C985" s="1" t="n">
        <v>45741</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23139-2023</t>
        </is>
      </c>
      <c r="B986" s="1" t="n">
        <v>45075</v>
      </c>
      <c r="C986" s="1" t="n">
        <v>45741</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24069-2023</t>
        </is>
      </c>
      <c r="B987" s="1" t="n">
        <v>45079</v>
      </c>
      <c r="C987" s="1" t="n">
        <v>45741</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24387-2023</t>
        </is>
      </c>
      <c r="B988" s="1" t="n">
        <v>45082</v>
      </c>
      <c r="C988" s="1" t="n">
        <v>45741</v>
      </c>
      <c r="D988" t="inlineStr">
        <is>
          <t>JÄMTLANDS LÄN</t>
        </is>
      </c>
      <c r="E988" t="inlineStr">
        <is>
          <t>KROKOM</t>
        </is>
      </c>
      <c r="F988" t="inlineStr">
        <is>
          <t>Kyrkan</t>
        </is>
      </c>
      <c r="G988" t="n">
        <v>21.2</v>
      </c>
      <c r="H988" t="n">
        <v>0</v>
      </c>
      <c r="I988" t="n">
        <v>0</v>
      </c>
      <c r="J988" t="n">
        <v>0</v>
      </c>
      <c r="K988" t="n">
        <v>0</v>
      </c>
      <c r="L988" t="n">
        <v>0</v>
      </c>
      <c r="M988" t="n">
        <v>0</v>
      </c>
      <c r="N988" t="n">
        <v>0</v>
      </c>
      <c r="O988" t="n">
        <v>0</v>
      </c>
      <c r="P988" t="n">
        <v>0</v>
      </c>
      <c r="Q988" t="n">
        <v>0</v>
      </c>
      <c r="R988" s="2" t="inlineStr"/>
    </row>
    <row r="989" ht="15" customHeight="1">
      <c r="A989" t="inlineStr">
        <is>
          <t>A 25726-2023</t>
        </is>
      </c>
      <c r="B989" s="1" t="n">
        <v>45084</v>
      </c>
      <c r="C989" s="1" t="n">
        <v>45741</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24824-2023</t>
        </is>
      </c>
      <c r="B990" s="1" t="n">
        <v>45085</v>
      </c>
      <c r="C990" s="1" t="n">
        <v>45741</v>
      </c>
      <c r="D990" t="inlineStr">
        <is>
          <t>JÄMTLANDS LÄN</t>
        </is>
      </c>
      <c r="E990" t="inlineStr">
        <is>
          <t>KROKOM</t>
        </is>
      </c>
      <c r="G990" t="n">
        <v>2.9</v>
      </c>
      <c r="H990" t="n">
        <v>0</v>
      </c>
      <c r="I990" t="n">
        <v>0</v>
      </c>
      <c r="J990" t="n">
        <v>0</v>
      </c>
      <c r="K990" t="n">
        <v>0</v>
      </c>
      <c r="L990" t="n">
        <v>0</v>
      </c>
      <c r="M990" t="n">
        <v>0</v>
      </c>
      <c r="N990" t="n">
        <v>0</v>
      </c>
      <c r="O990" t="n">
        <v>0</v>
      </c>
      <c r="P990" t="n">
        <v>0</v>
      </c>
      <c r="Q990" t="n">
        <v>0</v>
      </c>
      <c r="R990" s="2" t="inlineStr"/>
    </row>
    <row r="991" ht="15" customHeight="1">
      <c r="A991" t="inlineStr">
        <is>
          <t>A 25309-2023</t>
        </is>
      </c>
      <c r="B991" s="1" t="n">
        <v>45087</v>
      </c>
      <c r="C991" s="1" t="n">
        <v>45741</v>
      </c>
      <c r="D991" t="inlineStr">
        <is>
          <t>JÄMTLANDS LÄN</t>
        </is>
      </c>
      <c r="E991" t="inlineStr">
        <is>
          <t>KROKOM</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26270-2023</t>
        </is>
      </c>
      <c r="B992" s="1" t="n">
        <v>45086</v>
      </c>
      <c r="C992" s="1" t="n">
        <v>45741</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26693-2023</t>
        </is>
      </c>
      <c r="B993" s="1" t="n">
        <v>45090</v>
      </c>
      <c r="C993" s="1" t="n">
        <v>45741</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26005-2023</t>
        </is>
      </c>
      <c r="B994" s="1" t="n">
        <v>45091</v>
      </c>
      <c r="C994" s="1" t="n">
        <v>45741</v>
      </c>
      <c r="D994" t="inlineStr">
        <is>
          <t>JÄMTLANDS LÄN</t>
        </is>
      </c>
      <c r="E994" t="inlineStr">
        <is>
          <t>KROKOM</t>
        </is>
      </c>
      <c r="G994" t="n">
        <v>18.3</v>
      </c>
      <c r="H994" t="n">
        <v>0</v>
      </c>
      <c r="I994" t="n">
        <v>0</v>
      </c>
      <c r="J994" t="n">
        <v>0</v>
      </c>
      <c r="K994" t="n">
        <v>0</v>
      </c>
      <c r="L994" t="n">
        <v>0</v>
      </c>
      <c r="M994" t="n">
        <v>0</v>
      </c>
      <c r="N994" t="n">
        <v>0</v>
      </c>
      <c r="O994" t="n">
        <v>0</v>
      </c>
      <c r="P994" t="n">
        <v>0</v>
      </c>
      <c r="Q994" t="n">
        <v>0</v>
      </c>
      <c r="R994" s="2" t="inlineStr"/>
    </row>
    <row r="995" ht="15" customHeight="1">
      <c r="A995" t="inlineStr">
        <is>
          <t>A 26721-2023</t>
        </is>
      </c>
      <c r="B995" s="1" t="n">
        <v>45090</v>
      </c>
      <c r="C995" s="1" t="n">
        <v>45741</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26006-2023</t>
        </is>
      </c>
      <c r="B996" s="1" t="n">
        <v>45091</v>
      </c>
      <c r="C996" s="1" t="n">
        <v>45741</v>
      </c>
      <c r="D996" t="inlineStr">
        <is>
          <t>JÄMTLANDS LÄN</t>
        </is>
      </c>
      <c r="E996" t="inlineStr">
        <is>
          <t>KROKOM</t>
        </is>
      </c>
      <c r="G996" t="n">
        <v>14.1</v>
      </c>
      <c r="H996" t="n">
        <v>0</v>
      </c>
      <c r="I996" t="n">
        <v>0</v>
      </c>
      <c r="J996" t="n">
        <v>0</v>
      </c>
      <c r="K996" t="n">
        <v>0</v>
      </c>
      <c r="L996" t="n">
        <v>0</v>
      </c>
      <c r="M996" t="n">
        <v>0</v>
      </c>
      <c r="N996" t="n">
        <v>0</v>
      </c>
      <c r="O996" t="n">
        <v>0</v>
      </c>
      <c r="P996" t="n">
        <v>0</v>
      </c>
      <c r="Q996" t="n">
        <v>0</v>
      </c>
      <c r="R996" s="2" t="inlineStr"/>
    </row>
    <row r="997" ht="15" customHeight="1">
      <c r="A997" t="inlineStr">
        <is>
          <t>A 26739-2023</t>
        </is>
      </c>
      <c r="B997" s="1" t="n">
        <v>45090</v>
      </c>
      <c r="C997" s="1" t="n">
        <v>45741</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26805-2023</t>
        </is>
      </c>
      <c r="B998" s="1" t="n">
        <v>45090</v>
      </c>
      <c r="C998" s="1" t="n">
        <v>45741</v>
      </c>
      <c r="D998" t="inlineStr">
        <is>
          <t>JÄMTLANDS LÄN</t>
        </is>
      </c>
      <c r="E998" t="inlineStr">
        <is>
          <t>KROKOM</t>
        </is>
      </c>
      <c r="G998" t="n">
        <v>20.4</v>
      </c>
      <c r="H998" t="n">
        <v>0</v>
      </c>
      <c r="I998" t="n">
        <v>0</v>
      </c>
      <c r="J998" t="n">
        <v>0</v>
      </c>
      <c r="K998" t="n">
        <v>0</v>
      </c>
      <c r="L998" t="n">
        <v>0</v>
      </c>
      <c r="M998" t="n">
        <v>0</v>
      </c>
      <c r="N998" t="n">
        <v>0</v>
      </c>
      <c r="O998" t="n">
        <v>0</v>
      </c>
      <c r="P998" t="n">
        <v>0</v>
      </c>
      <c r="Q998" t="n">
        <v>0</v>
      </c>
      <c r="R998" s="2" t="inlineStr"/>
    </row>
    <row r="999" ht="15" customHeight="1">
      <c r="A999" t="inlineStr">
        <is>
          <t>A 26662-2023</t>
        </is>
      </c>
      <c r="B999" s="1" t="n">
        <v>45093</v>
      </c>
      <c r="C999" s="1" t="n">
        <v>45741</v>
      </c>
      <c r="D999" t="inlineStr">
        <is>
          <t>JÄMTLANDS LÄN</t>
        </is>
      </c>
      <c r="E999" t="inlineStr">
        <is>
          <t>KROKOM</t>
        </is>
      </c>
      <c r="G999" t="n">
        <v>12.6</v>
      </c>
      <c r="H999" t="n">
        <v>0</v>
      </c>
      <c r="I999" t="n">
        <v>0</v>
      </c>
      <c r="J999" t="n">
        <v>0</v>
      </c>
      <c r="K999" t="n">
        <v>0</v>
      </c>
      <c r="L999" t="n">
        <v>0</v>
      </c>
      <c r="M999" t="n">
        <v>0</v>
      </c>
      <c r="N999" t="n">
        <v>0</v>
      </c>
      <c r="O999" t="n">
        <v>0</v>
      </c>
      <c r="P999" t="n">
        <v>0</v>
      </c>
      <c r="Q999" t="n">
        <v>0</v>
      </c>
      <c r="R999" s="2" t="inlineStr"/>
    </row>
    <row r="1000" ht="15" customHeight="1">
      <c r="A1000" t="inlineStr">
        <is>
          <t>A 26661-2023</t>
        </is>
      </c>
      <c r="B1000" s="1" t="n">
        <v>45093</v>
      </c>
      <c r="C1000" s="1" t="n">
        <v>45741</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28137-2023</t>
        </is>
      </c>
      <c r="B1001" s="1" t="n">
        <v>45096</v>
      </c>
      <c r="C1001" s="1" t="n">
        <v>45741</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27616-2023</t>
        </is>
      </c>
      <c r="B1002" s="1" t="n">
        <v>45097</v>
      </c>
      <c r="C1002" s="1" t="n">
        <v>45741</v>
      </c>
      <c r="D1002" t="inlineStr">
        <is>
          <t>JÄMTLANDS LÄN</t>
        </is>
      </c>
      <c r="E1002" t="inlineStr">
        <is>
          <t>KROKOM</t>
        </is>
      </c>
      <c r="F1002" t="inlineStr">
        <is>
          <t>Övriga Aktiebolag</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29224-2023</t>
        </is>
      </c>
      <c r="B1003" s="1" t="n">
        <v>45097</v>
      </c>
      <c r="C1003" s="1" t="n">
        <v>45741</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29244-2023</t>
        </is>
      </c>
      <c r="B1004" s="1" t="n">
        <v>45097</v>
      </c>
      <c r="C1004" s="1" t="n">
        <v>45741</v>
      </c>
      <c r="D1004" t="inlineStr">
        <is>
          <t>JÄMTLANDS LÄN</t>
        </is>
      </c>
      <c r="E1004" t="inlineStr">
        <is>
          <t>KROKOM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28068-2023</t>
        </is>
      </c>
      <c r="B1005" s="1" t="n">
        <v>45099</v>
      </c>
      <c r="C1005" s="1" t="n">
        <v>45741</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28072-2023</t>
        </is>
      </c>
      <c r="B1006" s="1" t="n">
        <v>45099</v>
      </c>
      <c r="C1006" s="1" t="n">
        <v>45741</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28062-2023</t>
        </is>
      </c>
      <c r="B1007" s="1" t="n">
        <v>45099</v>
      </c>
      <c r="C1007" s="1" t="n">
        <v>45741</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28067-2023</t>
        </is>
      </c>
      <c r="B1008" s="1" t="n">
        <v>45099</v>
      </c>
      <c r="C1008" s="1" t="n">
        <v>45741</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30450-2023</t>
        </is>
      </c>
      <c r="B1009" s="1" t="n">
        <v>45099</v>
      </c>
      <c r="C1009" s="1" t="n">
        <v>45741</v>
      </c>
      <c r="D1009" t="inlineStr">
        <is>
          <t>JÄMTLANDS LÄN</t>
        </is>
      </c>
      <c r="E1009" t="inlineStr">
        <is>
          <t>KROKOM</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28758-2023</t>
        </is>
      </c>
      <c r="B1010" s="1" t="n">
        <v>45104</v>
      </c>
      <c r="C1010" s="1" t="n">
        <v>45741</v>
      </c>
      <c r="D1010" t="inlineStr">
        <is>
          <t>JÄMTLANDS LÄN</t>
        </is>
      </c>
      <c r="E1010" t="inlineStr">
        <is>
          <t>KROKOM</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28763-2023</t>
        </is>
      </c>
      <c r="B1011" s="1" t="n">
        <v>45104</v>
      </c>
      <c r="C1011" s="1" t="n">
        <v>45741</v>
      </c>
      <c r="D1011" t="inlineStr">
        <is>
          <t>JÄMTLANDS LÄN</t>
        </is>
      </c>
      <c r="E1011" t="inlineStr">
        <is>
          <t>KROKOM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29345-2023</t>
        </is>
      </c>
      <c r="B1012" s="1" t="n">
        <v>45105</v>
      </c>
      <c r="C1012" s="1" t="n">
        <v>45741</v>
      </c>
      <c r="D1012" t="inlineStr">
        <is>
          <t>JÄMTLANDS LÄN</t>
        </is>
      </c>
      <c r="E1012" t="inlineStr">
        <is>
          <t>KROKOM</t>
        </is>
      </c>
      <c r="G1012" t="n">
        <v>33.9</v>
      </c>
      <c r="H1012" t="n">
        <v>0</v>
      </c>
      <c r="I1012" t="n">
        <v>0</v>
      </c>
      <c r="J1012" t="n">
        <v>0</v>
      </c>
      <c r="K1012" t="n">
        <v>0</v>
      </c>
      <c r="L1012" t="n">
        <v>0</v>
      </c>
      <c r="M1012" t="n">
        <v>0</v>
      </c>
      <c r="N1012" t="n">
        <v>0</v>
      </c>
      <c r="O1012" t="n">
        <v>0</v>
      </c>
      <c r="P1012" t="n">
        <v>0</v>
      </c>
      <c r="Q1012" t="n">
        <v>0</v>
      </c>
      <c r="R1012" s="2" t="inlineStr"/>
    </row>
    <row r="1013" ht="15" customHeight="1">
      <c r="A1013" t="inlineStr">
        <is>
          <t>A 29630-2023</t>
        </is>
      </c>
      <c r="B1013" s="1" t="n">
        <v>45107</v>
      </c>
      <c r="C1013" s="1" t="n">
        <v>45741</v>
      </c>
      <c r="D1013" t="inlineStr">
        <is>
          <t>JÄMTLANDS LÄN</t>
        </is>
      </c>
      <c r="E1013" t="inlineStr">
        <is>
          <t>KROKOM</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29936-2023</t>
        </is>
      </c>
      <c r="B1014" s="1" t="n">
        <v>45107</v>
      </c>
      <c r="C1014" s="1" t="n">
        <v>45741</v>
      </c>
      <c r="D1014" t="inlineStr">
        <is>
          <t>JÄMTLANDS LÄN</t>
        </is>
      </c>
      <c r="E1014" t="inlineStr">
        <is>
          <t>KROKOM</t>
        </is>
      </c>
      <c r="G1014" t="n">
        <v>77.40000000000001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32131-2023</t>
        </is>
      </c>
      <c r="B1015" s="1" t="n">
        <v>45107</v>
      </c>
      <c r="C1015" s="1" t="n">
        <v>45741</v>
      </c>
      <c r="D1015" t="inlineStr">
        <is>
          <t>JÄMTLANDS LÄN</t>
        </is>
      </c>
      <c r="E1015" t="inlineStr">
        <is>
          <t>KROKOM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32123-2023</t>
        </is>
      </c>
      <c r="B1016" s="1" t="n">
        <v>45107</v>
      </c>
      <c r="C1016" s="1" t="n">
        <v>45741</v>
      </c>
      <c r="D1016" t="inlineStr">
        <is>
          <t>JÄMTLANDS LÄN</t>
        </is>
      </c>
      <c r="E1016" t="inlineStr">
        <is>
          <t>KROKOM</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29986-2023</t>
        </is>
      </c>
      <c r="B1017" s="1" t="n">
        <v>45109</v>
      </c>
      <c r="C1017" s="1" t="n">
        <v>45741</v>
      </c>
      <c r="D1017" t="inlineStr">
        <is>
          <t>JÄMTLANDS LÄN</t>
        </is>
      </c>
      <c r="E1017" t="inlineStr">
        <is>
          <t>KROKOM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30314-2023</t>
        </is>
      </c>
      <c r="B1018" s="1" t="n">
        <v>45111</v>
      </c>
      <c r="C1018" s="1" t="n">
        <v>45741</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30486-2023</t>
        </is>
      </c>
      <c r="B1019" s="1" t="n">
        <v>45111</v>
      </c>
      <c r="C1019" s="1" t="n">
        <v>45741</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30488-2023</t>
        </is>
      </c>
      <c r="B1020" s="1" t="n">
        <v>45111</v>
      </c>
      <c r="C1020" s="1" t="n">
        <v>45741</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30429-2023</t>
        </is>
      </c>
      <c r="B1021" s="1" t="n">
        <v>45111</v>
      </c>
      <c r="C1021" s="1" t="n">
        <v>45741</v>
      </c>
      <c r="D1021" t="inlineStr">
        <is>
          <t>JÄMTLANDS LÄN</t>
        </is>
      </c>
      <c r="E1021" t="inlineStr">
        <is>
          <t>KROKOM</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30566-2023</t>
        </is>
      </c>
      <c r="B1022" s="1" t="n">
        <v>45112</v>
      </c>
      <c r="C1022" s="1" t="n">
        <v>45741</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30771-2023</t>
        </is>
      </c>
      <c r="B1023" s="1" t="n">
        <v>45112</v>
      </c>
      <c r="C1023" s="1" t="n">
        <v>45741</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32692-2023</t>
        </is>
      </c>
      <c r="B1024" s="1" t="n">
        <v>45112</v>
      </c>
      <c r="C1024" s="1" t="n">
        <v>45741</v>
      </c>
      <c r="D1024" t="inlineStr">
        <is>
          <t>JÄMTLANDS LÄN</t>
        </is>
      </c>
      <c r="E1024" t="inlineStr">
        <is>
          <t>KROKOM</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32650-2023</t>
        </is>
      </c>
      <c r="B1025" s="1" t="n">
        <v>45112</v>
      </c>
      <c r="C1025" s="1" t="n">
        <v>45741</v>
      </c>
      <c r="D1025" t="inlineStr">
        <is>
          <t>JÄMTLANDS LÄN</t>
        </is>
      </c>
      <c r="E1025" t="inlineStr">
        <is>
          <t>KROKOM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32881-2023</t>
        </is>
      </c>
      <c r="B1026" s="1" t="n">
        <v>45112</v>
      </c>
      <c r="C1026" s="1" t="n">
        <v>45741</v>
      </c>
      <c r="D1026" t="inlineStr">
        <is>
          <t>JÄMTLANDS LÄN</t>
        </is>
      </c>
      <c r="E1026" t="inlineStr">
        <is>
          <t>KROKOM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32837-2023</t>
        </is>
      </c>
      <c r="B1027" s="1" t="n">
        <v>45112</v>
      </c>
      <c r="C1027" s="1" t="n">
        <v>45741</v>
      </c>
      <c r="D1027" t="inlineStr">
        <is>
          <t>JÄMTLANDS LÄN</t>
        </is>
      </c>
      <c r="E1027" t="inlineStr">
        <is>
          <t>KROKOM</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31386-2023</t>
        </is>
      </c>
      <c r="B1028" s="1" t="n">
        <v>45114</v>
      </c>
      <c r="C1028" s="1" t="n">
        <v>45741</v>
      </c>
      <c r="D1028" t="inlineStr">
        <is>
          <t>JÄMTLANDS LÄN</t>
        </is>
      </c>
      <c r="E1028" t="inlineStr">
        <is>
          <t>KROKOM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31395-2023</t>
        </is>
      </c>
      <c r="B1029" s="1" t="n">
        <v>45114</v>
      </c>
      <c r="C1029" s="1" t="n">
        <v>45741</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31580-2023</t>
        </is>
      </c>
      <c r="B1030" s="1" t="n">
        <v>45117</v>
      </c>
      <c r="C1030" s="1" t="n">
        <v>45741</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31584-2023</t>
        </is>
      </c>
      <c r="B1031" s="1" t="n">
        <v>45117</v>
      </c>
      <c r="C1031" s="1" t="n">
        <v>45741</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31537-2023</t>
        </is>
      </c>
      <c r="B1032" s="1" t="n">
        <v>45117</v>
      </c>
      <c r="C1032" s="1" t="n">
        <v>45741</v>
      </c>
      <c r="D1032" t="inlineStr">
        <is>
          <t>JÄMTLANDS LÄN</t>
        </is>
      </c>
      <c r="E1032" t="inlineStr">
        <is>
          <t>KROKOM</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31538-2023</t>
        </is>
      </c>
      <c r="B1033" s="1" t="n">
        <v>45117</v>
      </c>
      <c r="C1033" s="1" t="n">
        <v>45741</v>
      </c>
      <c r="D1033" t="inlineStr">
        <is>
          <t>JÄMTLANDS LÄN</t>
        </is>
      </c>
      <c r="E1033" t="inlineStr">
        <is>
          <t>KROKOM</t>
        </is>
      </c>
      <c r="F1033" t="inlineStr">
        <is>
          <t>Övriga Aktiebolag</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31601-2023</t>
        </is>
      </c>
      <c r="B1034" s="1" t="n">
        <v>45117</v>
      </c>
      <c r="C1034" s="1" t="n">
        <v>45741</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31550-2023</t>
        </is>
      </c>
      <c r="B1035" s="1" t="n">
        <v>45117</v>
      </c>
      <c r="C1035" s="1" t="n">
        <v>45741</v>
      </c>
      <c r="D1035" t="inlineStr">
        <is>
          <t>JÄMTLANDS LÄN</t>
        </is>
      </c>
      <c r="E1035" t="inlineStr">
        <is>
          <t>KROKOM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31927-2023</t>
        </is>
      </c>
      <c r="B1036" s="1" t="n">
        <v>45119</v>
      </c>
      <c r="C1036" s="1" t="n">
        <v>45741</v>
      </c>
      <c r="D1036" t="inlineStr">
        <is>
          <t>JÄMTLANDS LÄN</t>
        </is>
      </c>
      <c r="E1036" t="inlineStr">
        <is>
          <t>KROKOM</t>
        </is>
      </c>
      <c r="G1036" t="n">
        <v>56.6</v>
      </c>
      <c r="H1036" t="n">
        <v>0</v>
      </c>
      <c r="I1036" t="n">
        <v>0</v>
      </c>
      <c r="J1036" t="n">
        <v>0</v>
      </c>
      <c r="K1036" t="n">
        <v>0</v>
      </c>
      <c r="L1036" t="n">
        <v>0</v>
      </c>
      <c r="M1036" t="n">
        <v>0</v>
      </c>
      <c r="N1036" t="n">
        <v>0</v>
      </c>
      <c r="O1036" t="n">
        <v>0</v>
      </c>
      <c r="P1036" t="n">
        <v>0</v>
      </c>
      <c r="Q1036" t="n">
        <v>0</v>
      </c>
      <c r="R1036" s="2" t="inlineStr"/>
    </row>
    <row r="1037" ht="15" customHeight="1">
      <c r="A1037" t="inlineStr">
        <is>
          <t>A 31877-2023</t>
        </is>
      </c>
      <c r="B1037" s="1" t="n">
        <v>45118</v>
      </c>
      <c r="C1037" s="1" t="n">
        <v>45741</v>
      </c>
      <c r="D1037" t="inlineStr">
        <is>
          <t>JÄMTLANDS LÄN</t>
        </is>
      </c>
      <c r="E1037" t="inlineStr">
        <is>
          <t>KROKOM</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32019-2023</t>
        </is>
      </c>
      <c r="B1038" s="1" t="n">
        <v>45119</v>
      </c>
      <c r="C1038" s="1" t="n">
        <v>45741</v>
      </c>
      <c r="D1038" t="inlineStr">
        <is>
          <t>JÄMTLANDS LÄN</t>
        </is>
      </c>
      <c r="E1038" t="inlineStr">
        <is>
          <t>KROKOM</t>
        </is>
      </c>
      <c r="F1038" t="inlineStr">
        <is>
          <t>Övriga Aktiebolag</t>
        </is>
      </c>
      <c r="G1038" t="n">
        <v>37.5</v>
      </c>
      <c r="H1038" t="n">
        <v>0</v>
      </c>
      <c r="I1038" t="n">
        <v>0</v>
      </c>
      <c r="J1038" t="n">
        <v>0</v>
      </c>
      <c r="K1038" t="n">
        <v>0</v>
      </c>
      <c r="L1038" t="n">
        <v>0</v>
      </c>
      <c r="M1038" t="n">
        <v>0</v>
      </c>
      <c r="N1038" t="n">
        <v>0</v>
      </c>
      <c r="O1038" t="n">
        <v>0</v>
      </c>
      <c r="P1038" t="n">
        <v>0</v>
      </c>
      <c r="Q1038" t="n">
        <v>0</v>
      </c>
      <c r="R1038" s="2" t="inlineStr"/>
    </row>
    <row r="1039" ht="15" customHeight="1">
      <c r="A1039" t="inlineStr">
        <is>
          <t>A 32090-2023</t>
        </is>
      </c>
      <c r="B1039" s="1" t="n">
        <v>45119</v>
      </c>
      <c r="C1039" s="1" t="n">
        <v>45741</v>
      </c>
      <c r="D1039" t="inlineStr">
        <is>
          <t>JÄMTLANDS LÄN</t>
        </is>
      </c>
      <c r="E1039" t="inlineStr">
        <is>
          <t>KROKOM</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33653-2023</t>
        </is>
      </c>
      <c r="B1040" s="1" t="n">
        <v>45119</v>
      </c>
      <c r="C1040" s="1" t="n">
        <v>45741</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32676-2023</t>
        </is>
      </c>
      <c r="B1041" s="1" t="n">
        <v>45121</v>
      </c>
      <c r="C1041" s="1" t="n">
        <v>45741</v>
      </c>
      <c r="D1041" t="inlineStr">
        <is>
          <t>JÄMTLANDS LÄN</t>
        </is>
      </c>
      <c r="E1041" t="inlineStr">
        <is>
          <t>KROKOM</t>
        </is>
      </c>
      <c r="F1041" t="inlineStr">
        <is>
          <t>Övriga Aktiebolag</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32765-2023</t>
        </is>
      </c>
      <c r="B1042" s="1" t="n">
        <v>45123</v>
      </c>
      <c r="C1042" s="1" t="n">
        <v>45741</v>
      </c>
      <c r="D1042" t="inlineStr">
        <is>
          <t>JÄMTLANDS LÄN</t>
        </is>
      </c>
      <c r="E1042" t="inlineStr">
        <is>
          <t>KROKOM</t>
        </is>
      </c>
      <c r="F1042" t="inlineStr">
        <is>
          <t>Övriga Aktiebolag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34070-2023</t>
        </is>
      </c>
      <c r="B1043" s="1" t="n">
        <v>45125</v>
      </c>
      <c r="C1043" s="1" t="n">
        <v>45741</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34502-2023</t>
        </is>
      </c>
      <c r="B1044" s="1" t="n">
        <v>45133</v>
      </c>
      <c r="C1044" s="1" t="n">
        <v>45741</v>
      </c>
      <c r="D1044" t="inlineStr">
        <is>
          <t>JÄMTLANDS LÄN</t>
        </is>
      </c>
      <c r="E1044" t="inlineStr">
        <is>
          <t>KROKOM</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34155-2023</t>
        </is>
      </c>
      <c r="B1045" s="1" t="n">
        <v>45137</v>
      </c>
      <c r="C1045" s="1" t="n">
        <v>45741</v>
      </c>
      <c r="D1045" t="inlineStr">
        <is>
          <t>JÄMTLANDS LÄN</t>
        </is>
      </c>
      <c r="E1045" t="inlineStr">
        <is>
          <t>KROKOM</t>
        </is>
      </c>
      <c r="F1045" t="inlineStr">
        <is>
          <t>Övriga Aktiebolag</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34720-2023</t>
        </is>
      </c>
      <c r="B1046" s="1" t="n">
        <v>45139</v>
      </c>
      <c r="C1046" s="1" t="n">
        <v>45741</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34801-2023</t>
        </is>
      </c>
      <c r="B1047" s="1" t="n">
        <v>45140</v>
      </c>
      <c r="C1047" s="1" t="n">
        <v>45741</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34803-2023</t>
        </is>
      </c>
      <c r="B1048" s="1" t="n">
        <v>45140</v>
      </c>
      <c r="C1048" s="1" t="n">
        <v>45741</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35257-2023</t>
        </is>
      </c>
      <c r="B1049" s="1" t="n">
        <v>45146</v>
      </c>
      <c r="C1049" s="1" t="n">
        <v>45741</v>
      </c>
      <c r="D1049" t="inlineStr">
        <is>
          <t>JÄMTLANDS LÄN</t>
        </is>
      </c>
      <c r="E1049" t="inlineStr">
        <is>
          <t>KROKOM</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35281-2023</t>
        </is>
      </c>
      <c r="B1050" s="1" t="n">
        <v>45146</v>
      </c>
      <c r="C1050" s="1" t="n">
        <v>45741</v>
      </c>
      <c r="D1050" t="inlineStr">
        <is>
          <t>JÄMTLANDS LÄN</t>
        </is>
      </c>
      <c r="E1050" t="inlineStr">
        <is>
          <t>KROKOM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35282-2023</t>
        </is>
      </c>
      <c r="B1051" s="1" t="n">
        <v>45146</v>
      </c>
      <c r="C1051" s="1" t="n">
        <v>45741</v>
      </c>
      <c r="D1051" t="inlineStr">
        <is>
          <t>JÄMTLANDS LÄN</t>
        </is>
      </c>
      <c r="E1051" t="inlineStr">
        <is>
          <t>KROKOM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35334-2023</t>
        </is>
      </c>
      <c r="B1052" s="1" t="n">
        <v>45146</v>
      </c>
      <c r="C1052" s="1" t="n">
        <v>45741</v>
      </c>
      <c r="D1052" t="inlineStr">
        <is>
          <t>JÄMTLANDS LÄN</t>
        </is>
      </c>
      <c r="E1052" t="inlineStr">
        <is>
          <t>KROKOM</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35350-2023</t>
        </is>
      </c>
      <c r="B1053" s="1" t="n">
        <v>45146</v>
      </c>
      <c r="C1053" s="1" t="n">
        <v>45741</v>
      </c>
      <c r="D1053" t="inlineStr">
        <is>
          <t>JÄMTLANDS LÄN</t>
        </is>
      </c>
      <c r="E1053" t="inlineStr">
        <is>
          <t>KROKOM</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35887-2023</t>
        </is>
      </c>
      <c r="B1054" s="1" t="n">
        <v>45148</v>
      </c>
      <c r="C1054" s="1" t="n">
        <v>45741</v>
      </c>
      <c r="D1054" t="inlineStr">
        <is>
          <t>JÄMTLANDS LÄN</t>
        </is>
      </c>
      <c r="E1054" t="inlineStr">
        <is>
          <t>KROKOM</t>
        </is>
      </c>
      <c r="F1054" t="inlineStr">
        <is>
          <t>Övriga Aktiebolag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36396-2023</t>
        </is>
      </c>
      <c r="B1055" s="1" t="n">
        <v>45149</v>
      </c>
      <c r="C1055" s="1" t="n">
        <v>45741</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36439-2023</t>
        </is>
      </c>
      <c r="B1056" s="1" t="n">
        <v>45152</v>
      </c>
      <c r="C1056" s="1" t="n">
        <v>45741</v>
      </c>
      <c r="D1056" t="inlineStr">
        <is>
          <t>JÄMTLANDS LÄN</t>
        </is>
      </c>
      <c r="E1056" t="inlineStr">
        <is>
          <t>KROKOM</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36424-2023</t>
        </is>
      </c>
      <c r="B1057" s="1" t="n">
        <v>45152</v>
      </c>
      <c r="C1057" s="1" t="n">
        <v>45741</v>
      </c>
      <c r="D1057" t="inlineStr">
        <is>
          <t>JÄMTLANDS LÄN</t>
        </is>
      </c>
      <c r="E1057" t="inlineStr">
        <is>
          <t>KROKOM</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36488-2023</t>
        </is>
      </c>
      <c r="B1058" s="1" t="n">
        <v>45152</v>
      </c>
      <c r="C1058" s="1" t="n">
        <v>45741</v>
      </c>
      <c r="D1058" t="inlineStr">
        <is>
          <t>JÄMTLANDS LÄN</t>
        </is>
      </c>
      <c r="E1058" t="inlineStr">
        <is>
          <t>KROKOM</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36535-2023</t>
        </is>
      </c>
      <c r="B1059" s="1" t="n">
        <v>45152</v>
      </c>
      <c r="C1059" s="1" t="n">
        <v>45741</v>
      </c>
      <c r="D1059" t="inlineStr">
        <is>
          <t>JÄMTLANDS LÄN</t>
        </is>
      </c>
      <c r="E1059" t="inlineStr">
        <is>
          <t>KROKOM</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36990-2023</t>
        </is>
      </c>
      <c r="B1060" s="1" t="n">
        <v>45154</v>
      </c>
      <c r="C1060" s="1" t="n">
        <v>45741</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37019-2023</t>
        </is>
      </c>
      <c r="B1061" s="1" t="n">
        <v>45155</v>
      </c>
      <c r="C1061" s="1" t="n">
        <v>45741</v>
      </c>
      <c r="D1061" t="inlineStr">
        <is>
          <t>JÄMTLANDS LÄN</t>
        </is>
      </c>
      <c r="E1061" t="inlineStr">
        <is>
          <t>KROKOM</t>
        </is>
      </c>
      <c r="F1061" t="inlineStr">
        <is>
          <t>Kyrkan</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37844-2023</t>
        </is>
      </c>
      <c r="B1062" s="1" t="n">
        <v>45158</v>
      </c>
      <c r="C1062" s="1" t="n">
        <v>45741</v>
      </c>
      <c r="D1062" t="inlineStr">
        <is>
          <t>JÄMTLANDS LÄN</t>
        </is>
      </c>
      <c r="E1062" t="inlineStr">
        <is>
          <t>KROKOM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37946-2023</t>
        </is>
      </c>
      <c r="B1063" s="1" t="n">
        <v>45159</v>
      </c>
      <c r="C1063" s="1" t="n">
        <v>45741</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38043-2023</t>
        </is>
      </c>
      <c r="B1064" s="1" t="n">
        <v>45160</v>
      </c>
      <c r="C1064" s="1" t="n">
        <v>45741</v>
      </c>
      <c r="D1064" t="inlineStr">
        <is>
          <t>JÄMTLANDS LÄN</t>
        </is>
      </c>
      <c r="E1064" t="inlineStr">
        <is>
          <t>KROKOM</t>
        </is>
      </c>
      <c r="F1064" t="inlineStr">
        <is>
          <t>Övriga Aktiebolag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38589-2023</t>
        </is>
      </c>
      <c r="B1065" s="1" t="n">
        <v>45162</v>
      </c>
      <c r="C1065" s="1" t="n">
        <v>45741</v>
      </c>
      <c r="D1065" t="inlineStr">
        <is>
          <t>JÄMTLANDS LÄN</t>
        </is>
      </c>
      <c r="E1065" t="inlineStr">
        <is>
          <t>KROKOM</t>
        </is>
      </c>
      <c r="F1065" t="inlineStr">
        <is>
          <t>Övriga Aktiebolag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39063-2023</t>
        </is>
      </c>
      <c r="B1066" s="1" t="n">
        <v>45163</v>
      </c>
      <c r="C1066" s="1" t="n">
        <v>45741</v>
      </c>
      <c r="D1066" t="inlineStr">
        <is>
          <t>JÄMTLANDS LÄN</t>
        </is>
      </c>
      <c r="E1066" t="inlineStr">
        <is>
          <t>KROKOM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39078-2023</t>
        </is>
      </c>
      <c r="B1067" s="1" t="n">
        <v>45164</v>
      </c>
      <c r="C1067" s="1" t="n">
        <v>45741</v>
      </c>
      <c r="D1067" t="inlineStr">
        <is>
          <t>JÄMTLANDS LÄN</t>
        </is>
      </c>
      <c r="E1067" t="inlineStr">
        <is>
          <t>KROKOM</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39127-2023</t>
        </is>
      </c>
      <c r="B1068" s="1" t="n">
        <v>45165</v>
      </c>
      <c r="C1068" s="1" t="n">
        <v>45741</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39126-2023</t>
        </is>
      </c>
      <c r="B1069" s="1" t="n">
        <v>45165</v>
      </c>
      <c r="C1069" s="1" t="n">
        <v>45741</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39169-2023</t>
        </is>
      </c>
      <c r="B1070" s="1" t="n">
        <v>45166</v>
      </c>
      <c r="C1070" s="1" t="n">
        <v>45741</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39701-2023</t>
        </is>
      </c>
      <c r="B1071" s="1" t="n">
        <v>45166</v>
      </c>
      <c r="C1071" s="1" t="n">
        <v>45741</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39563-2023</t>
        </is>
      </c>
      <c r="B1072" s="1" t="n">
        <v>45167</v>
      </c>
      <c r="C1072" s="1" t="n">
        <v>45741</v>
      </c>
      <c r="D1072" t="inlineStr">
        <is>
          <t>JÄMTLANDS LÄN</t>
        </is>
      </c>
      <c r="E1072" t="inlineStr">
        <is>
          <t>KROKOM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39683-2023</t>
        </is>
      </c>
      <c r="B1073" s="1" t="n">
        <v>45167</v>
      </c>
      <c r="C1073" s="1" t="n">
        <v>45741</v>
      </c>
      <c r="D1073" t="inlineStr">
        <is>
          <t>JÄMTLANDS LÄN</t>
        </is>
      </c>
      <c r="E1073" t="inlineStr">
        <is>
          <t>KROKOM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39902-2023</t>
        </is>
      </c>
      <c r="B1074" s="1" t="n">
        <v>45168</v>
      </c>
      <c r="C1074" s="1" t="n">
        <v>45741</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40364-2023</t>
        </is>
      </c>
      <c r="B1075" s="1" t="n">
        <v>45168</v>
      </c>
      <c r="C1075" s="1" t="n">
        <v>45741</v>
      </c>
      <c r="D1075" t="inlineStr">
        <is>
          <t>JÄMTLANDS LÄN</t>
        </is>
      </c>
      <c r="E1075" t="inlineStr">
        <is>
          <t>KROKOM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41090-2023</t>
        </is>
      </c>
      <c r="B1076" s="1" t="n">
        <v>45173</v>
      </c>
      <c r="C1076" s="1" t="n">
        <v>45741</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41142-2023</t>
        </is>
      </c>
      <c r="B1077" s="1" t="n">
        <v>45173</v>
      </c>
      <c r="C1077" s="1" t="n">
        <v>45741</v>
      </c>
      <c r="D1077" t="inlineStr">
        <is>
          <t>JÄMTLANDS LÄN</t>
        </is>
      </c>
      <c r="E1077" t="inlineStr">
        <is>
          <t>KROKOM</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41543-2023</t>
        </is>
      </c>
      <c r="B1078" s="1" t="n">
        <v>45173</v>
      </c>
      <c r="C1078" s="1" t="n">
        <v>45741</v>
      </c>
      <c r="D1078" t="inlineStr">
        <is>
          <t>JÄMTLANDS LÄN</t>
        </is>
      </c>
      <c r="E1078" t="inlineStr">
        <is>
          <t>KROKOM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41553-2023</t>
        </is>
      </c>
      <c r="B1079" s="1" t="n">
        <v>45173</v>
      </c>
      <c r="C1079" s="1" t="n">
        <v>45741</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41769-2023</t>
        </is>
      </c>
      <c r="B1080" s="1" t="n">
        <v>45176</v>
      </c>
      <c r="C1080" s="1" t="n">
        <v>45741</v>
      </c>
      <c r="D1080" t="inlineStr">
        <is>
          <t>JÄMTLANDS LÄN</t>
        </is>
      </c>
      <c r="E1080" t="inlineStr">
        <is>
          <t>KROKOM</t>
        </is>
      </c>
      <c r="F1080" t="inlineStr">
        <is>
          <t>Övriga Aktiebolag</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41784-2023</t>
        </is>
      </c>
      <c r="B1081" s="1" t="n">
        <v>45176</v>
      </c>
      <c r="C1081" s="1" t="n">
        <v>45741</v>
      </c>
      <c r="D1081" t="inlineStr">
        <is>
          <t>JÄMTLANDS LÄN</t>
        </is>
      </c>
      <c r="E1081" t="inlineStr">
        <is>
          <t>KROKOM</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42154-2023</t>
        </is>
      </c>
      <c r="B1082" s="1" t="n">
        <v>45177</v>
      </c>
      <c r="C1082" s="1" t="n">
        <v>45741</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42155-2023</t>
        </is>
      </c>
      <c r="B1083" s="1" t="n">
        <v>45177</v>
      </c>
      <c r="C1083" s="1" t="n">
        <v>45741</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42372-2023</t>
        </is>
      </c>
      <c r="B1084" s="1" t="n">
        <v>45180</v>
      </c>
      <c r="C1084" s="1" t="n">
        <v>45741</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42422-2023</t>
        </is>
      </c>
      <c r="B1085" s="1" t="n">
        <v>45180</v>
      </c>
      <c r="C1085" s="1" t="n">
        <v>45741</v>
      </c>
      <c r="D1085" t="inlineStr">
        <is>
          <t>JÄMTLANDS LÄN</t>
        </is>
      </c>
      <c r="E1085" t="inlineStr">
        <is>
          <t>KROKOM</t>
        </is>
      </c>
      <c r="F1085" t="inlineStr">
        <is>
          <t>Övriga Aktiebolag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42369-2023</t>
        </is>
      </c>
      <c r="B1086" s="1" t="n">
        <v>45180</v>
      </c>
      <c r="C1086" s="1" t="n">
        <v>45741</v>
      </c>
      <c r="D1086" t="inlineStr">
        <is>
          <t>JÄMTLANDS LÄN</t>
        </is>
      </c>
      <c r="E1086" t="inlineStr">
        <is>
          <t>KROKOM</t>
        </is>
      </c>
      <c r="F1086" t="inlineStr">
        <is>
          <t>Övriga Aktiebolag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42437-2023</t>
        </is>
      </c>
      <c r="B1087" s="1" t="n">
        <v>45180</v>
      </c>
      <c r="C1087" s="1" t="n">
        <v>45741</v>
      </c>
      <c r="D1087" t="inlineStr">
        <is>
          <t>JÄMTLANDS LÄN</t>
        </is>
      </c>
      <c r="E1087" t="inlineStr">
        <is>
          <t>KROKOM</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42417-2023</t>
        </is>
      </c>
      <c r="B1088" s="1" t="n">
        <v>45180</v>
      </c>
      <c r="C1088" s="1" t="n">
        <v>45741</v>
      </c>
      <c r="D1088" t="inlineStr">
        <is>
          <t>JÄMTLANDS LÄN</t>
        </is>
      </c>
      <c r="E1088" t="inlineStr">
        <is>
          <t>KROKOM</t>
        </is>
      </c>
      <c r="F1088" t="inlineStr">
        <is>
          <t>Övriga Aktiebolag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42439-2023</t>
        </is>
      </c>
      <c r="B1089" s="1" t="n">
        <v>45180</v>
      </c>
      <c r="C1089" s="1" t="n">
        <v>45741</v>
      </c>
      <c r="D1089" t="inlineStr">
        <is>
          <t>JÄMTLANDS LÄN</t>
        </is>
      </c>
      <c r="E1089" t="inlineStr">
        <is>
          <t>KROKOM</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42424-2023</t>
        </is>
      </c>
      <c r="B1090" s="1" t="n">
        <v>45180</v>
      </c>
      <c r="C1090" s="1" t="n">
        <v>45741</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42828-2023</t>
        </is>
      </c>
      <c r="B1091" s="1" t="n">
        <v>45182</v>
      </c>
      <c r="C1091" s="1" t="n">
        <v>45741</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42816-2023</t>
        </is>
      </c>
      <c r="B1092" s="1" t="n">
        <v>45182</v>
      </c>
      <c r="C1092" s="1" t="n">
        <v>45741</v>
      </c>
      <c r="D1092" t="inlineStr">
        <is>
          <t>JÄMTLANDS LÄN</t>
        </is>
      </c>
      <c r="E1092" t="inlineStr">
        <is>
          <t>KROKOM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42825-2023</t>
        </is>
      </c>
      <c r="B1093" s="1" t="n">
        <v>45182</v>
      </c>
      <c r="C1093" s="1" t="n">
        <v>45741</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44751-2023</t>
        </is>
      </c>
      <c r="B1094" s="1" t="n">
        <v>45184</v>
      </c>
      <c r="C1094" s="1" t="n">
        <v>45741</v>
      </c>
      <c r="D1094" t="inlineStr">
        <is>
          <t>JÄMTLANDS LÄN</t>
        </is>
      </c>
      <c r="E1094" t="inlineStr">
        <is>
          <t>KROKOM</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44594-2023</t>
        </is>
      </c>
      <c r="B1095" s="1" t="n">
        <v>45189</v>
      </c>
      <c r="C1095" s="1" t="n">
        <v>45741</v>
      </c>
      <c r="D1095" t="inlineStr">
        <is>
          <t>JÄMTLANDS LÄN</t>
        </is>
      </c>
      <c r="E1095" t="inlineStr">
        <is>
          <t>KROKOM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44453-2023</t>
        </is>
      </c>
      <c r="B1096" s="1" t="n">
        <v>45189</v>
      </c>
      <c r="C1096" s="1" t="n">
        <v>45741</v>
      </c>
      <c r="D1096" t="inlineStr">
        <is>
          <t>JÄMTLANDS LÄN</t>
        </is>
      </c>
      <c r="E1096" t="inlineStr">
        <is>
          <t>KROKOM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46061-2023</t>
        </is>
      </c>
      <c r="B1097" s="1" t="n">
        <v>45190</v>
      </c>
      <c r="C1097" s="1" t="n">
        <v>45741</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46046-2023</t>
        </is>
      </c>
      <c r="B1098" s="1" t="n">
        <v>45190</v>
      </c>
      <c r="C1098" s="1" t="n">
        <v>45741</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45455-2023</t>
        </is>
      </c>
      <c r="B1099" s="1" t="n">
        <v>45194</v>
      </c>
      <c r="C1099" s="1" t="n">
        <v>45741</v>
      </c>
      <c r="D1099" t="inlineStr">
        <is>
          <t>JÄMTLANDS LÄN</t>
        </is>
      </c>
      <c r="E1099" t="inlineStr">
        <is>
          <t>KROKOM</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45494-2023</t>
        </is>
      </c>
      <c r="B1100" s="1" t="n">
        <v>45194</v>
      </c>
      <c r="C1100" s="1" t="n">
        <v>45741</v>
      </c>
      <c r="D1100" t="inlineStr">
        <is>
          <t>JÄMTLANDS LÄN</t>
        </is>
      </c>
      <c r="E1100" t="inlineStr">
        <is>
          <t>KROKOM</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46676-2023</t>
        </is>
      </c>
      <c r="B1101" s="1" t="n">
        <v>45194</v>
      </c>
      <c r="C1101" s="1" t="n">
        <v>45741</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45786-2023</t>
        </is>
      </c>
      <c r="B1102" s="1" t="n">
        <v>45195</v>
      </c>
      <c r="C1102" s="1" t="n">
        <v>45741</v>
      </c>
      <c r="D1102" t="inlineStr">
        <is>
          <t>JÄMTLANDS LÄN</t>
        </is>
      </c>
      <c r="E1102" t="inlineStr">
        <is>
          <t>KROKOM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45822-2023</t>
        </is>
      </c>
      <c r="B1103" s="1" t="n">
        <v>45195</v>
      </c>
      <c r="C1103" s="1" t="n">
        <v>45741</v>
      </c>
      <c r="D1103" t="inlineStr">
        <is>
          <t>JÄMTLANDS LÄN</t>
        </is>
      </c>
      <c r="E1103" t="inlineStr">
        <is>
          <t>KROKOM</t>
        </is>
      </c>
      <c r="F1103" t="inlineStr">
        <is>
          <t>Övriga Aktiebolag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45827-2023</t>
        </is>
      </c>
      <c r="B1104" s="1" t="n">
        <v>45195</v>
      </c>
      <c r="C1104" s="1" t="n">
        <v>45741</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46592-2023</t>
        </is>
      </c>
      <c r="B1105" s="1" t="n">
        <v>45198</v>
      </c>
      <c r="C1105" s="1" t="n">
        <v>45741</v>
      </c>
      <c r="D1105" t="inlineStr">
        <is>
          <t>JÄMTLANDS LÄN</t>
        </is>
      </c>
      <c r="E1105" t="inlineStr">
        <is>
          <t>KROKOM</t>
        </is>
      </c>
      <c r="F1105" t="inlineStr">
        <is>
          <t>Övriga Aktiebolag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46626-2023</t>
        </is>
      </c>
      <c r="B1106" s="1" t="n">
        <v>45198</v>
      </c>
      <c r="C1106" s="1" t="n">
        <v>45741</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46636-2023</t>
        </is>
      </c>
      <c r="B1107" s="1" t="n">
        <v>45198</v>
      </c>
      <c r="C1107" s="1" t="n">
        <v>45741</v>
      </c>
      <c r="D1107" t="inlineStr">
        <is>
          <t>JÄMTLANDS LÄN</t>
        </is>
      </c>
      <c r="E1107" t="inlineStr">
        <is>
          <t>KROKOM</t>
        </is>
      </c>
      <c r="F1107" t="inlineStr">
        <is>
          <t>Övriga Aktiebolag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46632-2023</t>
        </is>
      </c>
      <c r="B1108" s="1" t="n">
        <v>45198</v>
      </c>
      <c r="C1108" s="1" t="n">
        <v>45741</v>
      </c>
      <c r="D1108" t="inlineStr">
        <is>
          <t>JÄMTLANDS LÄN</t>
        </is>
      </c>
      <c r="E1108" t="inlineStr">
        <is>
          <t>KROKOM</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46820-2023</t>
        </is>
      </c>
      <c r="B1109" s="1" t="n">
        <v>45199</v>
      </c>
      <c r="C1109" s="1" t="n">
        <v>45741</v>
      </c>
      <c r="D1109" t="inlineStr">
        <is>
          <t>JÄMTLANDS LÄN</t>
        </is>
      </c>
      <c r="E1109" t="inlineStr">
        <is>
          <t>KROKOM</t>
        </is>
      </c>
      <c r="F1109" t="inlineStr">
        <is>
          <t>SCA</t>
        </is>
      </c>
      <c r="G1109" t="n">
        <v>60.6</v>
      </c>
      <c r="H1109" t="n">
        <v>0</v>
      </c>
      <c r="I1109" t="n">
        <v>0</v>
      </c>
      <c r="J1109" t="n">
        <v>0</v>
      </c>
      <c r="K1109" t="n">
        <v>0</v>
      </c>
      <c r="L1109" t="n">
        <v>0</v>
      </c>
      <c r="M1109" t="n">
        <v>0</v>
      </c>
      <c r="N1109" t="n">
        <v>0</v>
      </c>
      <c r="O1109" t="n">
        <v>0</v>
      </c>
      <c r="P1109" t="n">
        <v>0</v>
      </c>
      <c r="Q1109" t="n">
        <v>0</v>
      </c>
      <c r="R1109" s="2" t="inlineStr"/>
    </row>
    <row r="1110" ht="15" customHeight="1">
      <c r="A1110" t="inlineStr">
        <is>
          <t>A 46832-2023</t>
        </is>
      </c>
      <c r="B1110" s="1" t="n">
        <v>45199</v>
      </c>
      <c r="C1110" s="1" t="n">
        <v>45741</v>
      </c>
      <c r="D1110" t="inlineStr">
        <is>
          <t>JÄMTLANDS LÄN</t>
        </is>
      </c>
      <c r="E1110" t="inlineStr">
        <is>
          <t>KROKOM</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46841-2023</t>
        </is>
      </c>
      <c r="B1111" s="1" t="n">
        <v>45199</v>
      </c>
      <c r="C1111" s="1" t="n">
        <v>45741</v>
      </c>
      <c r="D1111" t="inlineStr">
        <is>
          <t>JÄMTLANDS LÄN</t>
        </is>
      </c>
      <c r="E1111" t="inlineStr">
        <is>
          <t>KROKOM</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47073-2023</t>
        </is>
      </c>
      <c r="B1112" s="1" t="n">
        <v>45201</v>
      </c>
      <c r="C1112" s="1" t="n">
        <v>45741</v>
      </c>
      <c r="D1112" t="inlineStr">
        <is>
          <t>JÄMTLANDS LÄN</t>
        </is>
      </c>
      <c r="E1112" t="inlineStr">
        <is>
          <t>KROKOM</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48161-2023</t>
        </is>
      </c>
      <c r="B1113" s="1" t="n">
        <v>45201</v>
      </c>
      <c r="C1113" s="1" t="n">
        <v>45741</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47726-2023</t>
        </is>
      </c>
      <c r="B1114" s="1" t="n">
        <v>45203</v>
      </c>
      <c r="C1114" s="1" t="n">
        <v>45741</v>
      </c>
      <c r="D1114" t="inlineStr">
        <is>
          <t>JÄMTLANDS LÄN</t>
        </is>
      </c>
      <c r="E1114" t="inlineStr">
        <is>
          <t>KROKOM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47625-2023</t>
        </is>
      </c>
      <c r="B1115" s="1" t="n">
        <v>45203</v>
      </c>
      <c r="C1115" s="1" t="n">
        <v>45741</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47587-2023</t>
        </is>
      </c>
      <c r="B1116" s="1" t="n">
        <v>45203</v>
      </c>
      <c r="C1116" s="1" t="n">
        <v>45741</v>
      </c>
      <c r="D1116" t="inlineStr">
        <is>
          <t>JÄMTLANDS LÄN</t>
        </is>
      </c>
      <c r="E1116" t="inlineStr">
        <is>
          <t>KROKOM</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47606-2023</t>
        </is>
      </c>
      <c r="B1117" s="1" t="n">
        <v>45203</v>
      </c>
      <c r="C1117" s="1" t="n">
        <v>45741</v>
      </c>
      <c r="D1117" t="inlineStr">
        <is>
          <t>JÄMTLANDS LÄN</t>
        </is>
      </c>
      <c r="E1117" t="inlineStr">
        <is>
          <t>KROKOM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47623-2023</t>
        </is>
      </c>
      <c r="B1118" s="1" t="n">
        <v>45203</v>
      </c>
      <c r="C1118" s="1" t="n">
        <v>45741</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47596-2023</t>
        </is>
      </c>
      <c r="B1119" s="1" t="n">
        <v>45203</v>
      </c>
      <c r="C1119" s="1" t="n">
        <v>45741</v>
      </c>
      <c r="D1119" t="inlineStr">
        <is>
          <t>JÄMTLANDS LÄN</t>
        </is>
      </c>
      <c r="E1119" t="inlineStr">
        <is>
          <t>KROKOM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47635-2023</t>
        </is>
      </c>
      <c r="B1120" s="1" t="n">
        <v>45203</v>
      </c>
      <c r="C1120" s="1" t="n">
        <v>45741</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47838-2023</t>
        </is>
      </c>
      <c r="B1121" s="1" t="n">
        <v>45204</v>
      </c>
      <c r="C1121" s="1" t="n">
        <v>45741</v>
      </c>
      <c r="D1121" t="inlineStr">
        <is>
          <t>JÄMTLANDS LÄN</t>
        </is>
      </c>
      <c r="E1121" t="inlineStr">
        <is>
          <t>KROKOM</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47850-2023</t>
        </is>
      </c>
      <c r="B1122" s="1" t="n">
        <v>45204</v>
      </c>
      <c r="C1122" s="1" t="n">
        <v>45741</v>
      </c>
      <c r="D1122" t="inlineStr">
        <is>
          <t>JÄMTLANDS LÄN</t>
        </is>
      </c>
      <c r="E1122" t="inlineStr">
        <is>
          <t>KROKOM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49380-2023</t>
        </is>
      </c>
      <c r="B1123" s="1" t="n">
        <v>45205</v>
      </c>
      <c r="C1123" s="1" t="n">
        <v>45741</v>
      </c>
      <c r="D1123" t="inlineStr">
        <is>
          <t>JÄMTLANDS LÄN</t>
        </is>
      </c>
      <c r="E1123" t="inlineStr">
        <is>
          <t>KROKOM</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49438-2023</t>
        </is>
      </c>
      <c r="B1124" s="1" t="n">
        <v>45205</v>
      </c>
      <c r="C1124" s="1" t="n">
        <v>45741</v>
      </c>
      <c r="D1124" t="inlineStr">
        <is>
          <t>JÄMTLANDS LÄN</t>
        </is>
      </c>
      <c r="E1124" t="inlineStr">
        <is>
          <t>KROKOM</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49536-2023</t>
        </is>
      </c>
      <c r="B1125" s="1" t="n">
        <v>45205</v>
      </c>
      <c r="C1125" s="1" t="n">
        <v>45741</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49046-2023</t>
        </is>
      </c>
      <c r="B1126" s="1" t="n">
        <v>45209</v>
      </c>
      <c r="C1126" s="1" t="n">
        <v>45741</v>
      </c>
      <c r="D1126" t="inlineStr">
        <is>
          <t>JÄMTLANDS LÄN</t>
        </is>
      </c>
      <c r="E1126" t="inlineStr">
        <is>
          <t>KROKOM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51050-2023</t>
        </is>
      </c>
      <c r="B1127" s="1" t="n">
        <v>45211</v>
      </c>
      <c r="C1127" s="1" t="n">
        <v>45741</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50227-2023</t>
        </is>
      </c>
      <c r="B1128" s="1" t="n">
        <v>45216</v>
      </c>
      <c r="C1128" s="1" t="n">
        <v>45741</v>
      </c>
      <c r="D1128" t="inlineStr">
        <is>
          <t>JÄMTLANDS LÄN</t>
        </is>
      </c>
      <c r="E1128" t="inlineStr">
        <is>
          <t>KROKOM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50216-2023</t>
        </is>
      </c>
      <c r="B1129" s="1" t="n">
        <v>45215</v>
      </c>
      <c r="C1129" s="1" t="n">
        <v>45741</v>
      </c>
      <c r="D1129" t="inlineStr">
        <is>
          <t>JÄMTLANDS LÄN</t>
        </is>
      </c>
      <c r="E1129" t="inlineStr">
        <is>
          <t>KROKOM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50228-2023</t>
        </is>
      </c>
      <c r="B1130" s="1" t="n">
        <v>45216</v>
      </c>
      <c r="C1130" s="1" t="n">
        <v>45741</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50270-2023</t>
        </is>
      </c>
      <c r="B1131" s="1" t="n">
        <v>45216</v>
      </c>
      <c r="C1131" s="1" t="n">
        <v>45741</v>
      </c>
      <c r="D1131" t="inlineStr">
        <is>
          <t>JÄMTLANDS LÄN</t>
        </is>
      </c>
      <c r="E1131" t="inlineStr">
        <is>
          <t>KROKOM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50493-2023</t>
        </is>
      </c>
      <c r="B1132" s="1" t="n">
        <v>45217</v>
      </c>
      <c r="C1132" s="1" t="n">
        <v>45741</v>
      </c>
      <c r="D1132" t="inlineStr">
        <is>
          <t>JÄMTLANDS LÄN</t>
        </is>
      </c>
      <c r="E1132" t="inlineStr">
        <is>
          <t>KROKOM</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50246-2023</t>
        </is>
      </c>
      <c r="B1133" s="1" t="n">
        <v>45216</v>
      </c>
      <c r="C1133" s="1" t="n">
        <v>45741</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50363-2023</t>
        </is>
      </c>
      <c r="B1134" s="1" t="n">
        <v>45216</v>
      </c>
      <c r="C1134" s="1" t="n">
        <v>45741</v>
      </c>
      <c r="D1134" t="inlineStr">
        <is>
          <t>JÄMTLANDS LÄN</t>
        </is>
      </c>
      <c r="E1134" t="inlineStr">
        <is>
          <t>KROKOM</t>
        </is>
      </c>
      <c r="F1134" t="inlineStr">
        <is>
          <t>Övriga Aktiebolag</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51929-2023</t>
        </is>
      </c>
      <c r="B1135" s="1" t="n">
        <v>45216</v>
      </c>
      <c r="C1135" s="1" t="n">
        <v>45741</v>
      </c>
      <c r="D1135" t="inlineStr">
        <is>
          <t>JÄMTLANDS LÄN</t>
        </is>
      </c>
      <c r="E1135" t="inlineStr">
        <is>
          <t>KROKOM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51910-2023</t>
        </is>
      </c>
      <c r="B1136" s="1" t="n">
        <v>45216</v>
      </c>
      <c r="C1136" s="1" t="n">
        <v>45741</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50606-2023</t>
        </is>
      </c>
      <c r="B1137" s="1" t="n">
        <v>45217</v>
      </c>
      <c r="C1137" s="1" t="n">
        <v>45741</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50782-2023</t>
        </is>
      </c>
      <c r="B1138" s="1" t="n">
        <v>45217</v>
      </c>
      <c r="C1138" s="1" t="n">
        <v>45741</v>
      </c>
      <c r="D1138" t="inlineStr">
        <is>
          <t>JÄMTLANDS LÄN</t>
        </is>
      </c>
      <c r="E1138" t="inlineStr">
        <is>
          <t>KROKOM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50787-2023</t>
        </is>
      </c>
      <c r="B1139" s="1" t="n">
        <v>45217</v>
      </c>
      <c r="C1139" s="1" t="n">
        <v>45741</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51816-2023</t>
        </is>
      </c>
      <c r="B1140" s="1" t="n">
        <v>45222</v>
      </c>
      <c r="C1140" s="1" t="n">
        <v>45741</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51817-2023</t>
        </is>
      </c>
      <c r="B1141" s="1" t="n">
        <v>45223</v>
      </c>
      <c r="C1141" s="1" t="n">
        <v>45741</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51882-2023</t>
        </is>
      </c>
      <c r="B1142" s="1" t="n">
        <v>45223</v>
      </c>
      <c r="C1142" s="1" t="n">
        <v>45741</v>
      </c>
      <c r="D1142" t="inlineStr">
        <is>
          <t>JÄMTLANDS LÄN</t>
        </is>
      </c>
      <c r="E1142" t="inlineStr">
        <is>
          <t>KROKOM</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51916-2023</t>
        </is>
      </c>
      <c r="B1143" s="1" t="n">
        <v>45223</v>
      </c>
      <c r="C1143" s="1" t="n">
        <v>45741</v>
      </c>
      <c r="D1143" t="inlineStr">
        <is>
          <t>JÄMTLANDS LÄN</t>
        </is>
      </c>
      <c r="E1143" t="inlineStr">
        <is>
          <t>KROKOM</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53429-2023</t>
        </is>
      </c>
      <c r="B1144" s="1" t="n">
        <v>45223</v>
      </c>
      <c r="C1144" s="1" t="n">
        <v>45741</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52295-2023</t>
        </is>
      </c>
      <c r="B1145" s="1" t="n">
        <v>45224</v>
      </c>
      <c r="C1145" s="1" t="n">
        <v>45741</v>
      </c>
      <c r="D1145" t="inlineStr">
        <is>
          <t>JÄMTLANDS LÄN</t>
        </is>
      </c>
      <c r="E1145" t="inlineStr">
        <is>
          <t>KROKOM</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52590-2023</t>
        </is>
      </c>
      <c r="B1146" s="1" t="n">
        <v>45225</v>
      </c>
      <c r="C1146" s="1" t="n">
        <v>45741</v>
      </c>
      <c r="D1146" t="inlineStr">
        <is>
          <t>JÄMTLANDS LÄN</t>
        </is>
      </c>
      <c r="E1146" t="inlineStr">
        <is>
          <t>KROKOM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52599-2023</t>
        </is>
      </c>
      <c r="B1147" s="1" t="n">
        <v>45225</v>
      </c>
      <c r="C1147" s="1" t="n">
        <v>45741</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52604-2023</t>
        </is>
      </c>
      <c r="B1148" s="1" t="n">
        <v>45225</v>
      </c>
      <c r="C1148" s="1" t="n">
        <v>45741</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54514-2023</t>
        </is>
      </c>
      <c r="B1149" s="1" t="n">
        <v>45226</v>
      </c>
      <c r="C1149" s="1" t="n">
        <v>45741</v>
      </c>
      <c r="D1149" t="inlineStr">
        <is>
          <t>JÄMTLANDS LÄN</t>
        </is>
      </c>
      <c r="E1149" t="inlineStr">
        <is>
          <t>KROKOM</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52911-2023</t>
        </is>
      </c>
      <c r="B1150" s="1" t="n">
        <v>45226</v>
      </c>
      <c r="C1150" s="1" t="n">
        <v>45741</v>
      </c>
      <c r="D1150" t="inlineStr">
        <is>
          <t>JÄMTLANDS LÄN</t>
        </is>
      </c>
      <c r="E1150" t="inlineStr">
        <is>
          <t>KROKOM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53055-2023</t>
        </is>
      </c>
      <c r="B1151" s="1" t="n">
        <v>45226</v>
      </c>
      <c r="C1151" s="1" t="n">
        <v>45741</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54503-2023</t>
        </is>
      </c>
      <c r="B1152" s="1" t="n">
        <v>45226</v>
      </c>
      <c r="C1152" s="1" t="n">
        <v>45741</v>
      </c>
      <c r="D1152" t="inlineStr">
        <is>
          <t>JÄMTLANDS LÄN</t>
        </is>
      </c>
      <c r="E1152" t="inlineStr">
        <is>
          <t>KROKOM</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52869-2023</t>
        </is>
      </c>
      <c r="B1153" s="1" t="n">
        <v>45226</v>
      </c>
      <c r="C1153" s="1" t="n">
        <v>45741</v>
      </c>
      <c r="D1153" t="inlineStr">
        <is>
          <t>JÄMTLANDS LÄN</t>
        </is>
      </c>
      <c r="E1153" t="inlineStr">
        <is>
          <t>KROKOM</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53908-2023</t>
        </is>
      </c>
      <c r="B1154" s="1" t="n">
        <v>45231</v>
      </c>
      <c r="C1154" s="1" t="n">
        <v>45741</v>
      </c>
      <c r="D1154" t="inlineStr">
        <is>
          <t>JÄMTLANDS LÄN</t>
        </is>
      </c>
      <c r="E1154" t="inlineStr">
        <is>
          <t>KROKOM</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53916-2023</t>
        </is>
      </c>
      <c r="B1155" s="1" t="n">
        <v>45231</v>
      </c>
      <c r="C1155" s="1" t="n">
        <v>45741</v>
      </c>
      <c r="D1155" t="inlineStr">
        <is>
          <t>JÄMTLANDS LÄN</t>
        </is>
      </c>
      <c r="E1155" t="inlineStr">
        <is>
          <t>KROKOM</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54043-2023</t>
        </is>
      </c>
      <c r="B1156" s="1" t="n">
        <v>45231</v>
      </c>
      <c r="C1156" s="1" t="n">
        <v>45741</v>
      </c>
      <c r="D1156" t="inlineStr">
        <is>
          <t>JÄMTLANDS LÄN</t>
        </is>
      </c>
      <c r="E1156" t="inlineStr">
        <is>
          <t>KROKOM</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54054-2023</t>
        </is>
      </c>
      <c r="B1157" s="1" t="n">
        <v>45232</v>
      </c>
      <c r="C1157" s="1" t="n">
        <v>45741</v>
      </c>
      <c r="D1157" t="inlineStr">
        <is>
          <t>JÄMTLANDS LÄN</t>
        </is>
      </c>
      <c r="E1157" t="inlineStr">
        <is>
          <t>KROKOM</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54058-2023</t>
        </is>
      </c>
      <c r="B1158" s="1" t="n">
        <v>45231</v>
      </c>
      <c r="C1158" s="1" t="n">
        <v>45741</v>
      </c>
      <c r="D1158" t="inlineStr">
        <is>
          <t>JÄMTLANDS LÄN</t>
        </is>
      </c>
      <c r="E1158" t="inlineStr">
        <is>
          <t>KROKOM</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54062-2023</t>
        </is>
      </c>
      <c r="B1159" s="1" t="n">
        <v>45232</v>
      </c>
      <c r="C1159" s="1" t="n">
        <v>45741</v>
      </c>
      <c r="D1159" t="inlineStr">
        <is>
          <t>JÄMTLANDS LÄN</t>
        </is>
      </c>
      <c r="E1159" t="inlineStr">
        <is>
          <t>KROKOM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54056-2023</t>
        </is>
      </c>
      <c r="B1160" s="1" t="n">
        <v>45232</v>
      </c>
      <c r="C1160" s="1" t="n">
        <v>45741</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53901-2023</t>
        </is>
      </c>
      <c r="B1161" s="1" t="n">
        <v>45231</v>
      </c>
      <c r="C1161" s="1" t="n">
        <v>45741</v>
      </c>
      <c r="D1161" t="inlineStr">
        <is>
          <t>JÄMTLANDS LÄN</t>
        </is>
      </c>
      <c r="E1161" t="inlineStr">
        <is>
          <t>KROKOM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54057-2023</t>
        </is>
      </c>
      <c r="B1162" s="1" t="n">
        <v>45232</v>
      </c>
      <c r="C1162" s="1" t="n">
        <v>45741</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54160-2023</t>
        </is>
      </c>
      <c r="B1163" s="1" t="n">
        <v>45232</v>
      </c>
      <c r="C1163" s="1" t="n">
        <v>45741</v>
      </c>
      <c r="D1163" t="inlineStr">
        <is>
          <t>JÄMTLANDS LÄN</t>
        </is>
      </c>
      <c r="E1163" t="inlineStr">
        <is>
          <t>KROKOM</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56177-2023</t>
        </is>
      </c>
      <c r="B1164" s="1" t="n">
        <v>45236</v>
      </c>
      <c r="C1164" s="1" t="n">
        <v>45741</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56171-2023</t>
        </is>
      </c>
      <c r="B1165" s="1" t="n">
        <v>45236</v>
      </c>
      <c r="C1165" s="1" t="n">
        <v>45741</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55645-2023</t>
        </is>
      </c>
      <c r="B1166" s="1" t="n">
        <v>45239</v>
      </c>
      <c r="C1166" s="1" t="n">
        <v>45741</v>
      </c>
      <c r="D1166" t="inlineStr">
        <is>
          <t>JÄMTLANDS LÄN</t>
        </is>
      </c>
      <c r="E1166" t="inlineStr">
        <is>
          <t>KROKOM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55661-2023</t>
        </is>
      </c>
      <c r="B1167" s="1" t="n">
        <v>45239</v>
      </c>
      <c r="C1167" s="1" t="n">
        <v>45741</v>
      </c>
      <c r="D1167" t="inlineStr">
        <is>
          <t>JÄMTLANDS LÄN</t>
        </is>
      </c>
      <c r="E1167" t="inlineStr">
        <is>
          <t>KROKOM</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55660-2023</t>
        </is>
      </c>
      <c r="B1168" s="1" t="n">
        <v>45238</v>
      </c>
      <c r="C1168" s="1" t="n">
        <v>45741</v>
      </c>
      <c r="D1168" t="inlineStr">
        <is>
          <t>JÄMTLANDS LÄN</t>
        </is>
      </c>
      <c r="E1168" t="inlineStr">
        <is>
          <t>KROKOM</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56538-2023</t>
        </is>
      </c>
      <c r="B1169" s="1" t="n">
        <v>45238</v>
      </c>
      <c r="C1169" s="1" t="n">
        <v>45741</v>
      </c>
      <c r="D1169" t="inlineStr">
        <is>
          <t>JÄMTLANDS LÄN</t>
        </is>
      </c>
      <c r="E1169" t="inlineStr">
        <is>
          <t>KROKOM</t>
        </is>
      </c>
      <c r="G1169" t="n">
        <v>17.7</v>
      </c>
      <c r="H1169" t="n">
        <v>0</v>
      </c>
      <c r="I1169" t="n">
        <v>0</v>
      </c>
      <c r="J1169" t="n">
        <v>0</v>
      </c>
      <c r="K1169" t="n">
        <v>0</v>
      </c>
      <c r="L1169" t="n">
        <v>0</v>
      </c>
      <c r="M1169" t="n">
        <v>0</v>
      </c>
      <c r="N1169" t="n">
        <v>0</v>
      </c>
      <c r="O1169" t="n">
        <v>0</v>
      </c>
      <c r="P1169" t="n">
        <v>0</v>
      </c>
      <c r="Q1169" t="n">
        <v>0</v>
      </c>
      <c r="R1169" s="2" t="inlineStr"/>
    </row>
    <row r="1170" ht="15" customHeight="1">
      <c r="A1170" t="inlineStr">
        <is>
          <t>A 55914-2023</t>
        </is>
      </c>
      <c r="B1170" s="1" t="n">
        <v>45240</v>
      </c>
      <c r="C1170" s="1" t="n">
        <v>45741</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55693-2023</t>
        </is>
      </c>
      <c r="B1171" s="1" t="n">
        <v>45239</v>
      </c>
      <c r="C1171" s="1" t="n">
        <v>45741</v>
      </c>
      <c r="D1171" t="inlineStr">
        <is>
          <t>JÄMTLANDS LÄN</t>
        </is>
      </c>
      <c r="E1171" t="inlineStr">
        <is>
          <t>KROKOM</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55915-2023</t>
        </is>
      </c>
      <c r="B1172" s="1" t="n">
        <v>45240</v>
      </c>
      <c r="C1172" s="1" t="n">
        <v>45741</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57188-2023</t>
        </is>
      </c>
      <c r="B1173" s="1" t="n">
        <v>45239</v>
      </c>
      <c r="C1173" s="1" t="n">
        <v>45741</v>
      </c>
      <c r="D1173" t="inlineStr">
        <is>
          <t>JÄMTLANDS LÄN</t>
        </is>
      </c>
      <c r="E1173" t="inlineStr">
        <is>
          <t>KROKOM</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57257-2023</t>
        </is>
      </c>
      <c r="B1174" s="1" t="n">
        <v>45239</v>
      </c>
      <c r="C1174" s="1" t="n">
        <v>45741</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57266-2023</t>
        </is>
      </c>
      <c r="B1175" s="1" t="n">
        <v>45239</v>
      </c>
      <c r="C1175" s="1" t="n">
        <v>45741</v>
      </c>
      <c r="D1175" t="inlineStr">
        <is>
          <t>JÄMTLANDS LÄN</t>
        </is>
      </c>
      <c r="E1175" t="inlineStr">
        <is>
          <t>KROKOM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57360-2023</t>
        </is>
      </c>
      <c r="B1176" s="1" t="n">
        <v>45240</v>
      </c>
      <c r="C1176" s="1" t="n">
        <v>45741</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56353-2023</t>
        </is>
      </c>
      <c r="B1177" s="1" t="n">
        <v>45243</v>
      </c>
      <c r="C1177" s="1" t="n">
        <v>45741</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56328-2023</t>
        </is>
      </c>
      <c r="B1178" s="1" t="n">
        <v>45243</v>
      </c>
      <c r="C1178" s="1" t="n">
        <v>45741</v>
      </c>
      <c r="D1178" t="inlineStr">
        <is>
          <t>JÄMTLANDS LÄN</t>
        </is>
      </c>
      <c r="E1178" t="inlineStr">
        <is>
          <t>KROKOM</t>
        </is>
      </c>
      <c r="F1178" t="inlineStr">
        <is>
          <t>Övriga Aktiebolag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56694-2023</t>
        </is>
      </c>
      <c r="B1179" s="1" t="n">
        <v>45244</v>
      </c>
      <c r="C1179" s="1" t="n">
        <v>45741</v>
      </c>
      <c r="D1179" t="inlineStr">
        <is>
          <t>JÄMTLANDS LÄN</t>
        </is>
      </c>
      <c r="E1179" t="inlineStr">
        <is>
          <t>KROKOM</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56515-2023</t>
        </is>
      </c>
      <c r="B1180" s="1" t="n">
        <v>45243</v>
      </c>
      <c r="C1180" s="1" t="n">
        <v>45741</v>
      </c>
      <c r="D1180" t="inlineStr">
        <is>
          <t>JÄMTLANDS LÄN</t>
        </is>
      </c>
      <c r="E1180" t="inlineStr">
        <is>
          <t>KROKOM</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56601-2023</t>
        </is>
      </c>
      <c r="B1181" s="1" t="n">
        <v>45243</v>
      </c>
      <c r="C1181" s="1" t="n">
        <v>45741</v>
      </c>
      <c r="D1181" t="inlineStr">
        <is>
          <t>JÄMTLANDS LÄN</t>
        </is>
      </c>
      <c r="E1181" t="inlineStr">
        <is>
          <t>KROKOM</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56346-2023</t>
        </is>
      </c>
      <c r="B1182" s="1" t="n">
        <v>45243</v>
      </c>
      <c r="C1182" s="1" t="n">
        <v>45741</v>
      </c>
      <c r="D1182" t="inlineStr">
        <is>
          <t>JÄMTLANDS LÄN</t>
        </is>
      </c>
      <c r="E1182" t="inlineStr">
        <is>
          <t>KROKOM</t>
        </is>
      </c>
      <c r="G1182" t="n">
        <v>2.8</v>
      </c>
      <c r="H1182" t="n">
        <v>0</v>
      </c>
      <c r="I1182" t="n">
        <v>0</v>
      </c>
      <c r="J1182" t="n">
        <v>0</v>
      </c>
      <c r="K1182" t="n">
        <v>0</v>
      </c>
      <c r="L1182" t="n">
        <v>0</v>
      </c>
      <c r="M1182" t="n">
        <v>0</v>
      </c>
      <c r="N1182" t="n">
        <v>0</v>
      </c>
      <c r="O1182" t="n">
        <v>0</v>
      </c>
      <c r="P1182" t="n">
        <v>0</v>
      </c>
      <c r="Q1182" t="n">
        <v>0</v>
      </c>
      <c r="R1182" s="2" t="inlineStr"/>
      <c r="U1182">
        <f>HYPERLINK("https://klasma.github.io/Logging_2309/knärot/A 56346-2023 karta knärot.png", "A 56346-2023")</f>
        <v/>
      </c>
      <c r="V1182">
        <f>HYPERLINK("https://klasma.github.io/Logging_2309/klagomål/A 56346-2023 FSC-klagomål.docx", "A 56346-2023")</f>
        <v/>
      </c>
      <c r="W1182">
        <f>HYPERLINK("https://klasma.github.io/Logging_2309/klagomålsmail/A 56346-2023 FSC-klagomål mail.docx", "A 56346-2023")</f>
        <v/>
      </c>
      <c r="X1182">
        <f>HYPERLINK("https://klasma.github.io/Logging_2309/tillsyn/A 56346-2023 tillsynsbegäran.docx", "A 56346-2023")</f>
        <v/>
      </c>
      <c r="Y1182">
        <f>HYPERLINK("https://klasma.github.io/Logging_2309/tillsynsmail/A 56346-2023 tillsynsbegäran mail.docx", "A 56346-2023")</f>
        <v/>
      </c>
    </row>
    <row r="1183" ht="15" customHeight="1">
      <c r="A1183" t="inlineStr">
        <is>
          <t>A 56361-2023</t>
        </is>
      </c>
      <c r="B1183" s="1" t="n">
        <v>45243</v>
      </c>
      <c r="C1183" s="1" t="n">
        <v>45741</v>
      </c>
      <c r="D1183" t="inlineStr">
        <is>
          <t>JÄMTLANDS LÄN</t>
        </is>
      </c>
      <c r="E1183" t="inlineStr">
        <is>
          <t>KROKOM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56546-2023</t>
        </is>
      </c>
      <c r="B1184" s="1" t="n">
        <v>45243</v>
      </c>
      <c r="C1184" s="1" t="n">
        <v>45741</v>
      </c>
      <c r="D1184" t="inlineStr">
        <is>
          <t>JÄMTLANDS LÄN</t>
        </is>
      </c>
      <c r="E1184" t="inlineStr">
        <is>
          <t>KROKOM</t>
        </is>
      </c>
      <c r="G1184" t="n">
        <v>19.9</v>
      </c>
      <c r="H1184" t="n">
        <v>0</v>
      </c>
      <c r="I1184" t="n">
        <v>0</v>
      </c>
      <c r="J1184" t="n">
        <v>0</v>
      </c>
      <c r="K1184" t="n">
        <v>0</v>
      </c>
      <c r="L1184" t="n">
        <v>0</v>
      </c>
      <c r="M1184" t="n">
        <v>0</v>
      </c>
      <c r="N1184" t="n">
        <v>0</v>
      </c>
      <c r="O1184" t="n">
        <v>0</v>
      </c>
      <c r="P1184" t="n">
        <v>0</v>
      </c>
      <c r="Q1184" t="n">
        <v>0</v>
      </c>
      <c r="R1184" s="2" t="inlineStr"/>
    </row>
    <row r="1185" ht="15" customHeight="1">
      <c r="A1185" t="inlineStr">
        <is>
          <t>A 56927-2023</t>
        </is>
      </c>
      <c r="B1185" s="1" t="n">
        <v>45244</v>
      </c>
      <c r="C1185" s="1" t="n">
        <v>45741</v>
      </c>
      <c r="D1185" t="inlineStr">
        <is>
          <t>JÄMTLANDS LÄN</t>
        </is>
      </c>
      <c r="E1185" t="inlineStr">
        <is>
          <t>KROKOM</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56924-2023</t>
        </is>
      </c>
      <c r="B1186" s="1" t="n">
        <v>45244</v>
      </c>
      <c r="C1186" s="1" t="n">
        <v>45741</v>
      </c>
      <c r="D1186" t="inlineStr">
        <is>
          <t>JÄMTLANDS LÄN</t>
        </is>
      </c>
      <c r="E1186" t="inlineStr">
        <is>
          <t>KROKOM</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56932-2023</t>
        </is>
      </c>
      <c r="B1187" s="1" t="n">
        <v>45244</v>
      </c>
      <c r="C1187" s="1" t="n">
        <v>45741</v>
      </c>
      <c r="D1187" t="inlineStr">
        <is>
          <t>JÄMTLANDS LÄN</t>
        </is>
      </c>
      <c r="E1187" t="inlineStr">
        <is>
          <t>KROKOM</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56936-2023</t>
        </is>
      </c>
      <c r="B1188" s="1" t="n">
        <v>45244</v>
      </c>
      <c r="C1188" s="1" t="n">
        <v>45741</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57239-2023</t>
        </is>
      </c>
      <c r="B1189" s="1" t="n">
        <v>45245</v>
      </c>
      <c r="C1189" s="1" t="n">
        <v>45741</v>
      </c>
      <c r="D1189" t="inlineStr">
        <is>
          <t>JÄMTLANDS LÄN</t>
        </is>
      </c>
      <c r="E1189" t="inlineStr">
        <is>
          <t>KROKOM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57259-2023</t>
        </is>
      </c>
      <c r="B1190" s="1" t="n">
        <v>45245</v>
      </c>
      <c r="C1190" s="1" t="n">
        <v>45741</v>
      </c>
      <c r="D1190" t="inlineStr">
        <is>
          <t>JÄMTLANDS LÄN</t>
        </is>
      </c>
      <c r="E1190" t="inlineStr">
        <is>
          <t>KROKOM</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57149-2023</t>
        </is>
      </c>
      <c r="B1191" s="1" t="n">
        <v>45245</v>
      </c>
      <c r="C1191" s="1" t="n">
        <v>45741</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57402-2023</t>
        </is>
      </c>
      <c r="B1192" s="1" t="n">
        <v>45246</v>
      </c>
      <c r="C1192" s="1" t="n">
        <v>45741</v>
      </c>
      <c r="D1192" t="inlineStr">
        <is>
          <t>JÄMTLANDS LÄN</t>
        </is>
      </c>
      <c r="E1192" t="inlineStr">
        <is>
          <t>KROKOM</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57401-2023</t>
        </is>
      </c>
      <c r="B1193" s="1" t="n">
        <v>45246</v>
      </c>
      <c r="C1193" s="1" t="n">
        <v>45741</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57514-2023</t>
        </is>
      </c>
      <c r="B1194" s="1" t="n">
        <v>45246</v>
      </c>
      <c r="C1194" s="1" t="n">
        <v>45741</v>
      </c>
      <c r="D1194" t="inlineStr">
        <is>
          <t>JÄMTLANDS LÄN</t>
        </is>
      </c>
      <c r="E1194" t="inlineStr">
        <is>
          <t>KROKOM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57782-2023</t>
        </is>
      </c>
      <c r="B1195" s="1" t="n">
        <v>45246</v>
      </c>
      <c r="C1195" s="1" t="n">
        <v>45741</v>
      </c>
      <c r="D1195" t="inlineStr">
        <is>
          <t>JÄMTLANDS LÄN</t>
        </is>
      </c>
      <c r="E1195" t="inlineStr">
        <is>
          <t>KROKOM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58569-2023</t>
        </is>
      </c>
      <c r="B1196" s="1" t="n">
        <v>45246</v>
      </c>
      <c r="C1196" s="1" t="n">
        <v>45741</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58556-2023</t>
        </is>
      </c>
      <c r="B1197" s="1" t="n">
        <v>45246</v>
      </c>
      <c r="C1197" s="1" t="n">
        <v>45741</v>
      </c>
      <c r="D1197" t="inlineStr">
        <is>
          <t>JÄMTLANDS LÄN</t>
        </is>
      </c>
      <c r="E1197" t="inlineStr">
        <is>
          <t>KROKOM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58594-2023</t>
        </is>
      </c>
      <c r="B1198" s="1" t="n">
        <v>45246</v>
      </c>
      <c r="C1198" s="1" t="n">
        <v>45741</v>
      </c>
      <c r="D1198" t="inlineStr">
        <is>
          <t>JÄMTLANDS LÄN</t>
        </is>
      </c>
      <c r="E1198" t="inlineStr">
        <is>
          <t>KROKOM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58563-2023</t>
        </is>
      </c>
      <c r="B1199" s="1" t="n">
        <v>45246</v>
      </c>
      <c r="C1199" s="1" t="n">
        <v>45741</v>
      </c>
      <c r="D1199" t="inlineStr">
        <is>
          <t>JÄMTLANDS LÄN</t>
        </is>
      </c>
      <c r="E1199" t="inlineStr">
        <is>
          <t>KROKOM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57820-2023</t>
        </is>
      </c>
      <c r="B1200" s="1" t="n">
        <v>45247</v>
      </c>
      <c r="C1200" s="1" t="n">
        <v>45741</v>
      </c>
      <c r="D1200" t="inlineStr">
        <is>
          <t>JÄMTLANDS LÄN</t>
        </is>
      </c>
      <c r="E1200" t="inlineStr">
        <is>
          <t>KROKOM</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57847-2023</t>
        </is>
      </c>
      <c r="B1201" s="1" t="n">
        <v>45247</v>
      </c>
      <c r="C1201" s="1" t="n">
        <v>45741</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57814-2023</t>
        </is>
      </c>
      <c r="B1202" s="1" t="n">
        <v>45247</v>
      </c>
      <c r="C1202" s="1" t="n">
        <v>45741</v>
      </c>
      <c r="D1202" t="inlineStr">
        <is>
          <t>JÄMTLANDS LÄN</t>
        </is>
      </c>
      <c r="E1202" t="inlineStr">
        <is>
          <t>KROKOM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57856-2023</t>
        </is>
      </c>
      <c r="B1203" s="1" t="n">
        <v>45247</v>
      </c>
      <c r="C1203" s="1" t="n">
        <v>45741</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57861-2023</t>
        </is>
      </c>
      <c r="B1204" s="1" t="n">
        <v>45247</v>
      </c>
      <c r="C1204" s="1" t="n">
        <v>45741</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57849-2023</t>
        </is>
      </c>
      <c r="B1205" s="1" t="n">
        <v>45247</v>
      </c>
      <c r="C1205" s="1" t="n">
        <v>45741</v>
      </c>
      <c r="D1205" t="inlineStr">
        <is>
          <t>JÄMTLANDS LÄN</t>
        </is>
      </c>
      <c r="E1205" t="inlineStr">
        <is>
          <t>KROKOM</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58355-2023</t>
        </is>
      </c>
      <c r="B1206" s="1" t="n">
        <v>45250</v>
      </c>
      <c r="C1206" s="1" t="n">
        <v>45741</v>
      </c>
      <c r="D1206" t="inlineStr">
        <is>
          <t>JÄMTLANDS LÄN</t>
        </is>
      </c>
      <c r="E1206" t="inlineStr">
        <is>
          <t>KROKOM</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58264-2023</t>
        </is>
      </c>
      <c r="B1207" s="1" t="n">
        <v>45250</v>
      </c>
      <c r="C1207" s="1" t="n">
        <v>45741</v>
      </c>
      <c r="D1207" t="inlineStr">
        <is>
          <t>JÄMTLANDS LÄN</t>
        </is>
      </c>
      <c r="E1207" t="inlineStr">
        <is>
          <t>KROKOM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58677-2023</t>
        </is>
      </c>
      <c r="B1208" s="1" t="n">
        <v>45251</v>
      </c>
      <c r="C1208" s="1" t="n">
        <v>45741</v>
      </c>
      <c r="D1208" t="inlineStr">
        <is>
          <t>JÄMTLANDS LÄN</t>
        </is>
      </c>
      <c r="E1208" t="inlineStr">
        <is>
          <t>KROKOM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58942-2023</t>
        </is>
      </c>
      <c r="B1209" s="1" t="n">
        <v>45252</v>
      </c>
      <c r="C1209" s="1" t="n">
        <v>45741</v>
      </c>
      <c r="D1209" t="inlineStr">
        <is>
          <t>JÄMTLANDS LÄN</t>
        </is>
      </c>
      <c r="E1209" t="inlineStr">
        <is>
          <t>KROKOM</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58798-2023</t>
        </is>
      </c>
      <c r="B1210" s="1" t="n">
        <v>45252</v>
      </c>
      <c r="C1210" s="1" t="n">
        <v>45741</v>
      </c>
      <c r="D1210" t="inlineStr">
        <is>
          <t>JÄMTLANDS LÄN</t>
        </is>
      </c>
      <c r="E1210" t="inlineStr">
        <is>
          <t>KROKOM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59031-2023</t>
        </is>
      </c>
      <c r="B1211" s="1" t="n">
        <v>45252</v>
      </c>
      <c r="C1211" s="1" t="n">
        <v>45741</v>
      </c>
      <c r="D1211" t="inlineStr">
        <is>
          <t>JÄMTLANDS LÄN</t>
        </is>
      </c>
      <c r="E1211" t="inlineStr">
        <is>
          <t>KROKOM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59293-2023</t>
        </is>
      </c>
      <c r="B1212" s="1" t="n">
        <v>45253</v>
      </c>
      <c r="C1212" s="1" t="n">
        <v>45741</v>
      </c>
      <c r="D1212" t="inlineStr">
        <is>
          <t>JÄMTLANDS LÄN</t>
        </is>
      </c>
      <c r="E1212" t="inlineStr">
        <is>
          <t>KROKOM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59622-2023</t>
        </is>
      </c>
      <c r="B1213" s="1" t="n">
        <v>45254</v>
      </c>
      <c r="C1213" s="1" t="n">
        <v>45741</v>
      </c>
      <c r="D1213" t="inlineStr">
        <is>
          <t>JÄMTLANDS LÄN</t>
        </is>
      </c>
      <c r="E1213" t="inlineStr">
        <is>
          <t>KROKOM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45741</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59819-2023</t>
        </is>
      </c>
      <c r="B1215" s="1" t="n">
        <v>45257</v>
      </c>
      <c r="C1215" s="1" t="n">
        <v>45741</v>
      </c>
      <c r="D1215" t="inlineStr">
        <is>
          <t>JÄMTLANDS LÄN</t>
        </is>
      </c>
      <c r="E1215" t="inlineStr">
        <is>
          <t>KROKOM</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59843-2023</t>
        </is>
      </c>
      <c r="B1216" s="1" t="n">
        <v>45257</v>
      </c>
      <c r="C1216" s="1" t="n">
        <v>45741</v>
      </c>
      <c r="D1216" t="inlineStr">
        <is>
          <t>JÄMTLANDS LÄN</t>
        </is>
      </c>
      <c r="E1216" t="inlineStr">
        <is>
          <t>KROKOM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59973-2023</t>
        </is>
      </c>
      <c r="B1217" s="1" t="n">
        <v>45257</v>
      </c>
      <c r="C1217" s="1" t="n">
        <v>45741</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60006-2023</t>
        </is>
      </c>
      <c r="B1218" s="1" t="n">
        <v>45258</v>
      </c>
      <c r="C1218" s="1" t="n">
        <v>45741</v>
      </c>
      <c r="D1218" t="inlineStr">
        <is>
          <t>JÄMTLANDS LÄN</t>
        </is>
      </c>
      <c r="E1218" t="inlineStr">
        <is>
          <t>KROKOM</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60102-2023</t>
        </is>
      </c>
      <c r="B1219" s="1" t="n">
        <v>45257</v>
      </c>
      <c r="C1219" s="1" t="n">
        <v>45741</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59828-2023</t>
        </is>
      </c>
      <c r="B1220" s="1" t="n">
        <v>45257</v>
      </c>
      <c r="C1220" s="1" t="n">
        <v>45741</v>
      </c>
      <c r="D1220" t="inlineStr">
        <is>
          <t>JÄMTLANDS LÄN</t>
        </is>
      </c>
      <c r="E1220" t="inlineStr">
        <is>
          <t>KROKOM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60007-2023</t>
        </is>
      </c>
      <c r="B1221" s="1" t="n">
        <v>45258</v>
      </c>
      <c r="C1221" s="1" t="n">
        <v>45741</v>
      </c>
      <c r="D1221" t="inlineStr">
        <is>
          <t>JÄMTLANDS LÄN</t>
        </is>
      </c>
      <c r="E1221" t="inlineStr">
        <is>
          <t>KROKOM</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60333-2023</t>
        </is>
      </c>
      <c r="B1222" s="1" t="n">
        <v>45258</v>
      </c>
      <c r="C1222" s="1" t="n">
        <v>45741</v>
      </c>
      <c r="D1222" t="inlineStr">
        <is>
          <t>JÄMTLANDS LÄN</t>
        </is>
      </c>
      <c r="E1222" t="inlineStr">
        <is>
          <t>KROKOM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60364-2023</t>
        </is>
      </c>
      <c r="B1223" s="1" t="n">
        <v>45259</v>
      </c>
      <c r="C1223" s="1" t="n">
        <v>45741</v>
      </c>
      <c r="D1223" t="inlineStr">
        <is>
          <t>JÄMTLANDS LÄN</t>
        </is>
      </c>
      <c r="E1223" t="inlineStr">
        <is>
          <t>KROKOM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60680-2023</t>
        </is>
      </c>
      <c r="B1224" s="1" t="n">
        <v>45260</v>
      </c>
      <c r="C1224" s="1" t="n">
        <v>45741</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61078-2023</t>
        </is>
      </c>
      <c r="B1225" s="1" t="n">
        <v>45261</v>
      </c>
      <c r="C1225" s="1" t="n">
        <v>45741</v>
      </c>
      <c r="D1225" t="inlineStr">
        <is>
          <t>JÄMTLANDS LÄN</t>
        </is>
      </c>
      <c r="E1225" t="inlineStr">
        <is>
          <t>KROKOM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61337-2023</t>
        </is>
      </c>
      <c r="B1226" s="1" t="n">
        <v>45264</v>
      </c>
      <c r="C1226" s="1" t="n">
        <v>45741</v>
      </c>
      <c r="D1226" t="inlineStr">
        <is>
          <t>JÄMTLANDS LÄN</t>
        </is>
      </c>
      <c r="E1226" t="inlineStr">
        <is>
          <t>KROKOM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61329-2023</t>
        </is>
      </c>
      <c r="B1227" s="1" t="n">
        <v>45264</v>
      </c>
      <c r="C1227" s="1" t="n">
        <v>45741</v>
      </c>
      <c r="D1227" t="inlineStr">
        <is>
          <t>JÄMTLANDS LÄN</t>
        </is>
      </c>
      <c r="E1227" t="inlineStr">
        <is>
          <t>KROKOM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61886-2023</t>
        </is>
      </c>
      <c r="B1228" s="1" t="n">
        <v>45264</v>
      </c>
      <c r="C1228" s="1" t="n">
        <v>45741</v>
      </c>
      <c r="D1228" t="inlineStr">
        <is>
          <t>JÄMTLANDS LÄN</t>
        </is>
      </c>
      <c r="E1228" t="inlineStr">
        <is>
          <t>KROKOM</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61615-2023</t>
        </is>
      </c>
      <c r="B1229" s="1" t="n">
        <v>45265</v>
      </c>
      <c r="C1229" s="1" t="n">
        <v>45741</v>
      </c>
      <c r="D1229" t="inlineStr">
        <is>
          <t>JÄMTLANDS LÄN</t>
        </is>
      </c>
      <c r="E1229" t="inlineStr">
        <is>
          <t>KROKOM</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62042-2023</t>
        </is>
      </c>
      <c r="B1230" s="1" t="n">
        <v>45265</v>
      </c>
      <c r="C1230" s="1" t="n">
        <v>45741</v>
      </c>
      <c r="D1230" t="inlineStr">
        <is>
          <t>JÄMTLANDS LÄN</t>
        </is>
      </c>
      <c r="E1230" t="inlineStr">
        <is>
          <t>KROKOM</t>
        </is>
      </c>
      <c r="F1230" t="inlineStr">
        <is>
          <t>Övriga statliga verk och myndigheter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62058-2023</t>
        </is>
      </c>
      <c r="B1231" s="1" t="n">
        <v>45265</v>
      </c>
      <c r="C1231" s="1" t="n">
        <v>45741</v>
      </c>
      <c r="D1231" t="inlineStr">
        <is>
          <t>JÄMTLANDS LÄN</t>
        </is>
      </c>
      <c r="E1231" t="inlineStr">
        <is>
          <t>KROKOM</t>
        </is>
      </c>
      <c r="G1231" t="n">
        <v>15.5</v>
      </c>
      <c r="H1231" t="n">
        <v>0</v>
      </c>
      <c r="I1231" t="n">
        <v>0</v>
      </c>
      <c r="J1231" t="n">
        <v>0</v>
      </c>
      <c r="K1231" t="n">
        <v>0</v>
      </c>
      <c r="L1231" t="n">
        <v>0</v>
      </c>
      <c r="M1231" t="n">
        <v>0</v>
      </c>
      <c r="N1231" t="n">
        <v>0</v>
      </c>
      <c r="O1231" t="n">
        <v>0</v>
      </c>
      <c r="P1231" t="n">
        <v>0</v>
      </c>
      <c r="Q1231" t="n">
        <v>0</v>
      </c>
      <c r="R1231" s="2" t="inlineStr"/>
    </row>
    <row r="1232" ht="15" customHeight="1">
      <c r="A1232" t="inlineStr">
        <is>
          <t>A 62117-2023</t>
        </is>
      </c>
      <c r="B1232" s="1" t="n">
        <v>45266</v>
      </c>
      <c r="C1232" s="1" t="n">
        <v>45741</v>
      </c>
      <c r="D1232" t="inlineStr">
        <is>
          <t>JÄMTLANDS LÄN</t>
        </is>
      </c>
      <c r="E1232" t="inlineStr">
        <is>
          <t>KROKOM</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62413-2023</t>
        </is>
      </c>
      <c r="B1233" s="1" t="n">
        <v>45266</v>
      </c>
      <c r="C1233" s="1" t="n">
        <v>45741</v>
      </c>
      <c r="D1233" t="inlineStr">
        <is>
          <t>JÄMTLANDS LÄN</t>
        </is>
      </c>
      <c r="E1233" t="inlineStr">
        <is>
          <t>KROKOM</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62929-2023</t>
        </is>
      </c>
      <c r="B1234" s="1" t="n">
        <v>45271</v>
      </c>
      <c r="C1234" s="1" t="n">
        <v>45741</v>
      </c>
      <c r="D1234" t="inlineStr">
        <is>
          <t>JÄMTLANDS LÄN</t>
        </is>
      </c>
      <c r="E1234" t="inlineStr">
        <is>
          <t>KROKOM</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63165-2023</t>
        </is>
      </c>
      <c r="B1235" s="1" t="n">
        <v>45272</v>
      </c>
      <c r="C1235" s="1" t="n">
        <v>45741</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63533-2023</t>
        </is>
      </c>
      <c r="B1236" s="1" t="n">
        <v>45274</v>
      </c>
      <c r="C1236" s="1" t="n">
        <v>45741</v>
      </c>
      <c r="D1236" t="inlineStr">
        <is>
          <t>JÄMTLANDS LÄN</t>
        </is>
      </c>
      <c r="E1236" t="inlineStr">
        <is>
          <t>KROKOM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63313-2023</t>
        </is>
      </c>
      <c r="B1237" s="1" t="n">
        <v>45274</v>
      </c>
      <c r="C1237" s="1" t="n">
        <v>45741</v>
      </c>
      <c r="D1237" t="inlineStr">
        <is>
          <t>JÄMTLANDS LÄN</t>
        </is>
      </c>
      <c r="E1237" t="inlineStr">
        <is>
          <t>KROKOM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63532-2023</t>
        </is>
      </c>
      <c r="B1238" s="1" t="n">
        <v>45274</v>
      </c>
      <c r="C1238" s="1" t="n">
        <v>45741</v>
      </c>
      <c r="D1238" t="inlineStr">
        <is>
          <t>JÄMTLANDS LÄN</t>
        </is>
      </c>
      <c r="E1238" t="inlineStr">
        <is>
          <t>KROKOM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63960-2023</t>
        </is>
      </c>
      <c r="B1239" s="1" t="n">
        <v>45278</v>
      </c>
      <c r="C1239" s="1" t="n">
        <v>45741</v>
      </c>
      <c r="D1239" t="inlineStr">
        <is>
          <t>JÄMTLANDS LÄN</t>
        </is>
      </c>
      <c r="E1239" t="inlineStr">
        <is>
          <t>KROKOM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64163-2023</t>
        </is>
      </c>
      <c r="B1240" s="1" t="n">
        <v>45279</v>
      </c>
      <c r="C1240" s="1" t="n">
        <v>45741</v>
      </c>
      <c r="D1240" t="inlineStr">
        <is>
          <t>JÄMTLANDS LÄN</t>
        </is>
      </c>
      <c r="E1240" t="inlineStr">
        <is>
          <t>KROKOM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64174-2023</t>
        </is>
      </c>
      <c r="B1241" s="1" t="n">
        <v>45279</v>
      </c>
      <c r="C1241" s="1" t="n">
        <v>45741</v>
      </c>
      <c r="D1241" t="inlineStr">
        <is>
          <t>JÄMTLANDS LÄN</t>
        </is>
      </c>
      <c r="E1241" t="inlineStr">
        <is>
          <t>KROKOM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64273-2023</t>
        </is>
      </c>
      <c r="B1242" s="1" t="n">
        <v>45279</v>
      </c>
      <c r="C1242" s="1" t="n">
        <v>45741</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64662-2023</t>
        </is>
      </c>
      <c r="B1243" s="1" t="n">
        <v>45281</v>
      </c>
      <c r="C1243" s="1" t="n">
        <v>45741</v>
      </c>
      <c r="D1243" t="inlineStr">
        <is>
          <t>JÄMTLANDS LÄN</t>
        </is>
      </c>
      <c r="E1243" t="inlineStr">
        <is>
          <t>KROKOM</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64768-2023</t>
        </is>
      </c>
      <c r="B1244" s="1" t="n">
        <v>45282</v>
      </c>
      <c r="C1244" s="1" t="n">
        <v>45741</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64764-2023</t>
        </is>
      </c>
      <c r="B1245" s="1" t="n">
        <v>45282</v>
      </c>
      <c r="C1245" s="1" t="n">
        <v>45741</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65236-2023</t>
        </is>
      </c>
      <c r="B1246" s="1" t="n">
        <v>45289</v>
      </c>
      <c r="C1246" s="1" t="n">
        <v>45741</v>
      </c>
      <c r="D1246" t="inlineStr">
        <is>
          <t>JÄMTLANDS LÄN</t>
        </is>
      </c>
      <c r="E1246" t="inlineStr">
        <is>
          <t>KROKOM</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417-2024</t>
        </is>
      </c>
      <c r="B1247" s="1" t="n">
        <v>45296</v>
      </c>
      <c r="C1247" s="1" t="n">
        <v>45741</v>
      </c>
      <c r="D1247" t="inlineStr">
        <is>
          <t>JÄMTLANDS LÄN</t>
        </is>
      </c>
      <c r="E1247" t="inlineStr">
        <is>
          <t>KROKOM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704-2024</t>
        </is>
      </c>
      <c r="B1248" s="1" t="n">
        <v>45300</v>
      </c>
      <c r="C1248" s="1" t="n">
        <v>45741</v>
      </c>
      <c r="D1248" t="inlineStr">
        <is>
          <t>JÄMTLANDS LÄN</t>
        </is>
      </c>
      <c r="E1248" t="inlineStr">
        <is>
          <t>KROKOM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785-2024</t>
        </is>
      </c>
      <c r="B1249" s="1" t="n">
        <v>45300</v>
      </c>
      <c r="C1249" s="1" t="n">
        <v>45741</v>
      </c>
      <c r="D1249" t="inlineStr">
        <is>
          <t>JÄMTLANDS LÄN</t>
        </is>
      </c>
      <c r="E1249" t="inlineStr">
        <is>
          <t>KROKOM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773-2024</t>
        </is>
      </c>
      <c r="B1250" s="1" t="n">
        <v>45300</v>
      </c>
      <c r="C1250" s="1" t="n">
        <v>45741</v>
      </c>
      <c r="D1250" t="inlineStr">
        <is>
          <t>JÄMTLANDS LÄN</t>
        </is>
      </c>
      <c r="E1250" t="inlineStr">
        <is>
          <t>KROKOM</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739-2024</t>
        </is>
      </c>
      <c r="B1251" s="1" t="n">
        <v>45300</v>
      </c>
      <c r="C1251" s="1" t="n">
        <v>45741</v>
      </c>
      <c r="D1251" t="inlineStr">
        <is>
          <t>JÄMTLANDS LÄN</t>
        </is>
      </c>
      <c r="E1251" t="inlineStr">
        <is>
          <t>KROKOM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715-2024</t>
        </is>
      </c>
      <c r="B1252" s="1" t="n">
        <v>45300</v>
      </c>
      <c r="C1252" s="1" t="n">
        <v>45741</v>
      </c>
      <c r="D1252" t="inlineStr">
        <is>
          <t>JÄMTLANDS LÄN</t>
        </is>
      </c>
      <c r="E1252" t="inlineStr">
        <is>
          <t>KROKOM</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1109-2024</t>
        </is>
      </c>
      <c r="B1253" s="1" t="n">
        <v>45302</v>
      </c>
      <c r="C1253" s="1" t="n">
        <v>45741</v>
      </c>
      <c r="D1253" t="inlineStr">
        <is>
          <t>JÄMTLANDS LÄN</t>
        </is>
      </c>
      <c r="E1253" t="inlineStr">
        <is>
          <t>KROKOM</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1464-2024</t>
        </is>
      </c>
      <c r="B1254" s="1" t="n">
        <v>45304</v>
      </c>
      <c r="C1254" s="1" t="n">
        <v>45741</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1556-2024</t>
        </is>
      </c>
      <c r="B1255" s="1" t="n">
        <v>45306</v>
      </c>
      <c r="C1255" s="1" t="n">
        <v>45741</v>
      </c>
      <c r="D1255" t="inlineStr">
        <is>
          <t>JÄMTLANDS LÄN</t>
        </is>
      </c>
      <c r="E1255" t="inlineStr">
        <is>
          <t>KROKOM</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2017-2024</t>
        </is>
      </c>
      <c r="B1256" s="1" t="n">
        <v>45308</v>
      </c>
      <c r="C1256" s="1" t="n">
        <v>45741</v>
      </c>
      <c r="D1256" t="inlineStr">
        <is>
          <t>JÄMTLANDS LÄN</t>
        </is>
      </c>
      <c r="E1256" t="inlineStr">
        <is>
          <t>KROKOM</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2237-2024</t>
        </is>
      </c>
      <c r="B1257" s="1" t="n">
        <v>45309</v>
      </c>
      <c r="C1257" s="1" t="n">
        <v>45741</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2238-2024</t>
        </is>
      </c>
      <c r="B1258" s="1" t="n">
        <v>45309</v>
      </c>
      <c r="C1258" s="1" t="n">
        <v>45741</v>
      </c>
      <c r="D1258" t="inlineStr">
        <is>
          <t>JÄMTLANDS LÄN</t>
        </is>
      </c>
      <c r="E1258" t="inlineStr">
        <is>
          <t>KROKOM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2236-2024</t>
        </is>
      </c>
      <c r="B1259" s="1" t="n">
        <v>45309</v>
      </c>
      <c r="C1259" s="1" t="n">
        <v>45741</v>
      </c>
      <c r="D1259" t="inlineStr">
        <is>
          <t>JÄMTLANDS LÄN</t>
        </is>
      </c>
      <c r="E1259" t="inlineStr">
        <is>
          <t>KROKOM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2257-2024</t>
        </is>
      </c>
      <c r="B1260" s="1" t="n">
        <v>45310</v>
      </c>
      <c r="C1260" s="1" t="n">
        <v>45741</v>
      </c>
      <c r="D1260" t="inlineStr">
        <is>
          <t>JÄMTLANDS LÄN</t>
        </is>
      </c>
      <c r="E1260" t="inlineStr">
        <is>
          <t>KROKOM</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2628-2024</t>
        </is>
      </c>
      <c r="B1261" s="1" t="n">
        <v>45313</v>
      </c>
      <c r="C1261" s="1" t="n">
        <v>45741</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2775-2024</t>
        </is>
      </c>
      <c r="B1262" s="1" t="n">
        <v>45314</v>
      </c>
      <c r="C1262" s="1" t="n">
        <v>45741</v>
      </c>
      <c r="D1262" t="inlineStr">
        <is>
          <t>JÄMTLANDS LÄN</t>
        </is>
      </c>
      <c r="E1262" t="inlineStr">
        <is>
          <t>KROKOM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3188-2024</t>
        </is>
      </c>
      <c r="B1263" s="1" t="n">
        <v>45316</v>
      </c>
      <c r="C1263" s="1" t="n">
        <v>45741</v>
      </c>
      <c r="D1263" t="inlineStr">
        <is>
          <t>JÄMTLANDS LÄN</t>
        </is>
      </c>
      <c r="E1263" t="inlineStr">
        <is>
          <t>KROKOM</t>
        </is>
      </c>
      <c r="G1263" t="n">
        <v>24.9</v>
      </c>
      <c r="H1263" t="n">
        <v>0</v>
      </c>
      <c r="I1263" t="n">
        <v>0</v>
      </c>
      <c r="J1263" t="n">
        <v>0</v>
      </c>
      <c r="K1263" t="n">
        <v>0</v>
      </c>
      <c r="L1263" t="n">
        <v>0</v>
      </c>
      <c r="M1263" t="n">
        <v>0</v>
      </c>
      <c r="N1263" t="n">
        <v>0</v>
      </c>
      <c r="O1263" t="n">
        <v>0</v>
      </c>
      <c r="P1263" t="n">
        <v>0</v>
      </c>
      <c r="Q1263" t="n">
        <v>0</v>
      </c>
      <c r="R1263" s="2" t="inlineStr"/>
    </row>
    <row r="1264" ht="15" customHeight="1">
      <c r="A1264" t="inlineStr">
        <is>
          <t>A 3214-2024</t>
        </is>
      </c>
      <c r="B1264" s="1" t="n">
        <v>45316</v>
      </c>
      <c r="C1264" s="1" t="n">
        <v>45741</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3257-2024</t>
        </is>
      </c>
      <c r="B1265" s="1" t="n">
        <v>45316</v>
      </c>
      <c r="C1265" s="1" t="n">
        <v>45741</v>
      </c>
      <c r="D1265" t="inlineStr">
        <is>
          <t>JÄMTLANDS LÄN</t>
        </is>
      </c>
      <c r="E1265" t="inlineStr">
        <is>
          <t>KROKOM</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4354-2024</t>
        </is>
      </c>
      <c r="B1266" s="1" t="n">
        <v>45324</v>
      </c>
      <c r="C1266" s="1" t="n">
        <v>45741</v>
      </c>
      <c r="D1266" t="inlineStr">
        <is>
          <t>JÄMTLANDS LÄN</t>
        </is>
      </c>
      <c r="E1266" t="inlineStr">
        <is>
          <t>KROKOM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4355-2024</t>
        </is>
      </c>
      <c r="B1267" s="1" t="n">
        <v>45324</v>
      </c>
      <c r="C1267" s="1" t="n">
        <v>45741</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4353-2024</t>
        </is>
      </c>
      <c r="B1268" s="1" t="n">
        <v>45324</v>
      </c>
      <c r="C1268" s="1" t="n">
        <v>45741</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5438-2024</t>
        </is>
      </c>
      <c r="B1269" s="1" t="n">
        <v>45331</v>
      </c>
      <c r="C1269" s="1" t="n">
        <v>45741</v>
      </c>
      <c r="D1269" t="inlineStr">
        <is>
          <t>JÄMTLANDS LÄN</t>
        </is>
      </c>
      <c r="E1269" t="inlineStr">
        <is>
          <t>KROKOM</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5437-2024</t>
        </is>
      </c>
      <c r="B1270" s="1" t="n">
        <v>45331</v>
      </c>
      <c r="C1270" s="1" t="n">
        <v>45741</v>
      </c>
      <c r="D1270" t="inlineStr">
        <is>
          <t>JÄMTLANDS LÄN</t>
        </is>
      </c>
      <c r="E1270" t="inlineStr">
        <is>
          <t>KROKOM</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5440-2024</t>
        </is>
      </c>
      <c r="B1271" s="1" t="n">
        <v>45331</v>
      </c>
      <c r="C1271" s="1" t="n">
        <v>45741</v>
      </c>
      <c r="D1271" t="inlineStr">
        <is>
          <t>JÄMTLANDS LÄN</t>
        </is>
      </c>
      <c r="E1271" t="inlineStr">
        <is>
          <t>KROKOM</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6283-2024</t>
        </is>
      </c>
      <c r="B1272" s="1" t="n">
        <v>45337</v>
      </c>
      <c r="C1272" s="1" t="n">
        <v>45741</v>
      </c>
      <c r="D1272" t="inlineStr">
        <is>
          <t>JÄMTLANDS LÄN</t>
        </is>
      </c>
      <c r="E1272" t="inlineStr">
        <is>
          <t>KROKOM</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6284-2024</t>
        </is>
      </c>
      <c r="B1273" s="1" t="n">
        <v>45337</v>
      </c>
      <c r="C1273" s="1" t="n">
        <v>45741</v>
      </c>
      <c r="D1273" t="inlineStr">
        <is>
          <t>JÄMTLANDS LÄN</t>
        </is>
      </c>
      <c r="E1273" t="inlineStr">
        <is>
          <t>KROKOM</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6403-2024</t>
        </is>
      </c>
      <c r="B1274" s="1" t="n">
        <v>45338</v>
      </c>
      <c r="C1274" s="1" t="n">
        <v>45741</v>
      </c>
      <c r="D1274" t="inlineStr">
        <is>
          <t>JÄMTLANDS LÄN</t>
        </is>
      </c>
      <c r="E1274" t="inlineStr">
        <is>
          <t>KROKOM</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6482-2024</t>
        </is>
      </c>
      <c r="B1275" s="1" t="n">
        <v>45338</v>
      </c>
      <c r="C1275" s="1" t="n">
        <v>45741</v>
      </c>
      <c r="D1275" t="inlineStr">
        <is>
          <t>JÄMTLANDS LÄN</t>
        </is>
      </c>
      <c r="E1275" t="inlineStr">
        <is>
          <t>KROKOM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6483-2024</t>
        </is>
      </c>
      <c r="B1276" s="1" t="n">
        <v>45338</v>
      </c>
      <c r="C1276" s="1" t="n">
        <v>45741</v>
      </c>
      <c r="D1276" t="inlineStr">
        <is>
          <t>JÄMTLANDS LÄN</t>
        </is>
      </c>
      <c r="E1276" t="inlineStr">
        <is>
          <t>KROKOM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6900-2024</t>
        </is>
      </c>
      <c r="B1277" s="1" t="n">
        <v>45342</v>
      </c>
      <c r="C1277" s="1" t="n">
        <v>45741</v>
      </c>
      <c r="D1277" t="inlineStr">
        <is>
          <t>JÄMTLANDS LÄN</t>
        </is>
      </c>
      <c r="E1277" t="inlineStr">
        <is>
          <t>KROKOM</t>
        </is>
      </c>
      <c r="F1277" t="inlineStr">
        <is>
          <t>SCA</t>
        </is>
      </c>
      <c r="G1277" t="n">
        <v>64.59999999999999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6898-2024</t>
        </is>
      </c>
      <c r="B1278" s="1" t="n">
        <v>45342</v>
      </c>
      <c r="C1278" s="1" t="n">
        <v>45741</v>
      </c>
      <c r="D1278" t="inlineStr">
        <is>
          <t>JÄMTLANDS LÄN</t>
        </is>
      </c>
      <c r="E1278" t="inlineStr">
        <is>
          <t>KROKOM</t>
        </is>
      </c>
      <c r="F1278" t="inlineStr">
        <is>
          <t>SCA</t>
        </is>
      </c>
      <c r="G1278" t="n">
        <v>30.7</v>
      </c>
      <c r="H1278" t="n">
        <v>0</v>
      </c>
      <c r="I1278" t="n">
        <v>0</v>
      </c>
      <c r="J1278" t="n">
        <v>0</v>
      </c>
      <c r="K1278" t="n">
        <v>0</v>
      </c>
      <c r="L1278" t="n">
        <v>0</v>
      </c>
      <c r="M1278" t="n">
        <v>0</v>
      </c>
      <c r="N1278" t="n">
        <v>0</v>
      </c>
      <c r="O1278" t="n">
        <v>0</v>
      </c>
      <c r="P1278" t="n">
        <v>0</v>
      </c>
      <c r="Q1278" t="n">
        <v>0</v>
      </c>
      <c r="R1278" s="2" t="inlineStr"/>
    </row>
    <row r="1279" ht="15" customHeight="1">
      <c r="A1279" t="inlineStr">
        <is>
          <t>A 7111-2024</t>
        </is>
      </c>
      <c r="B1279" s="1" t="n">
        <v>45343</v>
      </c>
      <c r="C1279" s="1" t="n">
        <v>45741</v>
      </c>
      <c r="D1279" t="inlineStr">
        <is>
          <t>JÄMTLANDS LÄN</t>
        </is>
      </c>
      <c r="E1279" t="inlineStr">
        <is>
          <t>KROKOM</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7761-2024</t>
        </is>
      </c>
      <c r="B1280" s="1" t="n">
        <v>45348</v>
      </c>
      <c r="C1280" s="1" t="n">
        <v>45741</v>
      </c>
      <c r="D1280" t="inlineStr">
        <is>
          <t>JÄMTLANDS LÄN</t>
        </is>
      </c>
      <c r="E1280" t="inlineStr">
        <is>
          <t>KROKOM</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7763-2024</t>
        </is>
      </c>
      <c r="B1281" s="1" t="n">
        <v>45348</v>
      </c>
      <c r="C1281" s="1" t="n">
        <v>45741</v>
      </c>
      <c r="D1281" t="inlineStr">
        <is>
          <t>JÄMTLANDS LÄN</t>
        </is>
      </c>
      <c r="E1281" t="inlineStr">
        <is>
          <t>KROKOM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7863-2024</t>
        </is>
      </c>
      <c r="B1282" s="1" t="n">
        <v>45350</v>
      </c>
      <c r="C1282" s="1" t="n">
        <v>45741</v>
      </c>
      <c r="D1282" t="inlineStr">
        <is>
          <t>JÄMTLANDS LÄN</t>
        </is>
      </c>
      <c r="E1282" t="inlineStr">
        <is>
          <t>KROKOM</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8130-2024</t>
        </is>
      </c>
      <c r="B1283" s="1" t="n">
        <v>45351</v>
      </c>
      <c r="C1283" s="1" t="n">
        <v>45741</v>
      </c>
      <c r="D1283" t="inlineStr">
        <is>
          <t>JÄMTLANDS LÄN</t>
        </is>
      </c>
      <c r="E1283" t="inlineStr">
        <is>
          <t>KROKOM</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9750-2024</t>
        </is>
      </c>
      <c r="B1284" s="1" t="n">
        <v>45362</v>
      </c>
      <c r="C1284" s="1" t="n">
        <v>45741</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9755-2024</t>
        </is>
      </c>
      <c r="B1285" s="1" t="n">
        <v>45362</v>
      </c>
      <c r="C1285" s="1" t="n">
        <v>45741</v>
      </c>
      <c r="D1285" t="inlineStr">
        <is>
          <t>JÄMTLANDS LÄN</t>
        </is>
      </c>
      <c r="E1285" t="inlineStr">
        <is>
          <t>KROKOM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10597-2024</t>
        </is>
      </c>
      <c r="B1286" s="1" t="n">
        <v>45366</v>
      </c>
      <c r="C1286" s="1" t="n">
        <v>45741</v>
      </c>
      <c r="D1286" t="inlineStr">
        <is>
          <t>JÄMTLANDS LÄN</t>
        </is>
      </c>
      <c r="E1286" t="inlineStr">
        <is>
          <t>KROKOM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10612-2024</t>
        </is>
      </c>
      <c r="B1287" s="1" t="n">
        <v>45367</v>
      </c>
      <c r="C1287" s="1" t="n">
        <v>45741</v>
      </c>
      <c r="D1287" t="inlineStr">
        <is>
          <t>JÄMTLANDS LÄN</t>
        </is>
      </c>
      <c r="E1287" t="inlineStr">
        <is>
          <t>KROKOM</t>
        </is>
      </c>
      <c r="F1287" t="inlineStr">
        <is>
          <t>SCA</t>
        </is>
      </c>
      <c r="G1287" t="n">
        <v>25.3</v>
      </c>
      <c r="H1287" t="n">
        <v>0</v>
      </c>
      <c r="I1287" t="n">
        <v>0</v>
      </c>
      <c r="J1287" t="n">
        <v>0</v>
      </c>
      <c r="K1287" t="n">
        <v>0</v>
      </c>
      <c r="L1287" t="n">
        <v>0</v>
      </c>
      <c r="M1287" t="n">
        <v>0</v>
      </c>
      <c r="N1287" t="n">
        <v>0</v>
      </c>
      <c r="O1287" t="n">
        <v>0</v>
      </c>
      <c r="P1287" t="n">
        <v>0</v>
      </c>
      <c r="Q1287" t="n">
        <v>0</v>
      </c>
      <c r="R1287" s="2" t="inlineStr"/>
    </row>
    <row r="1288" ht="15" customHeight="1">
      <c r="A1288" t="inlineStr">
        <is>
          <t>A 10842-2024</t>
        </is>
      </c>
      <c r="B1288" s="1" t="n">
        <v>45369</v>
      </c>
      <c r="C1288" s="1" t="n">
        <v>45741</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10773-2024</t>
        </is>
      </c>
      <c r="B1289" s="1" t="n">
        <v>45369</v>
      </c>
      <c r="C1289" s="1" t="n">
        <v>45741</v>
      </c>
      <c r="D1289" t="inlineStr">
        <is>
          <t>JÄMTLANDS LÄN</t>
        </is>
      </c>
      <c r="E1289" t="inlineStr">
        <is>
          <t>KROKOM</t>
        </is>
      </c>
      <c r="G1289" t="n">
        <v>27.1</v>
      </c>
      <c r="H1289" t="n">
        <v>0</v>
      </c>
      <c r="I1289" t="n">
        <v>0</v>
      </c>
      <c r="J1289" t="n">
        <v>0</v>
      </c>
      <c r="K1289" t="n">
        <v>0</v>
      </c>
      <c r="L1289" t="n">
        <v>0</v>
      </c>
      <c r="M1289" t="n">
        <v>0</v>
      </c>
      <c r="N1289" t="n">
        <v>0</v>
      </c>
      <c r="O1289" t="n">
        <v>0</v>
      </c>
      <c r="P1289" t="n">
        <v>0</v>
      </c>
      <c r="Q1289" t="n">
        <v>0</v>
      </c>
      <c r="R1289" s="2" t="inlineStr"/>
    </row>
    <row r="1290" ht="15" customHeight="1">
      <c r="A1290" t="inlineStr">
        <is>
          <t>A 10961-2024</t>
        </is>
      </c>
      <c r="B1290" s="1" t="n">
        <v>45370</v>
      </c>
      <c r="C1290" s="1" t="n">
        <v>45741</v>
      </c>
      <c r="D1290" t="inlineStr">
        <is>
          <t>JÄMTLANDS LÄN</t>
        </is>
      </c>
      <c r="E1290" t="inlineStr">
        <is>
          <t>KROKOM</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11059-2024</t>
        </is>
      </c>
      <c r="B1291" s="1" t="n">
        <v>45370</v>
      </c>
      <c r="C1291" s="1" t="n">
        <v>45741</v>
      </c>
      <c r="D1291" t="inlineStr">
        <is>
          <t>JÄMTLANDS LÄN</t>
        </is>
      </c>
      <c r="E1291" t="inlineStr">
        <is>
          <t>KROKOM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11045-2024</t>
        </is>
      </c>
      <c r="B1292" s="1" t="n">
        <v>45370</v>
      </c>
      <c r="C1292" s="1" t="n">
        <v>45741</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10976-2024</t>
        </is>
      </c>
      <c r="B1293" s="1" t="n">
        <v>45370</v>
      </c>
      <c r="C1293" s="1" t="n">
        <v>45741</v>
      </c>
      <c r="D1293" t="inlineStr">
        <is>
          <t>JÄMTLANDS LÄN</t>
        </is>
      </c>
      <c r="E1293" t="inlineStr">
        <is>
          <t>KROKOM</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11056-2024</t>
        </is>
      </c>
      <c r="B1294" s="1" t="n">
        <v>45370</v>
      </c>
      <c r="C1294" s="1" t="n">
        <v>45741</v>
      </c>
      <c r="D1294" t="inlineStr">
        <is>
          <t>JÄMTLANDS LÄN</t>
        </is>
      </c>
      <c r="E1294" t="inlineStr">
        <is>
          <t>KROKOM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11092-2024</t>
        </is>
      </c>
      <c r="B1295" s="1" t="n">
        <v>45370</v>
      </c>
      <c r="C1295" s="1" t="n">
        <v>45741</v>
      </c>
      <c r="D1295" t="inlineStr">
        <is>
          <t>JÄMTLANDS LÄN</t>
        </is>
      </c>
      <c r="E1295" t="inlineStr">
        <is>
          <t>KROKOM</t>
        </is>
      </c>
      <c r="F1295" t="inlineStr">
        <is>
          <t>SCA</t>
        </is>
      </c>
      <c r="G1295" t="n">
        <v>27.2</v>
      </c>
      <c r="H1295" t="n">
        <v>0</v>
      </c>
      <c r="I1295" t="n">
        <v>0</v>
      </c>
      <c r="J1295" t="n">
        <v>0</v>
      </c>
      <c r="K1295" t="n">
        <v>0</v>
      </c>
      <c r="L1295" t="n">
        <v>0</v>
      </c>
      <c r="M1295" t="n">
        <v>0</v>
      </c>
      <c r="N1295" t="n">
        <v>0</v>
      </c>
      <c r="O1295" t="n">
        <v>0</v>
      </c>
      <c r="P1295" t="n">
        <v>0</v>
      </c>
      <c r="Q1295" t="n">
        <v>0</v>
      </c>
      <c r="R1295" s="2" t="inlineStr"/>
    </row>
    <row r="1296" ht="15" customHeight="1">
      <c r="A1296" t="inlineStr">
        <is>
          <t>A 11097-2024</t>
        </is>
      </c>
      <c r="B1296" s="1" t="n">
        <v>45370</v>
      </c>
      <c r="C1296" s="1" t="n">
        <v>45741</v>
      </c>
      <c r="D1296" t="inlineStr">
        <is>
          <t>JÄMTLANDS LÄN</t>
        </is>
      </c>
      <c r="E1296" t="inlineStr">
        <is>
          <t>KROKOM</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11193-2024</t>
        </is>
      </c>
      <c r="B1297" s="1" t="n">
        <v>45371</v>
      </c>
      <c r="C1297" s="1" t="n">
        <v>45741</v>
      </c>
      <c r="D1297" t="inlineStr">
        <is>
          <t>JÄMTLANDS LÄN</t>
        </is>
      </c>
      <c r="E1297" t="inlineStr">
        <is>
          <t>KROKOM</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11197-2024</t>
        </is>
      </c>
      <c r="B1298" s="1" t="n">
        <v>45371</v>
      </c>
      <c r="C1298" s="1" t="n">
        <v>45741</v>
      </c>
      <c r="D1298" t="inlineStr">
        <is>
          <t>JÄMTLANDS LÄN</t>
        </is>
      </c>
      <c r="E1298" t="inlineStr">
        <is>
          <t>KROKOM</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11417-2024</t>
        </is>
      </c>
      <c r="B1299" s="1" t="n">
        <v>45371</v>
      </c>
      <c r="C1299" s="1" t="n">
        <v>45741</v>
      </c>
      <c r="D1299" t="inlineStr">
        <is>
          <t>JÄMTLANDS LÄN</t>
        </is>
      </c>
      <c r="E1299" t="inlineStr">
        <is>
          <t>KROKOM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11384-2024</t>
        </is>
      </c>
      <c r="B1300" s="1" t="n">
        <v>45372</v>
      </c>
      <c r="C1300" s="1" t="n">
        <v>45741</v>
      </c>
      <c r="D1300" t="inlineStr">
        <is>
          <t>JÄMTLANDS LÄN</t>
        </is>
      </c>
      <c r="E1300" t="inlineStr">
        <is>
          <t>KROKOM</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11412-2024</t>
        </is>
      </c>
      <c r="B1301" s="1" t="n">
        <v>45372</v>
      </c>
      <c r="C1301" s="1" t="n">
        <v>45741</v>
      </c>
      <c r="D1301" t="inlineStr">
        <is>
          <t>JÄMTLANDS LÄN</t>
        </is>
      </c>
      <c r="E1301" t="inlineStr">
        <is>
          <t>KROKOM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11639-2024</t>
        </is>
      </c>
      <c r="B1302" s="1" t="n">
        <v>45373</v>
      </c>
      <c r="C1302" s="1" t="n">
        <v>45741</v>
      </c>
      <c r="D1302" t="inlineStr">
        <is>
          <t>JÄMTLANDS LÄN</t>
        </is>
      </c>
      <c r="E1302" t="inlineStr">
        <is>
          <t>KROKOM</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12188-2024</t>
        </is>
      </c>
      <c r="B1303" s="1" t="n">
        <v>45377</v>
      </c>
      <c r="C1303" s="1" t="n">
        <v>45741</v>
      </c>
      <c r="D1303" t="inlineStr">
        <is>
          <t>JÄMTLANDS LÄN</t>
        </is>
      </c>
      <c r="E1303" t="inlineStr">
        <is>
          <t>KROKOM</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12412-2024</t>
        </is>
      </c>
      <c r="B1304" s="1" t="n">
        <v>45378</v>
      </c>
      <c r="C1304" s="1" t="n">
        <v>45741</v>
      </c>
      <c r="D1304" t="inlineStr">
        <is>
          <t>JÄMTLANDS LÄN</t>
        </is>
      </c>
      <c r="E1304" t="inlineStr">
        <is>
          <t>KROKOM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12471-2024</t>
        </is>
      </c>
      <c r="B1305" s="1" t="n">
        <v>45378</v>
      </c>
      <c r="C1305" s="1" t="n">
        <v>45741</v>
      </c>
      <c r="D1305" t="inlineStr">
        <is>
          <t>JÄMTLANDS LÄN</t>
        </is>
      </c>
      <c r="E1305" t="inlineStr">
        <is>
          <t>KROKOM</t>
        </is>
      </c>
      <c r="G1305" t="n">
        <v>20.2</v>
      </c>
      <c r="H1305" t="n">
        <v>0</v>
      </c>
      <c r="I1305" t="n">
        <v>0</v>
      </c>
      <c r="J1305" t="n">
        <v>0</v>
      </c>
      <c r="K1305" t="n">
        <v>0</v>
      </c>
      <c r="L1305" t="n">
        <v>0</v>
      </c>
      <c r="M1305" t="n">
        <v>0</v>
      </c>
      <c r="N1305" t="n">
        <v>0</v>
      </c>
      <c r="O1305" t="n">
        <v>0</v>
      </c>
      <c r="P1305" t="n">
        <v>0</v>
      </c>
      <c r="Q1305" t="n">
        <v>0</v>
      </c>
      <c r="R1305" s="2" t="inlineStr"/>
    </row>
    <row r="1306" ht="15" customHeight="1">
      <c r="A1306" t="inlineStr">
        <is>
          <t>A 12402-2024</t>
        </is>
      </c>
      <c r="B1306" s="1" t="n">
        <v>45379</v>
      </c>
      <c r="C1306" s="1" t="n">
        <v>45741</v>
      </c>
      <c r="D1306" t="inlineStr">
        <is>
          <t>JÄMTLANDS LÄN</t>
        </is>
      </c>
      <c r="E1306" t="inlineStr">
        <is>
          <t>KROKOM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12407-2024</t>
        </is>
      </c>
      <c r="B1307" s="1" t="n">
        <v>45379</v>
      </c>
      <c r="C1307" s="1" t="n">
        <v>45741</v>
      </c>
      <c r="D1307" t="inlineStr">
        <is>
          <t>JÄMTLANDS LÄN</t>
        </is>
      </c>
      <c r="E1307" t="inlineStr">
        <is>
          <t>KROKOM</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12824-2024</t>
        </is>
      </c>
      <c r="B1308" s="1" t="n">
        <v>45384</v>
      </c>
      <c r="C1308" s="1" t="n">
        <v>45741</v>
      </c>
      <c r="D1308" t="inlineStr">
        <is>
          <t>JÄMTLANDS LÄN</t>
        </is>
      </c>
      <c r="E1308" t="inlineStr">
        <is>
          <t>KROKOM</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13249-2024</t>
        </is>
      </c>
      <c r="B1309" s="1" t="n">
        <v>45386</v>
      </c>
      <c r="C1309" s="1" t="n">
        <v>45741</v>
      </c>
      <c r="D1309" t="inlineStr">
        <is>
          <t>JÄMTLANDS LÄN</t>
        </is>
      </c>
      <c r="E1309" t="inlineStr">
        <is>
          <t>KROKOM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14029-2024</t>
        </is>
      </c>
      <c r="B1310" s="1" t="n">
        <v>45392</v>
      </c>
      <c r="C1310" s="1" t="n">
        <v>45741</v>
      </c>
      <c r="D1310" t="inlineStr">
        <is>
          <t>JÄMTLANDS LÄN</t>
        </is>
      </c>
      <c r="E1310" t="inlineStr">
        <is>
          <t>KROKOM</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14032-2024</t>
        </is>
      </c>
      <c r="B1311" s="1" t="n">
        <v>45392</v>
      </c>
      <c r="C1311" s="1" t="n">
        <v>45741</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14170-2024</t>
        </is>
      </c>
      <c r="B1312" s="1" t="n">
        <v>45393</v>
      </c>
      <c r="C1312" s="1" t="n">
        <v>45741</v>
      </c>
      <c r="D1312" t="inlineStr">
        <is>
          <t>JÄMTLANDS LÄN</t>
        </is>
      </c>
      <c r="E1312" t="inlineStr">
        <is>
          <t>KROKOM</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14026-2024</t>
        </is>
      </c>
      <c r="B1313" s="1" t="n">
        <v>45392</v>
      </c>
      <c r="C1313" s="1" t="n">
        <v>45741</v>
      </c>
      <c r="D1313" t="inlineStr">
        <is>
          <t>JÄMTLANDS LÄN</t>
        </is>
      </c>
      <c r="E1313" t="inlineStr">
        <is>
          <t>KROKOM</t>
        </is>
      </c>
      <c r="F1313" t="inlineStr">
        <is>
          <t>Kyrkan</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14171-2024</t>
        </is>
      </c>
      <c r="B1314" s="1" t="n">
        <v>45392</v>
      </c>
      <c r="C1314" s="1" t="n">
        <v>45741</v>
      </c>
      <c r="D1314" t="inlineStr">
        <is>
          <t>JÄMTLANDS LÄN</t>
        </is>
      </c>
      <c r="E1314" t="inlineStr">
        <is>
          <t>KROKOM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14184-2024</t>
        </is>
      </c>
      <c r="B1315" s="1" t="n">
        <v>45393</v>
      </c>
      <c r="C1315" s="1" t="n">
        <v>45741</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14457-2024</t>
        </is>
      </c>
      <c r="B1316" s="1" t="n">
        <v>45394</v>
      </c>
      <c r="C1316" s="1" t="n">
        <v>45741</v>
      </c>
      <c r="D1316" t="inlineStr">
        <is>
          <t>JÄMTLANDS LÄN</t>
        </is>
      </c>
      <c r="E1316" t="inlineStr">
        <is>
          <t>KROKOM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14531-2024</t>
        </is>
      </c>
      <c r="B1317" s="1" t="n">
        <v>45394</v>
      </c>
      <c r="C1317" s="1" t="n">
        <v>45741</v>
      </c>
      <c r="D1317" t="inlineStr">
        <is>
          <t>JÄMTLANDS LÄN</t>
        </is>
      </c>
      <c r="E1317" t="inlineStr">
        <is>
          <t>KROKOM</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14687-2024</t>
        </is>
      </c>
      <c r="B1318" s="1" t="n">
        <v>45397</v>
      </c>
      <c r="C1318" s="1" t="n">
        <v>45741</v>
      </c>
      <c r="D1318" t="inlineStr">
        <is>
          <t>JÄMTLANDS LÄN</t>
        </is>
      </c>
      <c r="E1318" t="inlineStr">
        <is>
          <t>KROKOM</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14827-2024</t>
        </is>
      </c>
      <c r="B1319" s="1" t="n">
        <v>45398</v>
      </c>
      <c r="C1319" s="1" t="n">
        <v>45741</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15528-2024</t>
        </is>
      </c>
      <c r="B1320" s="1" t="n">
        <v>45401</v>
      </c>
      <c r="C1320" s="1" t="n">
        <v>45741</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15524-2024</t>
        </is>
      </c>
      <c r="B1321" s="1" t="n">
        <v>45401</v>
      </c>
      <c r="C1321" s="1" t="n">
        <v>45741</v>
      </c>
      <c r="D1321" t="inlineStr">
        <is>
          <t>JÄMTLANDS LÄN</t>
        </is>
      </c>
      <c r="E1321" t="inlineStr">
        <is>
          <t>KROKOM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15797-2024</t>
        </is>
      </c>
      <c r="B1322" s="1" t="n">
        <v>45404</v>
      </c>
      <c r="C1322" s="1" t="n">
        <v>45741</v>
      </c>
      <c r="D1322" t="inlineStr">
        <is>
          <t>JÄMTLANDS LÄN</t>
        </is>
      </c>
      <c r="E1322" t="inlineStr">
        <is>
          <t>KROKOM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15794-2024</t>
        </is>
      </c>
      <c r="B1323" s="1" t="n">
        <v>45404</v>
      </c>
      <c r="C1323" s="1" t="n">
        <v>45741</v>
      </c>
      <c r="D1323" t="inlineStr">
        <is>
          <t>JÄMTLANDS LÄN</t>
        </is>
      </c>
      <c r="E1323" t="inlineStr">
        <is>
          <t>KROKOM</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15934-2024</t>
        </is>
      </c>
      <c r="B1324" s="1" t="n">
        <v>45405</v>
      </c>
      <c r="C1324" s="1" t="n">
        <v>45741</v>
      </c>
      <c r="D1324" t="inlineStr">
        <is>
          <t>JÄMTLANDS LÄN</t>
        </is>
      </c>
      <c r="E1324" t="inlineStr">
        <is>
          <t>KROKOM</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16064-2024</t>
        </is>
      </c>
      <c r="B1325" s="1" t="n">
        <v>45406</v>
      </c>
      <c r="C1325" s="1" t="n">
        <v>45741</v>
      </c>
      <c r="D1325" t="inlineStr">
        <is>
          <t>JÄMTLANDS LÄN</t>
        </is>
      </c>
      <c r="E1325" t="inlineStr">
        <is>
          <t>KROKOM</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16349-2024</t>
        </is>
      </c>
      <c r="B1326" s="1" t="n">
        <v>45407</v>
      </c>
      <c r="C1326" s="1" t="n">
        <v>45741</v>
      </c>
      <c r="D1326" t="inlineStr">
        <is>
          <t>JÄMTLANDS LÄN</t>
        </is>
      </c>
      <c r="E1326" t="inlineStr">
        <is>
          <t>KROKOM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16431-2024</t>
        </is>
      </c>
      <c r="B1327" s="1" t="n">
        <v>45407</v>
      </c>
      <c r="C1327" s="1" t="n">
        <v>45741</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16545-2024</t>
        </is>
      </c>
      <c r="B1328" s="1" t="n">
        <v>45408</v>
      </c>
      <c r="C1328" s="1" t="n">
        <v>45741</v>
      </c>
      <c r="D1328" t="inlineStr">
        <is>
          <t>JÄMTLANDS LÄN</t>
        </is>
      </c>
      <c r="E1328" t="inlineStr">
        <is>
          <t>KROKOM</t>
        </is>
      </c>
      <c r="G1328" t="n">
        <v>46.1</v>
      </c>
      <c r="H1328" t="n">
        <v>0</v>
      </c>
      <c r="I1328" t="n">
        <v>0</v>
      </c>
      <c r="J1328" t="n">
        <v>0</v>
      </c>
      <c r="K1328" t="n">
        <v>0</v>
      </c>
      <c r="L1328" t="n">
        <v>0</v>
      </c>
      <c r="M1328" t="n">
        <v>0</v>
      </c>
      <c r="N1328" t="n">
        <v>0</v>
      </c>
      <c r="O1328" t="n">
        <v>0</v>
      </c>
      <c r="P1328" t="n">
        <v>0</v>
      </c>
      <c r="Q1328" t="n">
        <v>0</v>
      </c>
      <c r="R1328" s="2" t="inlineStr"/>
    </row>
    <row r="1329" ht="15" customHeight="1">
      <c r="A1329" t="inlineStr">
        <is>
          <t>A 16874-2024</t>
        </is>
      </c>
      <c r="B1329" s="1" t="n">
        <v>45411</v>
      </c>
      <c r="C1329" s="1" t="n">
        <v>45741</v>
      </c>
      <c r="D1329" t="inlineStr">
        <is>
          <t>JÄMTLANDS LÄN</t>
        </is>
      </c>
      <c r="E1329" t="inlineStr">
        <is>
          <t>KROKOM</t>
        </is>
      </c>
      <c r="F1329" t="inlineStr">
        <is>
          <t>Övriga Aktiebolag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16817-2024</t>
        </is>
      </c>
      <c r="B1330" s="1" t="n">
        <v>45411</v>
      </c>
      <c r="C1330" s="1" t="n">
        <v>45741</v>
      </c>
      <c r="D1330" t="inlineStr">
        <is>
          <t>JÄMTLANDS LÄN</t>
        </is>
      </c>
      <c r="E1330" t="inlineStr">
        <is>
          <t>KROKOM</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17090-2024</t>
        </is>
      </c>
      <c r="B1331" s="1" t="n">
        <v>45412</v>
      </c>
      <c r="C1331" s="1" t="n">
        <v>45741</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17298-2024</t>
        </is>
      </c>
      <c r="B1332" s="1" t="n">
        <v>45414</v>
      </c>
      <c r="C1332" s="1" t="n">
        <v>45741</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17417-2024</t>
        </is>
      </c>
      <c r="B1333" s="1" t="n">
        <v>45415</v>
      </c>
      <c r="C1333" s="1" t="n">
        <v>45741</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17469-2024</t>
        </is>
      </c>
      <c r="B1334" s="1" t="n">
        <v>45415</v>
      </c>
      <c r="C1334" s="1" t="n">
        <v>45741</v>
      </c>
      <c r="D1334" t="inlineStr">
        <is>
          <t>JÄMTLANDS LÄN</t>
        </is>
      </c>
      <c r="E1334" t="inlineStr">
        <is>
          <t>KROKOM</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17593-2024</t>
        </is>
      </c>
      <c r="B1335" s="1" t="n">
        <v>45415</v>
      </c>
      <c r="C1335" s="1" t="n">
        <v>45741</v>
      </c>
      <c r="D1335" t="inlineStr">
        <is>
          <t>JÄMTLANDS LÄN</t>
        </is>
      </c>
      <c r="E1335" t="inlineStr">
        <is>
          <t>KROKOM</t>
        </is>
      </c>
      <c r="F1335" t="inlineStr">
        <is>
          <t>SCA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17820-2024</t>
        </is>
      </c>
      <c r="B1336" s="1" t="n">
        <v>45419</v>
      </c>
      <c r="C1336" s="1" t="n">
        <v>45741</v>
      </c>
      <c r="D1336" t="inlineStr">
        <is>
          <t>JÄMTLANDS LÄN</t>
        </is>
      </c>
      <c r="E1336" t="inlineStr">
        <is>
          <t>KROKOM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17821-2024</t>
        </is>
      </c>
      <c r="B1337" s="1" t="n">
        <v>45419</v>
      </c>
      <c r="C1337" s="1" t="n">
        <v>45741</v>
      </c>
      <c r="D1337" t="inlineStr">
        <is>
          <t>JÄMTLANDS LÄN</t>
        </is>
      </c>
      <c r="E1337" t="inlineStr">
        <is>
          <t>KROKOM</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17853-2024</t>
        </is>
      </c>
      <c r="B1338" s="1" t="n">
        <v>45419</v>
      </c>
      <c r="C1338" s="1" t="n">
        <v>45741</v>
      </c>
      <c r="D1338" t="inlineStr">
        <is>
          <t>JÄMTLANDS LÄN</t>
        </is>
      </c>
      <c r="E1338" t="inlineStr">
        <is>
          <t>KROKOM</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18064-2024</t>
        </is>
      </c>
      <c r="B1339" s="1" t="n">
        <v>45420</v>
      </c>
      <c r="C1339" s="1" t="n">
        <v>45741</v>
      </c>
      <c r="D1339" t="inlineStr">
        <is>
          <t>JÄMTLANDS LÄN</t>
        </is>
      </c>
      <c r="E1339" t="inlineStr">
        <is>
          <t>KROKOM</t>
        </is>
      </c>
      <c r="F1339" t="inlineStr">
        <is>
          <t>Övriga Aktiebolag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18491-2024</t>
        </is>
      </c>
      <c r="B1340" s="1" t="n">
        <v>45425</v>
      </c>
      <c r="C1340" s="1" t="n">
        <v>45741</v>
      </c>
      <c r="D1340" t="inlineStr">
        <is>
          <t>JÄMTLANDS LÄN</t>
        </is>
      </c>
      <c r="E1340" t="inlineStr">
        <is>
          <t>KROKOM</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19248-2024</t>
        </is>
      </c>
      <c r="B1341" s="1" t="n">
        <v>45428</v>
      </c>
      <c r="C1341" s="1" t="n">
        <v>45741</v>
      </c>
      <c r="D1341" t="inlineStr">
        <is>
          <t>JÄMTLANDS LÄN</t>
        </is>
      </c>
      <c r="E1341" t="inlineStr">
        <is>
          <t>KROKOM</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19432-2024</t>
        </is>
      </c>
      <c r="B1342" s="1" t="n">
        <v>45429</v>
      </c>
      <c r="C1342" s="1" t="n">
        <v>45741</v>
      </c>
      <c r="D1342" t="inlineStr">
        <is>
          <t>JÄMTLANDS LÄN</t>
        </is>
      </c>
      <c r="E1342" t="inlineStr">
        <is>
          <t>KROKOM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19698-2024</t>
        </is>
      </c>
      <c r="B1343" s="1" t="n">
        <v>45432</v>
      </c>
      <c r="C1343" s="1" t="n">
        <v>45741</v>
      </c>
      <c r="D1343" t="inlineStr">
        <is>
          <t>JÄMTLANDS LÄN</t>
        </is>
      </c>
      <c r="E1343" t="inlineStr">
        <is>
          <t>KROKOM</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19635-2024</t>
        </is>
      </c>
      <c r="B1344" s="1" t="n">
        <v>45432</v>
      </c>
      <c r="C1344" s="1" t="n">
        <v>45741</v>
      </c>
      <c r="D1344" t="inlineStr">
        <is>
          <t>JÄMTLANDS LÄN</t>
        </is>
      </c>
      <c r="E1344" t="inlineStr">
        <is>
          <t>KROKOM</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21261-2024</t>
        </is>
      </c>
      <c r="B1345" s="1" t="n">
        <v>45440</v>
      </c>
      <c r="C1345" s="1" t="n">
        <v>45741</v>
      </c>
      <c r="D1345" t="inlineStr">
        <is>
          <t>JÄMTLANDS LÄN</t>
        </is>
      </c>
      <c r="E1345" t="inlineStr">
        <is>
          <t>KROKOM</t>
        </is>
      </c>
      <c r="F1345" t="inlineStr">
        <is>
          <t>Övriga Aktiebolag</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21304-2024</t>
        </is>
      </c>
      <c r="B1346" s="1" t="n">
        <v>45440</v>
      </c>
      <c r="C1346" s="1" t="n">
        <v>45741</v>
      </c>
      <c r="D1346" t="inlineStr">
        <is>
          <t>JÄMTLANDS LÄN</t>
        </is>
      </c>
      <c r="E1346" t="inlineStr">
        <is>
          <t>KROKOM</t>
        </is>
      </c>
      <c r="F1346" t="inlineStr">
        <is>
          <t>Övriga Aktiebolag</t>
        </is>
      </c>
      <c r="G1346" t="n">
        <v>15.1</v>
      </c>
      <c r="H1346" t="n">
        <v>0</v>
      </c>
      <c r="I1346" t="n">
        <v>0</v>
      </c>
      <c r="J1346" t="n">
        <v>0</v>
      </c>
      <c r="K1346" t="n">
        <v>0</v>
      </c>
      <c r="L1346" t="n">
        <v>0</v>
      </c>
      <c r="M1346" t="n">
        <v>0</v>
      </c>
      <c r="N1346" t="n">
        <v>0</v>
      </c>
      <c r="O1346" t="n">
        <v>0</v>
      </c>
      <c r="P1346" t="n">
        <v>0</v>
      </c>
      <c r="Q1346" t="n">
        <v>0</v>
      </c>
      <c r="R1346" s="2" t="inlineStr"/>
    </row>
    <row r="1347" ht="15" customHeight="1">
      <c r="A1347" t="inlineStr">
        <is>
          <t>A 21579-2024</t>
        </is>
      </c>
      <c r="B1347" s="1" t="n">
        <v>45441</v>
      </c>
      <c r="C1347" s="1" t="n">
        <v>45741</v>
      </c>
      <c r="D1347" t="inlineStr">
        <is>
          <t>JÄMTLANDS LÄN</t>
        </is>
      </c>
      <c r="E1347" t="inlineStr">
        <is>
          <t>KROKOM</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21806-2024</t>
        </is>
      </c>
      <c r="B1348" s="1" t="n">
        <v>45442</v>
      </c>
      <c r="C1348" s="1" t="n">
        <v>45741</v>
      </c>
      <c r="D1348" t="inlineStr">
        <is>
          <t>JÄMTLANDS LÄN</t>
        </is>
      </c>
      <c r="E1348" t="inlineStr">
        <is>
          <t>KROKOM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21801-2024</t>
        </is>
      </c>
      <c r="B1349" s="1" t="n">
        <v>45442</v>
      </c>
      <c r="C1349" s="1" t="n">
        <v>45741</v>
      </c>
      <c r="D1349" t="inlineStr">
        <is>
          <t>JÄMTLANDS LÄN</t>
        </is>
      </c>
      <c r="E1349" t="inlineStr">
        <is>
          <t>KROKOM</t>
        </is>
      </c>
      <c r="F1349" t="inlineStr">
        <is>
          <t>Övriga Aktiebolag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21839-2024</t>
        </is>
      </c>
      <c r="B1350" s="1" t="n">
        <v>45442</v>
      </c>
      <c r="C1350" s="1" t="n">
        <v>45741</v>
      </c>
      <c r="D1350" t="inlineStr">
        <is>
          <t>JÄMTLANDS LÄN</t>
        </is>
      </c>
      <c r="E1350" t="inlineStr">
        <is>
          <t>KROKOM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22127-2024</t>
        </is>
      </c>
      <c r="B1351" s="1" t="n">
        <v>45443</v>
      </c>
      <c r="C1351" s="1" t="n">
        <v>45741</v>
      </c>
      <c r="D1351" t="inlineStr">
        <is>
          <t>JÄMTLANDS LÄN</t>
        </is>
      </c>
      <c r="E1351" t="inlineStr">
        <is>
          <t>KROKOM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22411-2024</t>
        </is>
      </c>
      <c r="B1352" s="1" t="n">
        <v>45446</v>
      </c>
      <c r="C1352" s="1" t="n">
        <v>45741</v>
      </c>
      <c r="D1352" t="inlineStr">
        <is>
          <t>JÄMTLANDS LÄN</t>
        </is>
      </c>
      <c r="E1352" t="inlineStr">
        <is>
          <t>KROKOM</t>
        </is>
      </c>
      <c r="F1352" t="inlineStr">
        <is>
          <t>Övriga Aktiebolag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22258-2024</t>
        </is>
      </c>
      <c r="B1353" s="1" t="n">
        <v>45446</v>
      </c>
      <c r="C1353" s="1" t="n">
        <v>45741</v>
      </c>
      <c r="D1353" t="inlineStr">
        <is>
          <t>JÄMTLANDS LÄN</t>
        </is>
      </c>
      <c r="E1353" t="inlineStr">
        <is>
          <t>KROKOM</t>
        </is>
      </c>
      <c r="F1353" t="inlineStr">
        <is>
          <t>Övriga Aktiebolag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22949-2024</t>
        </is>
      </c>
      <c r="B1354" s="1" t="n">
        <v>45448</v>
      </c>
      <c r="C1354" s="1" t="n">
        <v>45741</v>
      </c>
      <c r="D1354" t="inlineStr">
        <is>
          <t>JÄMTLANDS LÄN</t>
        </is>
      </c>
      <c r="E1354" t="inlineStr">
        <is>
          <t>KROKOM</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22850-2024</t>
        </is>
      </c>
      <c r="B1355" s="1" t="n">
        <v>45448</v>
      </c>
      <c r="C1355" s="1" t="n">
        <v>45741</v>
      </c>
      <c r="D1355" t="inlineStr">
        <is>
          <t>JÄMTLANDS LÄN</t>
        </is>
      </c>
      <c r="E1355" t="inlineStr">
        <is>
          <t>KROKOM</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22890-2024</t>
        </is>
      </c>
      <c r="B1356" s="1" t="n">
        <v>45448</v>
      </c>
      <c r="C1356" s="1" t="n">
        <v>45741</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22967-2024</t>
        </is>
      </c>
      <c r="B1357" s="1" t="n">
        <v>45449</v>
      </c>
      <c r="C1357" s="1" t="n">
        <v>45741</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22971-2024</t>
        </is>
      </c>
      <c r="B1358" s="1" t="n">
        <v>45449</v>
      </c>
      <c r="C1358" s="1" t="n">
        <v>45741</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23017-2024</t>
        </is>
      </c>
      <c r="B1359" s="1" t="n">
        <v>45450</v>
      </c>
      <c r="C1359" s="1" t="n">
        <v>45741</v>
      </c>
      <c r="D1359" t="inlineStr">
        <is>
          <t>JÄMTLANDS LÄN</t>
        </is>
      </c>
      <c r="E1359" t="inlineStr">
        <is>
          <t>KROKOM</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23215-2024</t>
        </is>
      </c>
      <c r="B1360" s="1" t="n">
        <v>45452</v>
      </c>
      <c r="C1360" s="1" t="n">
        <v>45741</v>
      </c>
      <c r="D1360" t="inlineStr">
        <is>
          <t>JÄMTLANDS LÄN</t>
        </is>
      </c>
      <c r="E1360" t="inlineStr">
        <is>
          <t>KROKOM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23214-2024</t>
        </is>
      </c>
      <c r="B1361" s="1" t="n">
        <v>45452</v>
      </c>
      <c r="C1361" s="1" t="n">
        <v>45741</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23210-2024</t>
        </is>
      </c>
      <c r="B1362" s="1" t="n">
        <v>45452</v>
      </c>
      <c r="C1362" s="1" t="n">
        <v>45741</v>
      </c>
      <c r="D1362" t="inlineStr">
        <is>
          <t>JÄMTLANDS LÄN</t>
        </is>
      </c>
      <c r="E1362" t="inlineStr">
        <is>
          <t>KROKOM</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23281-2024</t>
        </is>
      </c>
      <c r="B1363" s="1" t="n">
        <v>45453</v>
      </c>
      <c r="C1363" s="1" t="n">
        <v>45741</v>
      </c>
      <c r="D1363" t="inlineStr">
        <is>
          <t>JÄMTLANDS LÄN</t>
        </is>
      </c>
      <c r="E1363" t="inlineStr">
        <is>
          <t>KROKOM</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23297-2024</t>
        </is>
      </c>
      <c r="B1364" s="1" t="n">
        <v>45453</v>
      </c>
      <c r="C1364" s="1" t="n">
        <v>45741</v>
      </c>
      <c r="D1364" t="inlineStr">
        <is>
          <t>JÄMTLANDS LÄN</t>
        </is>
      </c>
      <c r="E1364" t="inlineStr">
        <is>
          <t>KROKOM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23313-2024</t>
        </is>
      </c>
      <c r="B1365" s="1" t="n">
        <v>45453</v>
      </c>
      <c r="C1365" s="1" t="n">
        <v>45741</v>
      </c>
      <c r="D1365" t="inlineStr">
        <is>
          <t>JÄMTLANDS LÄN</t>
        </is>
      </c>
      <c r="E1365" t="inlineStr">
        <is>
          <t>KROKOM</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23319-2024</t>
        </is>
      </c>
      <c r="B1366" s="1" t="n">
        <v>45453</v>
      </c>
      <c r="C1366" s="1" t="n">
        <v>45741</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23554-2024</t>
        </is>
      </c>
      <c r="B1367" s="1" t="n">
        <v>45454</v>
      </c>
      <c r="C1367" s="1" t="n">
        <v>45741</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23316-2024</t>
        </is>
      </c>
      <c r="B1368" s="1" t="n">
        <v>45453</v>
      </c>
      <c r="C1368" s="1" t="n">
        <v>45741</v>
      </c>
      <c r="D1368" t="inlineStr">
        <is>
          <t>JÄMTLANDS LÄN</t>
        </is>
      </c>
      <c r="E1368" t="inlineStr">
        <is>
          <t>KROKOM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23507-2024</t>
        </is>
      </c>
      <c r="B1369" s="1" t="n">
        <v>45453</v>
      </c>
      <c r="C1369" s="1" t="n">
        <v>45741</v>
      </c>
      <c r="D1369" t="inlineStr">
        <is>
          <t>JÄMTLANDS LÄN</t>
        </is>
      </c>
      <c r="E1369" t="inlineStr">
        <is>
          <t>KROKOM</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23539-2024</t>
        </is>
      </c>
      <c r="B1370" s="1" t="n">
        <v>45454</v>
      </c>
      <c r="C1370" s="1" t="n">
        <v>45741</v>
      </c>
      <c r="D1370" t="inlineStr">
        <is>
          <t>JÄMTLANDS LÄN</t>
        </is>
      </c>
      <c r="E1370" t="inlineStr">
        <is>
          <t>KROKOM</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23379-2024</t>
        </is>
      </c>
      <c r="B1371" s="1" t="n">
        <v>45453</v>
      </c>
      <c r="C1371" s="1" t="n">
        <v>45741</v>
      </c>
      <c r="D1371" t="inlineStr">
        <is>
          <t>JÄMTLANDS LÄN</t>
        </is>
      </c>
      <c r="E1371" t="inlineStr">
        <is>
          <t>KROKOM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23635-2024</t>
        </is>
      </c>
      <c r="B1372" s="1" t="n">
        <v>45454</v>
      </c>
      <c r="C1372" s="1" t="n">
        <v>45741</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23665-2024</t>
        </is>
      </c>
      <c r="B1373" s="1" t="n">
        <v>45454</v>
      </c>
      <c r="C1373" s="1" t="n">
        <v>45741</v>
      </c>
      <c r="D1373" t="inlineStr">
        <is>
          <t>JÄMTLANDS LÄN</t>
        </is>
      </c>
      <c r="E1373" t="inlineStr">
        <is>
          <t>KROKOM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23948-2024</t>
        </is>
      </c>
      <c r="B1374" s="1" t="n">
        <v>45456</v>
      </c>
      <c r="C1374" s="1" t="n">
        <v>45741</v>
      </c>
      <c r="D1374" t="inlineStr">
        <is>
          <t>JÄMTLANDS LÄN</t>
        </is>
      </c>
      <c r="E1374" t="inlineStr">
        <is>
          <t>KROKOM</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23988-2024</t>
        </is>
      </c>
      <c r="B1375" s="1" t="n">
        <v>45456</v>
      </c>
      <c r="C1375" s="1" t="n">
        <v>45741</v>
      </c>
      <c r="D1375" t="inlineStr">
        <is>
          <t>JÄMTLANDS LÄN</t>
        </is>
      </c>
      <c r="E1375" t="inlineStr">
        <is>
          <t>KROKOM</t>
        </is>
      </c>
      <c r="F1375" t="inlineStr">
        <is>
          <t>Kyrkan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24198-2024</t>
        </is>
      </c>
      <c r="B1376" s="1" t="n">
        <v>45457</v>
      </c>
      <c r="C1376" s="1" t="n">
        <v>45741</v>
      </c>
      <c r="D1376" t="inlineStr">
        <is>
          <t>JÄMTLANDS LÄN</t>
        </is>
      </c>
      <c r="E1376" t="inlineStr">
        <is>
          <t>KROKOM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24234-2024</t>
        </is>
      </c>
      <c r="B1377" s="1" t="n">
        <v>45457</v>
      </c>
      <c r="C1377" s="1" t="n">
        <v>45741</v>
      </c>
      <c r="D1377" t="inlineStr">
        <is>
          <t>JÄMTLANDS LÄN</t>
        </is>
      </c>
      <c r="E1377" t="inlineStr">
        <is>
          <t>KROKOM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24241-2024</t>
        </is>
      </c>
      <c r="B1378" s="1" t="n">
        <v>45457</v>
      </c>
      <c r="C1378" s="1" t="n">
        <v>45741</v>
      </c>
      <c r="D1378" t="inlineStr">
        <is>
          <t>JÄMTLANDS LÄN</t>
        </is>
      </c>
      <c r="E1378" t="inlineStr">
        <is>
          <t>KROKOM</t>
        </is>
      </c>
      <c r="F1378" t="inlineStr">
        <is>
          <t>Övriga Aktiebolag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24333-2024</t>
        </is>
      </c>
      <c r="B1379" s="1" t="n">
        <v>45457</v>
      </c>
      <c r="C1379" s="1" t="n">
        <v>45741</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24252-2024</t>
        </is>
      </c>
      <c r="B1380" s="1" t="n">
        <v>45457</v>
      </c>
      <c r="C1380" s="1" t="n">
        <v>45741</v>
      </c>
      <c r="D1380" t="inlineStr">
        <is>
          <t>JÄMTLANDS LÄN</t>
        </is>
      </c>
      <c r="E1380" t="inlineStr">
        <is>
          <t>KROKOM</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24484-2024</t>
        </is>
      </c>
      <c r="B1381" s="1" t="n">
        <v>45459</v>
      </c>
      <c r="C1381" s="1" t="n">
        <v>45741</v>
      </c>
      <c r="D1381" t="inlineStr">
        <is>
          <t>JÄMTLANDS LÄN</t>
        </is>
      </c>
      <c r="E1381" t="inlineStr">
        <is>
          <t>KROKOM</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24559-2024</t>
        </is>
      </c>
      <c r="B1382" s="1" t="n">
        <v>45460</v>
      </c>
      <c r="C1382" s="1" t="n">
        <v>45741</v>
      </c>
      <c r="D1382" t="inlineStr">
        <is>
          <t>JÄMTLANDS LÄN</t>
        </is>
      </c>
      <c r="E1382" t="inlineStr">
        <is>
          <t>KROKOM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24877-2024</t>
        </is>
      </c>
      <c r="B1383" s="1" t="n">
        <v>45461</v>
      </c>
      <c r="C1383" s="1" t="n">
        <v>45741</v>
      </c>
      <c r="D1383" t="inlineStr">
        <is>
          <t>JÄMTLANDS LÄN</t>
        </is>
      </c>
      <c r="E1383" t="inlineStr">
        <is>
          <t>KROKOM</t>
        </is>
      </c>
      <c r="F1383" t="inlineStr">
        <is>
          <t>Övriga Aktiebolag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25532-2024</t>
        </is>
      </c>
      <c r="B1384" s="1" t="n">
        <v>45463</v>
      </c>
      <c r="C1384" s="1" t="n">
        <v>45741</v>
      </c>
      <c r="D1384" t="inlineStr">
        <is>
          <t>JÄMTLANDS LÄN</t>
        </is>
      </c>
      <c r="E1384" t="inlineStr">
        <is>
          <t>KROKOM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25775-2024</t>
        </is>
      </c>
      <c r="B1385" s="1" t="n">
        <v>45466</v>
      </c>
      <c r="C1385" s="1" t="n">
        <v>45741</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25906-2024</t>
        </is>
      </c>
      <c r="B1386" s="1" t="n">
        <v>45467</v>
      </c>
      <c r="C1386" s="1" t="n">
        <v>45741</v>
      </c>
      <c r="D1386" t="inlineStr">
        <is>
          <t>JÄMTLANDS LÄN</t>
        </is>
      </c>
      <c r="E1386" t="inlineStr">
        <is>
          <t>KROKOM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25956-2024</t>
        </is>
      </c>
      <c r="B1387" s="1" t="n">
        <v>45467</v>
      </c>
      <c r="C1387" s="1" t="n">
        <v>45741</v>
      </c>
      <c r="D1387" t="inlineStr">
        <is>
          <t>JÄMTLANDS LÄN</t>
        </is>
      </c>
      <c r="E1387" t="inlineStr">
        <is>
          <t>KROKOM</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26207-2024</t>
        </is>
      </c>
      <c r="B1388" s="1" t="n">
        <v>45467</v>
      </c>
      <c r="C1388" s="1" t="n">
        <v>45741</v>
      </c>
      <c r="D1388" t="inlineStr">
        <is>
          <t>JÄMTLANDS LÄN</t>
        </is>
      </c>
      <c r="E1388" t="inlineStr">
        <is>
          <t>KROKOM</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26231-2024</t>
        </is>
      </c>
      <c r="B1389" s="1" t="n">
        <v>45467</v>
      </c>
      <c r="C1389" s="1" t="n">
        <v>45741</v>
      </c>
      <c r="D1389" t="inlineStr">
        <is>
          <t>JÄMTLANDS LÄN</t>
        </is>
      </c>
      <c r="E1389" t="inlineStr">
        <is>
          <t>KROKOM</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26228-2024</t>
        </is>
      </c>
      <c r="B1390" s="1" t="n">
        <v>45467</v>
      </c>
      <c r="C1390" s="1" t="n">
        <v>45741</v>
      </c>
      <c r="D1390" t="inlineStr">
        <is>
          <t>JÄMTLANDS LÄN</t>
        </is>
      </c>
      <c r="E1390" t="inlineStr">
        <is>
          <t>KROKOM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26235-2024</t>
        </is>
      </c>
      <c r="B1391" s="1" t="n">
        <v>45467</v>
      </c>
      <c r="C1391" s="1" t="n">
        <v>45741</v>
      </c>
      <c r="D1391" t="inlineStr">
        <is>
          <t>JÄMTLANDS LÄN</t>
        </is>
      </c>
      <c r="E1391" t="inlineStr">
        <is>
          <t>KROKOM</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26310-2024</t>
        </is>
      </c>
      <c r="B1392" s="1" t="n">
        <v>45469</v>
      </c>
      <c r="C1392" s="1" t="n">
        <v>45741</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26311-2024</t>
        </is>
      </c>
      <c r="B1393" s="1" t="n">
        <v>45469</v>
      </c>
      <c r="C1393" s="1" t="n">
        <v>45741</v>
      </c>
      <c r="D1393" t="inlineStr">
        <is>
          <t>JÄMTLANDS LÄN</t>
        </is>
      </c>
      <c r="E1393" t="inlineStr">
        <is>
          <t>KROKOM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26375-2024</t>
        </is>
      </c>
      <c r="B1394" s="1" t="n">
        <v>45469</v>
      </c>
      <c r="C1394" s="1" t="n">
        <v>45741</v>
      </c>
      <c r="D1394" t="inlineStr">
        <is>
          <t>JÄMTLANDS LÄN</t>
        </is>
      </c>
      <c r="E1394" t="inlineStr">
        <is>
          <t>KROKOM</t>
        </is>
      </c>
      <c r="G1394" t="n">
        <v>23.7</v>
      </c>
      <c r="H1394" t="n">
        <v>0</v>
      </c>
      <c r="I1394" t="n">
        <v>0</v>
      </c>
      <c r="J1394" t="n">
        <v>0</v>
      </c>
      <c r="K1394" t="n">
        <v>0</v>
      </c>
      <c r="L1394" t="n">
        <v>0</v>
      </c>
      <c r="M1394" t="n">
        <v>0</v>
      </c>
      <c r="N1394" t="n">
        <v>0</v>
      </c>
      <c r="O1394" t="n">
        <v>0</v>
      </c>
      <c r="P1394" t="n">
        <v>0</v>
      </c>
      <c r="Q1394" t="n">
        <v>0</v>
      </c>
      <c r="R1394" s="2" t="inlineStr"/>
    </row>
    <row r="1395" ht="15" customHeight="1">
      <c r="A1395" t="inlineStr">
        <is>
          <t>A 26414-2024</t>
        </is>
      </c>
      <c r="B1395" s="1" t="n">
        <v>45469</v>
      </c>
      <c r="C1395" s="1" t="n">
        <v>45741</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26881-2024</t>
        </is>
      </c>
      <c r="B1396" s="1" t="n">
        <v>45470</v>
      </c>
      <c r="C1396" s="1" t="n">
        <v>45741</v>
      </c>
      <c r="D1396" t="inlineStr">
        <is>
          <t>JÄMTLANDS LÄN</t>
        </is>
      </c>
      <c r="E1396" t="inlineStr">
        <is>
          <t>KROKOM</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27224-2024</t>
        </is>
      </c>
      <c r="B1397" s="1" t="n">
        <v>45471</v>
      </c>
      <c r="C1397" s="1" t="n">
        <v>45741</v>
      </c>
      <c r="D1397" t="inlineStr">
        <is>
          <t>JÄMTLANDS LÄN</t>
        </is>
      </c>
      <c r="E1397" t="inlineStr">
        <is>
          <t>KROKOM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27431-2024</t>
        </is>
      </c>
      <c r="B1398" s="1" t="n">
        <v>45474</v>
      </c>
      <c r="C1398" s="1" t="n">
        <v>45741</v>
      </c>
      <c r="D1398" t="inlineStr">
        <is>
          <t>JÄMTLANDS LÄN</t>
        </is>
      </c>
      <c r="E1398" t="inlineStr">
        <is>
          <t>KROKOM</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27416-2024</t>
        </is>
      </c>
      <c r="B1399" s="1" t="n">
        <v>45474</v>
      </c>
      <c r="C1399" s="1" t="n">
        <v>45741</v>
      </c>
      <c r="D1399" t="inlineStr">
        <is>
          <t>JÄMTLANDS LÄN</t>
        </is>
      </c>
      <c r="E1399" t="inlineStr">
        <is>
          <t>KROKOM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27440-2024</t>
        </is>
      </c>
      <c r="B1400" s="1" t="n">
        <v>45474</v>
      </c>
      <c r="C1400" s="1" t="n">
        <v>45741</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27434-2024</t>
        </is>
      </c>
      <c r="B1401" s="1" t="n">
        <v>45474</v>
      </c>
      <c r="C1401" s="1" t="n">
        <v>45741</v>
      </c>
      <c r="D1401" t="inlineStr">
        <is>
          <t>JÄMTLANDS LÄN</t>
        </is>
      </c>
      <c r="E1401" t="inlineStr">
        <is>
          <t>KROKOM</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27596-2024</t>
        </is>
      </c>
      <c r="B1402" s="1" t="n">
        <v>45474</v>
      </c>
      <c r="C1402" s="1" t="n">
        <v>45741</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27600-2024</t>
        </is>
      </c>
      <c r="B1403" s="1" t="n">
        <v>45474</v>
      </c>
      <c r="C1403" s="1" t="n">
        <v>45741</v>
      </c>
      <c r="D1403" t="inlineStr">
        <is>
          <t>JÄMTLANDS LÄN</t>
        </is>
      </c>
      <c r="E1403" t="inlineStr">
        <is>
          <t>KROKOM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27597-2024</t>
        </is>
      </c>
      <c r="B1404" s="1" t="n">
        <v>45474</v>
      </c>
      <c r="C1404" s="1" t="n">
        <v>45741</v>
      </c>
      <c r="D1404" t="inlineStr">
        <is>
          <t>JÄMTLANDS LÄN</t>
        </is>
      </c>
      <c r="E1404" t="inlineStr">
        <is>
          <t>KROKOM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27695-2024</t>
        </is>
      </c>
      <c r="B1405" s="1" t="n">
        <v>45475</v>
      </c>
      <c r="C1405" s="1" t="n">
        <v>45741</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27730-2024</t>
        </is>
      </c>
      <c r="B1406" s="1" t="n">
        <v>45475</v>
      </c>
      <c r="C1406" s="1" t="n">
        <v>45741</v>
      </c>
      <c r="D1406" t="inlineStr">
        <is>
          <t>JÄMTLANDS LÄN</t>
        </is>
      </c>
      <c r="E1406" t="inlineStr">
        <is>
          <t>KROKOM</t>
        </is>
      </c>
      <c r="F1406" t="inlineStr">
        <is>
          <t>Övriga Aktiebolag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27716-2024</t>
        </is>
      </c>
      <c r="B1407" s="1" t="n">
        <v>45475</v>
      </c>
      <c r="C1407" s="1" t="n">
        <v>45741</v>
      </c>
      <c r="D1407" t="inlineStr">
        <is>
          <t>JÄMTLANDS LÄN</t>
        </is>
      </c>
      <c r="E1407" t="inlineStr">
        <is>
          <t>KROKOM</t>
        </is>
      </c>
      <c r="F1407" t="inlineStr">
        <is>
          <t>Övriga Aktiebolag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27729-2024</t>
        </is>
      </c>
      <c r="B1408" s="1" t="n">
        <v>45475</v>
      </c>
      <c r="C1408" s="1" t="n">
        <v>45741</v>
      </c>
      <c r="D1408" t="inlineStr">
        <is>
          <t>JÄMTLANDS LÄN</t>
        </is>
      </c>
      <c r="E1408" t="inlineStr">
        <is>
          <t>KROKOM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27954-2024</t>
        </is>
      </c>
      <c r="B1409" s="1" t="n">
        <v>45476</v>
      </c>
      <c r="C1409" s="1" t="n">
        <v>45741</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28191-2024</t>
        </is>
      </c>
      <c r="B1410" s="1" t="n">
        <v>45477</v>
      </c>
      <c r="C1410" s="1" t="n">
        <v>45741</v>
      </c>
      <c r="D1410" t="inlineStr">
        <is>
          <t>JÄMTLANDS LÄN</t>
        </is>
      </c>
      <c r="E1410" t="inlineStr">
        <is>
          <t>KROKOM</t>
        </is>
      </c>
      <c r="F1410" t="inlineStr">
        <is>
          <t>Övriga Aktiebolag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28210-2024</t>
        </is>
      </c>
      <c r="B1411" s="1" t="n">
        <v>45477</v>
      </c>
      <c r="C1411" s="1" t="n">
        <v>45741</v>
      </c>
      <c r="D1411" t="inlineStr">
        <is>
          <t>JÄMTLANDS LÄN</t>
        </is>
      </c>
      <c r="E1411" t="inlineStr">
        <is>
          <t>KROKOM</t>
        </is>
      </c>
      <c r="F1411" t="inlineStr">
        <is>
          <t>Övriga Aktiebolag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28185-2024</t>
        </is>
      </c>
      <c r="B1412" s="1" t="n">
        <v>45477</v>
      </c>
      <c r="C1412" s="1" t="n">
        <v>45741</v>
      </c>
      <c r="D1412" t="inlineStr">
        <is>
          <t>JÄMTLANDS LÄN</t>
        </is>
      </c>
      <c r="E1412" t="inlineStr">
        <is>
          <t>KROKOM</t>
        </is>
      </c>
      <c r="F1412" t="inlineStr">
        <is>
          <t>Övriga Aktiebolag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28595-2024</t>
        </is>
      </c>
      <c r="B1413" s="1" t="n">
        <v>45478</v>
      </c>
      <c r="C1413" s="1" t="n">
        <v>45741</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28533-2024</t>
        </is>
      </c>
      <c r="B1414" s="1" t="n">
        <v>45478</v>
      </c>
      <c r="C1414" s="1" t="n">
        <v>45741</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28780-2024</t>
        </is>
      </c>
      <c r="B1415" s="1" t="n">
        <v>45478</v>
      </c>
      <c r="C1415" s="1" t="n">
        <v>45741</v>
      </c>
      <c r="D1415" t="inlineStr">
        <is>
          <t>JÄMTLANDS LÄN</t>
        </is>
      </c>
      <c r="E1415" t="inlineStr">
        <is>
          <t>KROKOM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28568-2024</t>
        </is>
      </c>
      <c r="B1416" s="1" t="n">
        <v>45478</v>
      </c>
      <c r="C1416" s="1" t="n">
        <v>45741</v>
      </c>
      <c r="D1416" t="inlineStr">
        <is>
          <t>JÄMTLANDS LÄN</t>
        </is>
      </c>
      <c r="E1416" t="inlineStr">
        <is>
          <t>KROKOM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29276-2024</t>
        </is>
      </c>
      <c r="B1417" s="1" t="n">
        <v>45483</v>
      </c>
      <c r="C1417" s="1" t="n">
        <v>45741</v>
      </c>
      <c r="D1417" t="inlineStr">
        <is>
          <t>JÄMTLANDS LÄN</t>
        </is>
      </c>
      <c r="E1417" t="inlineStr">
        <is>
          <t>KROKOM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29275-2024</t>
        </is>
      </c>
      <c r="B1418" s="1" t="n">
        <v>45483</v>
      </c>
      <c r="C1418" s="1" t="n">
        <v>45741</v>
      </c>
      <c r="D1418" t="inlineStr">
        <is>
          <t>JÄMTLANDS LÄN</t>
        </is>
      </c>
      <c r="E1418" t="inlineStr">
        <is>
          <t>KROKOM</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29524-2024</t>
        </is>
      </c>
      <c r="B1419" s="1" t="n">
        <v>45484</v>
      </c>
      <c r="C1419" s="1" t="n">
        <v>45741</v>
      </c>
      <c r="D1419" t="inlineStr">
        <is>
          <t>JÄMTLANDS LÄN</t>
        </is>
      </c>
      <c r="E1419" t="inlineStr">
        <is>
          <t>KROKOM</t>
        </is>
      </c>
      <c r="F1419" t="inlineStr">
        <is>
          <t>Övriga Aktiebolag</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29484-2024</t>
        </is>
      </c>
      <c r="B1420" s="1" t="n">
        <v>45484</v>
      </c>
      <c r="C1420" s="1" t="n">
        <v>45741</v>
      </c>
      <c r="D1420" t="inlineStr">
        <is>
          <t>JÄMTLANDS LÄN</t>
        </is>
      </c>
      <c r="E1420" t="inlineStr">
        <is>
          <t>KROKOM</t>
        </is>
      </c>
      <c r="F1420" t="inlineStr">
        <is>
          <t>Övriga Aktiebolag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29477-2024</t>
        </is>
      </c>
      <c r="B1421" s="1" t="n">
        <v>45484</v>
      </c>
      <c r="C1421" s="1" t="n">
        <v>45741</v>
      </c>
      <c r="D1421" t="inlineStr">
        <is>
          <t>JÄMTLANDS LÄN</t>
        </is>
      </c>
      <c r="E1421" t="inlineStr">
        <is>
          <t>KROKOM</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30065-2024</t>
        </is>
      </c>
      <c r="B1422" s="1" t="n">
        <v>45489</v>
      </c>
      <c r="C1422" s="1" t="n">
        <v>45741</v>
      </c>
      <c r="D1422" t="inlineStr">
        <is>
          <t>JÄMTLANDS LÄN</t>
        </is>
      </c>
      <c r="E1422" t="inlineStr">
        <is>
          <t>KROKOM</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30383-2024</t>
        </is>
      </c>
      <c r="B1423" s="1" t="n">
        <v>45491</v>
      </c>
      <c r="C1423" s="1" t="n">
        <v>45741</v>
      </c>
      <c r="D1423" t="inlineStr">
        <is>
          <t>JÄMTLANDS LÄN</t>
        </is>
      </c>
      <c r="E1423" t="inlineStr">
        <is>
          <t>KROKOM</t>
        </is>
      </c>
      <c r="G1423" t="n">
        <v>22.9</v>
      </c>
      <c r="H1423" t="n">
        <v>0</v>
      </c>
      <c r="I1423" t="n">
        <v>0</v>
      </c>
      <c r="J1423" t="n">
        <v>0</v>
      </c>
      <c r="K1423" t="n">
        <v>0</v>
      </c>
      <c r="L1423" t="n">
        <v>0</v>
      </c>
      <c r="M1423" t="n">
        <v>0</v>
      </c>
      <c r="N1423" t="n">
        <v>0</v>
      </c>
      <c r="O1423" t="n">
        <v>0</v>
      </c>
      <c r="P1423" t="n">
        <v>0</v>
      </c>
      <c r="Q1423" t="n">
        <v>0</v>
      </c>
      <c r="R1423" s="2" t="inlineStr"/>
    </row>
    <row r="1424" ht="15" customHeight="1">
      <c r="A1424" t="inlineStr">
        <is>
          <t>A 30494-2024</t>
        </is>
      </c>
      <c r="B1424" s="1" t="n">
        <v>45491</v>
      </c>
      <c r="C1424" s="1" t="n">
        <v>45741</v>
      </c>
      <c r="D1424" t="inlineStr">
        <is>
          <t>JÄMTLANDS LÄN</t>
        </is>
      </c>
      <c r="E1424" t="inlineStr">
        <is>
          <t>KROKOM</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30709-2024</t>
        </is>
      </c>
      <c r="B1425" s="1" t="n">
        <v>45496</v>
      </c>
      <c r="C1425" s="1" t="n">
        <v>45741</v>
      </c>
      <c r="D1425" t="inlineStr">
        <is>
          <t>JÄMTLANDS LÄN</t>
        </is>
      </c>
      <c r="E1425" t="inlineStr">
        <is>
          <t>KROKOM</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30979-2024</t>
        </is>
      </c>
      <c r="B1426" s="1" t="n">
        <v>45499</v>
      </c>
      <c r="C1426" s="1" t="n">
        <v>45741</v>
      </c>
      <c r="D1426" t="inlineStr">
        <is>
          <t>JÄMTLANDS LÄN</t>
        </is>
      </c>
      <c r="E1426" t="inlineStr">
        <is>
          <t>KROKOM</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31478-2024</t>
        </is>
      </c>
      <c r="B1427" s="1" t="n">
        <v>45506</v>
      </c>
      <c r="C1427" s="1" t="n">
        <v>45741</v>
      </c>
      <c r="D1427" t="inlineStr">
        <is>
          <t>JÄMTLANDS LÄN</t>
        </is>
      </c>
      <c r="E1427" t="inlineStr">
        <is>
          <t>KROKOM</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31988-2024</t>
        </is>
      </c>
      <c r="B1428" s="1" t="n">
        <v>45510</v>
      </c>
      <c r="C1428" s="1" t="n">
        <v>45741</v>
      </c>
      <c r="D1428" t="inlineStr">
        <is>
          <t>JÄMTLANDS LÄN</t>
        </is>
      </c>
      <c r="E1428" t="inlineStr">
        <is>
          <t>KROKOM</t>
        </is>
      </c>
      <c r="F1428" t="inlineStr">
        <is>
          <t>Övriga Aktiebolag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32244-2024</t>
        </is>
      </c>
      <c r="B1429" s="1" t="n">
        <v>45512</v>
      </c>
      <c r="C1429" s="1" t="n">
        <v>45741</v>
      </c>
      <c r="D1429" t="inlineStr">
        <is>
          <t>JÄMTLANDS LÄN</t>
        </is>
      </c>
      <c r="E1429" t="inlineStr">
        <is>
          <t>KROKOM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32243-2024</t>
        </is>
      </c>
      <c r="B1430" s="1" t="n">
        <v>45512</v>
      </c>
      <c r="C1430" s="1" t="n">
        <v>45741</v>
      </c>
      <c r="D1430" t="inlineStr">
        <is>
          <t>JÄMTLANDS LÄN</t>
        </is>
      </c>
      <c r="E1430" t="inlineStr">
        <is>
          <t>KROKOM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33480-2024</t>
        </is>
      </c>
      <c r="B1431" s="1" t="n">
        <v>45519</v>
      </c>
      <c r="C1431" s="1" t="n">
        <v>45741</v>
      </c>
      <c r="D1431" t="inlineStr">
        <is>
          <t>JÄMTLANDS LÄN</t>
        </is>
      </c>
      <c r="E1431" t="inlineStr">
        <is>
          <t>KROKOM</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34517-2024</t>
        </is>
      </c>
      <c r="B1432" s="1" t="n">
        <v>45525</v>
      </c>
      <c r="C1432" s="1" t="n">
        <v>45741</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34902-2024</t>
        </is>
      </c>
      <c r="B1433" s="1" t="n">
        <v>45527</v>
      </c>
      <c r="C1433" s="1" t="n">
        <v>45741</v>
      </c>
      <c r="D1433" t="inlineStr">
        <is>
          <t>JÄMTLANDS LÄN</t>
        </is>
      </c>
      <c r="E1433" t="inlineStr">
        <is>
          <t>KROKOM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34912-2024</t>
        </is>
      </c>
      <c r="B1434" s="1" t="n">
        <v>45527</v>
      </c>
      <c r="C1434" s="1" t="n">
        <v>45741</v>
      </c>
      <c r="D1434" t="inlineStr">
        <is>
          <t>JÄMTLANDS LÄN</t>
        </is>
      </c>
      <c r="E1434" t="inlineStr">
        <is>
          <t>KROKOM</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35542-2024</t>
        </is>
      </c>
      <c r="B1435" s="1" t="n">
        <v>45531</v>
      </c>
      <c r="C1435" s="1" t="n">
        <v>45741</v>
      </c>
      <c r="D1435" t="inlineStr">
        <is>
          <t>JÄMTLANDS LÄN</t>
        </is>
      </c>
      <c r="E1435" t="inlineStr">
        <is>
          <t>KROKOM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35559-2024</t>
        </is>
      </c>
      <c r="B1436" s="1" t="n">
        <v>45531</v>
      </c>
      <c r="C1436" s="1" t="n">
        <v>45741</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35667-2024</t>
        </is>
      </c>
      <c r="B1437" s="1" t="n">
        <v>45532</v>
      </c>
      <c r="C1437" s="1" t="n">
        <v>45741</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35767-2024</t>
        </is>
      </c>
      <c r="B1438" s="1" t="n">
        <v>45532</v>
      </c>
      <c r="C1438" s="1" t="n">
        <v>45741</v>
      </c>
      <c r="D1438" t="inlineStr">
        <is>
          <t>JÄMTLANDS LÄN</t>
        </is>
      </c>
      <c r="E1438" t="inlineStr">
        <is>
          <t>KROKOM</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35651-2024</t>
        </is>
      </c>
      <c r="B1439" s="1" t="n">
        <v>45532</v>
      </c>
      <c r="C1439" s="1" t="n">
        <v>45741</v>
      </c>
      <c r="D1439" t="inlineStr">
        <is>
          <t>JÄMTLANDS LÄN</t>
        </is>
      </c>
      <c r="E1439" t="inlineStr">
        <is>
          <t>KROKOM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35720-2024</t>
        </is>
      </c>
      <c r="B1440" s="1" t="n">
        <v>45532</v>
      </c>
      <c r="C1440" s="1" t="n">
        <v>45741</v>
      </c>
      <c r="D1440" t="inlineStr">
        <is>
          <t>JÄMTLANDS LÄN</t>
        </is>
      </c>
      <c r="E1440" t="inlineStr">
        <is>
          <t>KROKOM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35753-2024</t>
        </is>
      </c>
      <c r="B1441" s="1" t="n">
        <v>45532</v>
      </c>
      <c r="C1441" s="1" t="n">
        <v>45741</v>
      </c>
      <c r="D1441" t="inlineStr">
        <is>
          <t>JÄMTLANDS LÄN</t>
        </is>
      </c>
      <c r="E1441" t="inlineStr">
        <is>
          <t>KROKOM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36272-2024</t>
        </is>
      </c>
      <c r="B1442" s="1" t="n">
        <v>45534</v>
      </c>
      <c r="C1442" s="1" t="n">
        <v>45741</v>
      </c>
      <c r="D1442" t="inlineStr">
        <is>
          <t>JÄMTLANDS LÄN</t>
        </is>
      </c>
      <c r="E1442" t="inlineStr">
        <is>
          <t>KROKOM</t>
        </is>
      </c>
      <c r="F1442" t="inlineStr">
        <is>
          <t>Övriga Aktiebolag</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36504-2024</t>
        </is>
      </c>
      <c r="B1443" s="1" t="n">
        <v>45537</v>
      </c>
      <c r="C1443" s="1" t="n">
        <v>45741</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36531-2024</t>
        </is>
      </c>
      <c r="B1444" s="1" t="n">
        <v>45537</v>
      </c>
      <c r="C1444" s="1" t="n">
        <v>45741</v>
      </c>
      <c r="D1444" t="inlineStr">
        <is>
          <t>JÄMTLANDS LÄN</t>
        </is>
      </c>
      <c r="E1444" t="inlineStr">
        <is>
          <t>KROKOM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36615-2024</t>
        </is>
      </c>
      <c r="B1445" s="1" t="n">
        <v>45537</v>
      </c>
      <c r="C1445" s="1" t="n">
        <v>45741</v>
      </c>
      <c r="D1445" t="inlineStr">
        <is>
          <t>JÄMTLANDS LÄN</t>
        </is>
      </c>
      <c r="E1445" t="inlineStr">
        <is>
          <t>KROKOM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36929-2024</t>
        </is>
      </c>
      <c r="B1446" s="1" t="n">
        <v>45538</v>
      </c>
      <c r="C1446" s="1" t="n">
        <v>45741</v>
      </c>
      <c r="D1446" t="inlineStr">
        <is>
          <t>JÄMTLANDS LÄN</t>
        </is>
      </c>
      <c r="E1446" t="inlineStr">
        <is>
          <t>KROKOM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37230-2024</t>
        </is>
      </c>
      <c r="B1447" s="1" t="n">
        <v>45539</v>
      </c>
      <c r="C1447" s="1" t="n">
        <v>45741</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37293-2024</t>
        </is>
      </c>
      <c r="B1448" s="1" t="n">
        <v>45540</v>
      </c>
      <c r="C1448" s="1" t="n">
        <v>45741</v>
      </c>
      <c r="D1448" t="inlineStr">
        <is>
          <t>JÄMTLANDS LÄN</t>
        </is>
      </c>
      <c r="E1448" t="inlineStr">
        <is>
          <t>KROKOM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38535-2024</t>
        </is>
      </c>
      <c r="B1449" s="1" t="n">
        <v>45546</v>
      </c>
      <c r="C1449" s="1" t="n">
        <v>45741</v>
      </c>
      <c r="D1449" t="inlineStr">
        <is>
          <t>JÄMTLANDS LÄN</t>
        </is>
      </c>
      <c r="E1449" t="inlineStr">
        <is>
          <t>KROKOM</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38748-2024</t>
        </is>
      </c>
      <c r="B1450" s="1" t="n">
        <v>45547</v>
      </c>
      <c r="C1450" s="1" t="n">
        <v>45741</v>
      </c>
      <c r="D1450" t="inlineStr">
        <is>
          <t>JÄMTLANDS LÄN</t>
        </is>
      </c>
      <c r="E1450" t="inlineStr">
        <is>
          <t>KROKOM</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38723-2024</t>
        </is>
      </c>
      <c r="B1451" s="1" t="n">
        <v>45547</v>
      </c>
      <c r="C1451" s="1" t="n">
        <v>45741</v>
      </c>
      <c r="D1451" t="inlineStr">
        <is>
          <t>JÄMTLANDS LÄN</t>
        </is>
      </c>
      <c r="E1451" t="inlineStr">
        <is>
          <t>KROKOM</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38747-2024</t>
        </is>
      </c>
      <c r="B1452" s="1" t="n">
        <v>45547</v>
      </c>
      <c r="C1452" s="1" t="n">
        <v>45741</v>
      </c>
      <c r="D1452" t="inlineStr">
        <is>
          <t>JÄMTLANDS LÄN</t>
        </is>
      </c>
      <c r="E1452" t="inlineStr">
        <is>
          <t>KROKOM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39056-2024</t>
        </is>
      </c>
      <c r="B1453" s="1" t="n">
        <v>45548</v>
      </c>
      <c r="C1453" s="1" t="n">
        <v>45741</v>
      </c>
      <c r="D1453" t="inlineStr">
        <is>
          <t>JÄMTLANDS LÄN</t>
        </is>
      </c>
      <c r="E1453" t="inlineStr">
        <is>
          <t>KROKOM</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39230-2024</t>
        </is>
      </c>
      <c r="B1454" s="1" t="n">
        <v>45550</v>
      </c>
      <c r="C1454" s="1" t="n">
        <v>45741</v>
      </c>
      <c r="D1454" t="inlineStr">
        <is>
          <t>JÄMTLANDS LÄN</t>
        </is>
      </c>
      <c r="E1454" t="inlineStr">
        <is>
          <t>KROKOM</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39263-2024</t>
        </is>
      </c>
      <c r="B1455" s="1" t="n">
        <v>45551</v>
      </c>
      <c r="C1455" s="1" t="n">
        <v>45741</v>
      </c>
      <c r="D1455" t="inlineStr">
        <is>
          <t>JÄMTLANDS LÄN</t>
        </is>
      </c>
      <c r="E1455" t="inlineStr">
        <is>
          <t>KROKOM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39368-2024</t>
        </is>
      </c>
      <c r="B1456" s="1" t="n">
        <v>45551</v>
      </c>
      <c r="C1456" s="1" t="n">
        <v>45741</v>
      </c>
      <c r="D1456" t="inlineStr">
        <is>
          <t>JÄMTLANDS LÄN</t>
        </is>
      </c>
      <c r="E1456" t="inlineStr">
        <is>
          <t>KROKOM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39546-2024</t>
        </is>
      </c>
      <c r="B1457" s="1" t="n">
        <v>45552</v>
      </c>
      <c r="C1457" s="1" t="n">
        <v>45741</v>
      </c>
      <c r="D1457" t="inlineStr">
        <is>
          <t>JÄMTLANDS LÄN</t>
        </is>
      </c>
      <c r="E1457" t="inlineStr">
        <is>
          <t>KROKOM</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39696-2024</t>
        </is>
      </c>
      <c r="B1458" s="1" t="n">
        <v>45552</v>
      </c>
      <c r="C1458" s="1" t="n">
        <v>45741</v>
      </c>
      <c r="D1458" t="inlineStr">
        <is>
          <t>JÄMTLANDS LÄN</t>
        </is>
      </c>
      <c r="E1458" t="inlineStr">
        <is>
          <t>KROKOM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39701-2024</t>
        </is>
      </c>
      <c r="B1459" s="1" t="n">
        <v>45552</v>
      </c>
      <c r="C1459" s="1" t="n">
        <v>45741</v>
      </c>
      <c r="D1459" t="inlineStr">
        <is>
          <t>JÄMTLANDS LÄN</t>
        </is>
      </c>
      <c r="E1459" t="inlineStr">
        <is>
          <t>KROKOM</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39753-2024</t>
        </is>
      </c>
      <c r="B1460" s="1" t="n">
        <v>45552</v>
      </c>
      <c r="C1460" s="1" t="n">
        <v>45741</v>
      </c>
      <c r="D1460" t="inlineStr">
        <is>
          <t>JÄMTLANDS LÄN</t>
        </is>
      </c>
      <c r="E1460" t="inlineStr">
        <is>
          <t>KROKOM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39751-2024</t>
        </is>
      </c>
      <c r="B1461" s="1" t="n">
        <v>45552</v>
      </c>
      <c r="C1461" s="1" t="n">
        <v>45741</v>
      </c>
      <c r="D1461" t="inlineStr">
        <is>
          <t>JÄMTLANDS LÄN</t>
        </is>
      </c>
      <c r="E1461" t="inlineStr">
        <is>
          <t>KROKOM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39843-2024</t>
        </is>
      </c>
      <c r="B1462" s="1" t="n">
        <v>45553</v>
      </c>
      <c r="C1462" s="1" t="n">
        <v>45741</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39847-2024</t>
        </is>
      </c>
      <c r="B1463" s="1" t="n">
        <v>45553</v>
      </c>
      <c r="C1463" s="1" t="n">
        <v>45741</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39896-2024</t>
        </is>
      </c>
      <c r="B1464" s="1" t="n">
        <v>45553</v>
      </c>
      <c r="C1464" s="1" t="n">
        <v>45741</v>
      </c>
      <c r="D1464" t="inlineStr">
        <is>
          <t>JÄMTLANDS LÄN</t>
        </is>
      </c>
      <c r="E1464" t="inlineStr">
        <is>
          <t>KROKOM</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40213-2024</t>
        </is>
      </c>
      <c r="B1465" s="1" t="n">
        <v>45554</v>
      </c>
      <c r="C1465" s="1" t="n">
        <v>45741</v>
      </c>
      <c r="D1465" t="inlineStr">
        <is>
          <t>JÄMTLANDS LÄN</t>
        </is>
      </c>
      <c r="E1465" t="inlineStr">
        <is>
          <t>KROKOM</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40221-2024</t>
        </is>
      </c>
      <c r="B1466" s="1" t="n">
        <v>45554</v>
      </c>
      <c r="C1466" s="1" t="n">
        <v>45741</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40219-2024</t>
        </is>
      </c>
      <c r="B1467" s="1" t="n">
        <v>45554</v>
      </c>
      <c r="C1467" s="1" t="n">
        <v>45741</v>
      </c>
      <c r="D1467" t="inlineStr">
        <is>
          <t>JÄMTLANDS LÄN</t>
        </is>
      </c>
      <c r="E1467" t="inlineStr">
        <is>
          <t>KROKOM</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40271-2024</t>
        </is>
      </c>
      <c r="B1468" s="1" t="n">
        <v>45554</v>
      </c>
      <c r="C1468" s="1" t="n">
        <v>45741</v>
      </c>
      <c r="D1468" t="inlineStr">
        <is>
          <t>JÄMTLANDS LÄN</t>
        </is>
      </c>
      <c r="E1468" t="inlineStr">
        <is>
          <t>KROKOM</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40394-2024</t>
        </is>
      </c>
      <c r="B1469" s="1" t="n">
        <v>45555</v>
      </c>
      <c r="C1469" s="1" t="n">
        <v>45741</v>
      </c>
      <c r="D1469" t="inlineStr">
        <is>
          <t>JÄMTLANDS LÄN</t>
        </is>
      </c>
      <c r="E1469" t="inlineStr">
        <is>
          <t>KROKOM</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40862-2024</t>
        </is>
      </c>
      <c r="B1470" s="1" t="n">
        <v>45558</v>
      </c>
      <c r="C1470" s="1" t="n">
        <v>45741</v>
      </c>
      <c r="D1470" t="inlineStr">
        <is>
          <t>JÄMTLANDS LÄN</t>
        </is>
      </c>
      <c r="E1470" t="inlineStr">
        <is>
          <t>KROKOM</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41439-2024</t>
        </is>
      </c>
      <c r="B1471" s="1" t="n">
        <v>45560</v>
      </c>
      <c r="C1471" s="1" t="n">
        <v>45741</v>
      </c>
      <c r="D1471" t="inlineStr">
        <is>
          <t>JÄMTLANDS LÄN</t>
        </is>
      </c>
      <c r="E1471" t="inlineStr">
        <is>
          <t>KROKOM</t>
        </is>
      </c>
      <c r="F1471" t="inlineStr">
        <is>
          <t>Övriga Aktiebolag</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41675-2024</t>
        </is>
      </c>
      <c r="B1472" s="1" t="n">
        <v>45560</v>
      </c>
      <c r="C1472" s="1" t="n">
        <v>45741</v>
      </c>
      <c r="D1472" t="inlineStr">
        <is>
          <t>JÄMTLANDS LÄN</t>
        </is>
      </c>
      <c r="E1472" t="inlineStr">
        <is>
          <t>KROKOM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41628-2024</t>
        </is>
      </c>
      <c r="B1473" s="1" t="n">
        <v>45560</v>
      </c>
      <c r="C1473" s="1" t="n">
        <v>45741</v>
      </c>
      <c r="D1473" t="inlineStr">
        <is>
          <t>JÄMTLANDS LÄN</t>
        </is>
      </c>
      <c r="E1473" t="inlineStr">
        <is>
          <t>KROKOM</t>
        </is>
      </c>
      <c r="F1473" t="inlineStr">
        <is>
          <t>Övriga Aktiebolag</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41497-2024</t>
        </is>
      </c>
      <c r="B1474" s="1" t="n">
        <v>45560</v>
      </c>
      <c r="C1474" s="1" t="n">
        <v>45741</v>
      </c>
      <c r="D1474" t="inlineStr">
        <is>
          <t>JÄMTLANDS LÄN</t>
        </is>
      </c>
      <c r="E1474" t="inlineStr">
        <is>
          <t>KROKOM</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41700-2024</t>
        </is>
      </c>
      <c r="B1475" s="1" t="n">
        <v>45560</v>
      </c>
      <c r="C1475" s="1" t="n">
        <v>45741</v>
      </c>
      <c r="D1475" t="inlineStr">
        <is>
          <t>JÄMTLANDS LÄN</t>
        </is>
      </c>
      <c r="E1475" t="inlineStr">
        <is>
          <t>KROKOM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41852-2024</t>
        </is>
      </c>
      <c r="B1476" s="1" t="n">
        <v>45561</v>
      </c>
      <c r="C1476" s="1" t="n">
        <v>45741</v>
      </c>
      <c r="D1476" t="inlineStr">
        <is>
          <t>JÄMTLANDS LÄN</t>
        </is>
      </c>
      <c r="E1476" t="inlineStr">
        <is>
          <t>KROKOM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41971-2024</t>
        </is>
      </c>
      <c r="B1477" s="1" t="n">
        <v>45561</v>
      </c>
      <c r="C1477" s="1" t="n">
        <v>45741</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41838-2024</t>
        </is>
      </c>
      <c r="B1478" s="1" t="n">
        <v>45561</v>
      </c>
      <c r="C1478" s="1" t="n">
        <v>45741</v>
      </c>
      <c r="D1478" t="inlineStr">
        <is>
          <t>JÄMTLANDS LÄN</t>
        </is>
      </c>
      <c r="E1478" t="inlineStr">
        <is>
          <t>KROKOM</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41858-2024</t>
        </is>
      </c>
      <c r="B1479" s="1" t="n">
        <v>45561</v>
      </c>
      <c r="C1479" s="1" t="n">
        <v>45741</v>
      </c>
      <c r="D1479" t="inlineStr">
        <is>
          <t>JÄMTLANDS LÄN</t>
        </is>
      </c>
      <c r="E1479" t="inlineStr">
        <is>
          <t>KROKOM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41972-2024</t>
        </is>
      </c>
      <c r="B1480" s="1" t="n">
        <v>45561</v>
      </c>
      <c r="C1480" s="1" t="n">
        <v>45741</v>
      </c>
      <c r="D1480" t="inlineStr">
        <is>
          <t>JÄMTLANDS LÄN</t>
        </is>
      </c>
      <c r="E1480" t="inlineStr">
        <is>
          <t>KROKOM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42092-2024</t>
        </is>
      </c>
      <c r="B1481" s="1" t="n">
        <v>45562</v>
      </c>
      <c r="C1481" s="1" t="n">
        <v>45741</v>
      </c>
      <c r="D1481" t="inlineStr">
        <is>
          <t>JÄMTLANDS LÄN</t>
        </is>
      </c>
      <c r="E1481" t="inlineStr">
        <is>
          <t>KROKOM</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42097-2024</t>
        </is>
      </c>
      <c r="B1482" s="1" t="n">
        <v>45562</v>
      </c>
      <c r="C1482" s="1" t="n">
        <v>45741</v>
      </c>
      <c r="D1482" t="inlineStr">
        <is>
          <t>JÄMTLANDS LÄN</t>
        </is>
      </c>
      <c r="E1482" t="inlineStr">
        <is>
          <t>KROKOM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42398-2024</t>
        </is>
      </c>
      <c r="B1483" s="1" t="n">
        <v>45565</v>
      </c>
      <c r="C1483" s="1" t="n">
        <v>45741</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42393-2024</t>
        </is>
      </c>
      <c r="B1484" s="1" t="n">
        <v>45565</v>
      </c>
      <c r="C1484" s="1" t="n">
        <v>45741</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42774-2024</t>
        </is>
      </c>
      <c r="B1485" s="1" t="n">
        <v>45566</v>
      </c>
      <c r="C1485" s="1" t="n">
        <v>45741</v>
      </c>
      <c r="D1485" t="inlineStr">
        <is>
          <t>JÄMTLANDS LÄN</t>
        </is>
      </c>
      <c r="E1485" t="inlineStr">
        <is>
          <t>KROKOM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43415-2024</t>
        </is>
      </c>
      <c r="B1486" s="1" t="n">
        <v>45568</v>
      </c>
      <c r="C1486" s="1" t="n">
        <v>45741</v>
      </c>
      <c r="D1486" t="inlineStr">
        <is>
          <t>JÄMTLANDS LÄN</t>
        </is>
      </c>
      <c r="E1486" t="inlineStr">
        <is>
          <t>KROKOM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43536-2024</t>
        </is>
      </c>
      <c r="B1487" s="1" t="n">
        <v>45569</v>
      </c>
      <c r="C1487" s="1" t="n">
        <v>45741</v>
      </c>
      <c r="D1487" t="inlineStr">
        <is>
          <t>JÄMTLANDS LÄN</t>
        </is>
      </c>
      <c r="E1487" t="inlineStr">
        <is>
          <t>KROKOM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43932-2024</t>
        </is>
      </c>
      <c r="B1488" s="1" t="n">
        <v>45572</v>
      </c>
      <c r="C1488" s="1" t="n">
        <v>45741</v>
      </c>
      <c r="D1488" t="inlineStr">
        <is>
          <t>JÄMTLANDS LÄN</t>
        </is>
      </c>
      <c r="E1488" t="inlineStr">
        <is>
          <t>KROKOM</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44296-2024</t>
        </is>
      </c>
      <c r="B1489" s="1" t="n">
        <v>45573</v>
      </c>
      <c r="C1489" s="1" t="n">
        <v>45741</v>
      </c>
      <c r="D1489" t="inlineStr">
        <is>
          <t>JÄMTLANDS LÄN</t>
        </is>
      </c>
      <c r="E1489" t="inlineStr">
        <is>
          <t>KROKOM</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44221-2024</t>
        </is>
      </c>
      <c r="B1490" s="1" t="n">
        <v>45573</v>
      </c>
      <c r="C1490" s="1" t="n">
        <v>45741</v>
      </c>
      <c r="D1490" t="inlineStr">
        <is>
          <t>JÄMTLANDS LÄN</t>
        </is>
      </c>
      <c r="E1490" t="inlineStr">
        <is>
          <t>KROKOM</t>
        </is>
      </c>
      <c r="F1490" t="inlineStr">
        <is>
          <t>Övriga Aktiebolag</t>
        </is>
      </c>
      <c r="G1490" t="n">
        <v>19.3</v>
      </c>
      <c r="H1490" t="n">
        <v>0</v>
      </c>
      <c r="I1490" t="n">
        <v>0</v>
      </c>
      <c r="J1490" t="n">
        <v>0</v>
      </c>
      <c r="K1490" t="n">
        <v>0</v>
      </c>
      <c r="L1490" t="n">
        <v>0</v>
      </c>
      <c r="M1490" t="n">
        <v>0</v>
      </c>
      <c r="N1490" t="n">
        <v>0</v>
      </c>
      <c r="O1490" t="n">
        <v>0</v>
      </c>
      <c r="P1490" t="n">
        <v>0</v>
      </c>
      <c r="Q1490" t="n">
        <v>0</v>
      </c>
      <c r="R1490" s="2" t="inlineStr"/>
    </row>
    <row r="1491" ht="15" customHeight="1">
      <c r="A1491" t="inlineStr">
        <is>
          <t>A 44519-2024</t>
        </is>
      </c>
      <c r="B1491" s="1" t="n">
        <v>45574</v>
      </c>
      <c r="C1491" s="1" t="n">
        <v>45741</v>
      </c>
      <c r="D1491" t="inlineStr">
        <is>
          <t>JÄMTLANDS LÄN</t>
        </is>
      </c>
      <c r="E1491" t="inlineStr">
        <is>
          <t>KROKOM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45336-2024</t>
        </is>
      </c>
      <c r="B1492" s="1" t="n">
        <v>45576</v>
      </c>
      <c r="C1492" s="1" t="n">
        <v>45741</v>
      </c>
      <c r="D1492" t="inlineStr">
        <is>
          <t>JÄMTLANDS LÄN</t>
        </is>
      </c>
      <c r="E1492" t="inlineStr">
        <is>
          <t>KROKOM</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45777-2024</t>
        </is>
      </c>
      <c r="B1493" s="1" t="n">
        <v>45579</v>
      </c>
      <c r="C1493" s="1" t="n">
        <v>45741</v>
      </c>
      <c r="D1493" t="inlineStr">
        <is>
          <t>JÄMTLANDS LÄN</t>
        </is>
      </c>
      <c r="E1493" t="inlineStr">
        <is>
          <t>KROKOM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45753-2024</t>
        </is>
      </c>
      <c r="B1494" s="1" t="n">
        <v>45579</v>
      </c>
      <c r="C1494" s="1" t="n">
        <v>45741</v>
      </c>
      <c r="D1494" t="inlineStr">
        <is>
          <t>JÄMTLANDS LÄN</t>
        </is>
      </c>
      <c r="E1494" t="inlineStr">
        <is>
          <t>KROKOM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45869-2024</t>
        </is>
      </c>
      <c r="B1495" s="1" t="n">
        <v>45580</v>
      </c>
      <c r="C1495" s="1" t="n">
        <v>45741</v>
      </c>
      <c r="D1495" t="inlineStr">
        <is>
          <t>JÄMTLANDS LÄN</t>
        </is>
      </c>
      <c r="E1495" t="inlineStr">
        <is>
          <t>KROKOM</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45866-2024</t>
        </is>
      </c>
      <c r="B1496" s="1" t="n">
        <v>45580</v>
      </c>
      <c r="C1496" s="1" t="n">
        <v>45741</v>
      </c>
      <c r="D1496" t="inlineStr">
        <is>
          <t>JÄMTLANDS LÄN</t>
        </is>
      </c>
      <c r="E1496" t="inlineStr">
        <is>
          <t>KROKOM</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45936-2024</t>
        </is>
      </c>
      <c r="B1497" s="1" t="n">
        <v>45580</v>
      </c>
      <c r="C1497" s="1" t="n">
        <v>45741</v>
      </c>
      <c r="D1497" t="inlineStr">
        <is>
          <t>JÄMTLANDS LÄN</t>
        </is>
      </c>
      <c r="E1497" t="inlineStr">
        <is>
          <t>KROKOM</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46507-2024</t>
        </is>
      </c>
      <c r="B1498" s="1" t="n">
        <v>45582</v>
      </c>
      <c r="C1498" s="1" t="n">
        <v>45741</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46785-2024</t>
        </is>
      </c>
      <c r="B1499" s="1" t="n">
        <v>45583</v>
      </c>
      <c r="C1499" s="1" t="n">
        <v>45741</v>
      </c>
      <c r="D1499" t="inlineStr">
        <is>
          <t>JÄMTLANDS LÄN</t>
        </is>
      </c>
      <c r="E1499" t="inlineStr">
        <is>
          <t>KROKOM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46881-2024</t>
        </is>
      </c>
      <c r="B1500" s="1" t="n">
        <v>45583</v>
      </c>
      <c r="C1500" s="1" t="n">
        <v>45741</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47098-2024</t>
        </is>
      </c>
      <c r="B1501" s="1" t="n">
        <v>45586</v>
      </c>
      <c r="C1501" s="1" t="n">
        <v>45741</v>
      </c>
      <c r="D1501" t="inlineStr">
        <is>
          <t>JÄMTLANDS LÄN</t>
        </is>
      </c>
      <c r="E1501" t="inlineStr">
        <is>
          <t>KROKOM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47039-2024</t>
        </is>
      </c>
      <c r="B1502" s="1" t="n">
        <v>45586</v>
      </c>
      <c r="C1502" s="1" t="n">
        <v>45741</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47060-2024</t>
        </is>
      </c>
      <c r="B1503" s="1" t="n">
        <v>45586</v>
      </c>
      <c r="C1503" s="1" t="n">
        <v>45741</v>
      </c>
      <c r="D1503" t="inlineStr">
        <is>
          <t>JÄMTLANDS LÄN</t>
        </is>
      </c>
      <c r="E1503" t="inlineStr">
        <is>
          <t>KROKOM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47218-2024</t>
        </is>
      </c>
      <c r="B1504" s="1" t="n">
        <v>45586</v>
      </c>
      <c r="C1504" s="1" t="n">
        <v>45741</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47723-2024</t>
        </is>
      </c>
      <c r="B1505" s="1" t="n">
        <v>45588</v>
      </c>
      <c r="C1505" s="1" t="n">
        <v>45741</v>
      </c>
      <c r="D1505" t="inlineStr">
        <is>
          <t>JÄMTLANDS LÄN</t>
        </is>
      </c>
      <c r="E1505" t="inlineStr">
        <is>
          <t>KROKOM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47721-2024</t>
        </is>
      </c>
      <c r="B1506" s="1" t="n">
        <v>45588</v>
      </c>
      <c r="C1506" s="1" t="n">
        <v>45741</v>
      </c>
      <c r="D1506" t="inlineStr">
        <is>
          <t>JÄMTLANDS LÄN</t>
        </is>
      </c>
      <c r="E1506" t="inlineStr">
        <is>
          <t>KROKOM</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47722-2024</t>
        </is>
      </c>
      <c r="B1507" s="1" t="n">
        <v>45588</v>
      </c>
      <c r="C1507" s="1" t="n">
        <v>45741</v>
      </c>
      <c r="D1507" t="inlineStr">
        <is>
          <t>JÄMTLANDS LÄN</t>
        </is>
      </c>
      <c r="E1507" t="inlineStr">
        <is>
          <t>KROKOM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48119-2024</t>
        </is>
      </c>
      <c r="B1508" s="1" t="n">
        <v>45589</v>
      </c>
      <c r="C1508" s="1" t="n">
        <v>45741</v>
      </c>
      <c r="D1508" t="inlineStr">
        <is>
          <t>JÄMTLANDS LÄN</t>
        </is>
      </c>
      <c r="E1508" t="inlineStr">
        <is>
          <t>KROKOM</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48337-2024</t>
        </is>
      </c>
      <c r="B1509" s="1" t="n">
        <v>45590</v>
      </c>
      <c r="C1509" s="1" t="n">
        <v>45741</v>
      </c>
      <c r="D1509" t="inlineStr">
        <is>
          <t>JÄMTLANDS LÄN</t>
        </is>
      </c>
      <c r="E1509" t="inlineStr">
        <is>
          <t>KROKOM</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48568-2024</t>
        </is>
      </c>
      <c r="B1510" s="1" t="n">
        <v>45593</v>
      </c>
      <c r="C1510" s="1" t="n">
        <v>45741</v>
      </c>
      <c r="D1510" t="inlineStr">
        <is>
          <t>JÄMTLANDS LÄN</t>
        </is>
      </c>
      <c r="E1510" t="inlineStr">
        <is>
          <t>KROKOM</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48560-2024</t>
        </is>
      </c>
      <c r="B1511" s="1" t="n">
        <v>45593</v>
      </c>
      <c r="C1511" s="1" t="n">
        <v>45741</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48752-2024</t>
        </is>
      </c>
      <c r="B1512" s="1" t="n">
        <v>45593</v>
      </c>
      <c r="C1512" s="1" t="n">
        <v>45741</v>
      </c>
      <c r="D1512" t="inlineStr">
        <is>
          <t>JÄMTLANDS LÄN</t>
        </is>
      </c>
      <c r="E1512" t="inlineStr">
        <is>
          <t>KROKOM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48539-2024</t>
        </is>
      </c>
      <c r="B1513" s="1" t="n">
        <v>45593</v>
      </c>
      <c r="C1513" s="1" t="n">
        <v>45741</v>
      </c>
      <c r="D1513" t="inlineStr">
        <is>
          <t>JÄMTLANDS LÄN</t>
        </is>
      </c>
      <c r="E1513" t="inlineStr">
        <is>
          <t>KROKOM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48971-2024</t>
        </is>
      </c>
      <c r="B1514" s="1" t="n">
        <v>45594</v>
      </c>
      <c r="C1514" s="1" t="n">
        <v>45741</v>
      </c>
      <c r="D1514" t="inlineStr">
        <is>
          <t>JÄMTLANDS LÄN</t>
        </is>
      </c>
      <c r="E1514" t="inlineStr">
        <is>
          <t>KROKOM</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49214-2024</t>
        </is>
      </c>
      <c r="B1515" s="1" t="n">
        <v>45595</v>
      </c>
      <c r="C1515" s="1" t="n">
        <v>45741</v>
      </c>
      <c r="D1515" t="inlineStr">
        <is>
          <t>JÄMTLANDS LÄN</t>
        </is>
      </c>
      <c r="E1515" t="inlineStr">
        <is>
          <t>KROKOM</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49203-2024</t>
        </is>
      </c>
      <c r="B1516" s="1" t="n">
        <v>45595</v>
      </c>
      <c r="C1516" s="1" t="n">
        <v>45741</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49875-2024</t>
        </is>
      </c>
      <c r="B1517" s="1" t="n">
        <v>45597</v>
      </c>
      <c r="C1517" s="1" t="n">
        <v>45741</v>
      </c>
      <c r="D1517" t="inlineStr">
        <is>
          <t>JÄMTLANDS LÄN</t>
        </is>
      </c>
      <c r="E1517" t="inlineStr">
        <is>
          <t>KROKOM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50129-2024</t>
        </is>
      </c>
      <c r="B1518" s="1" t="n">
        <v>45600</v>
      </c>
      <c r="C1518" s="1" t="n">
        <v>45741</v>
      </c>
      <c r="D1518" t="inlineStr">
        <is>
          <t>JÄMTLANDS LÄN</t>
        </is>
      </c>
      <c r="E1518" t="inlineStr">
        <is>
          <t>KROKOM</t>
        </is>
      </c>
      <c r="F1518" t="inlineStr">
        <is>
          <t>Övriga Aktiebolag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50206-2024</t>
        </is>
      </c>
      <c r="B1519" s="1" t="n">
        <v>45600</v>
      </c>
      <c r="C1519" s="1" t="n">
        <v>45741</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50255-2024</t>
        </is>
      </c>
      <c r="B1520" s="1" t="n">
        <v>45600</v>
      </c>
      <c r="C1520" s="1" t="n">
        <v>45741</v>
      </c>
      <c r="D1520" t="inlineStr">
        <is>
          <t>JÄMTLANDS LÄN</t>
        </is>
      </c>
      <c r="E1520" t="inlineStr">
        <is>
          <t>KROKOM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50391-2024</t>
        </is>
      </c>
      <c r="B1521" s="1" t="n">
        <v>45601</v>
      </c>
      <c r="C1521" s="1" t="n">
        <v>45741</v>
      </c>
      <c r="D1521" t="inlineStr">
        <is>
          <t>JÄMTLANDS LÄN</t>
        </is>
      </c>
      <c r="E1521" t="inlineStr">
        <is>
          <t>KROKOM</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50417-2024</t>
        </is>
      </c>
      <c r="B1522" s="1" t="n">
        <v>45601</v>
      </c>
      <c r="C1522" s="1" t="n">
        <v>45741</v>
      </c>
      <c r="D1522" t="inlineStr">
        <is>
          <t>JÄMTLANDS LÄN</t>
        </is>
      </c>
      <c r="E1522" t="inlineStr">
        <is>
          <t>KROKOM</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50433-2024</t>
        </is>
      </c>
      <c r="B1523" s="1" t="n">
        <v>45601</v>
      </c>
      <c r="C1523" s="1" t="n">
        <v>45741</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50718-2024</t>
        </is>
      </c>
      <c r="B1524" s="1" t="n">
        <v>45602</v>
      </c>
      <c r="C1524" s="1" t="n">
        <v>45741</v>
      </c>
      <c r="D1524" t="inlineStr">
        <is>
          <t>JÄMTLANDS LÄN</t>
        </is>
      </c>
      <c r="E1524" t="inlineStr">
        <is>
          <t>KROKOM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50719-2024</t>
        </is>
      </c>
      <c r="B1525" s="1" t="n">
        <v>45602</v>
      </c>
      <c r="C1525" s="1" t="n">
        <v>45741</v>
      </c>
      <c r="D1525" t="inlineStr">
        <is>
          <t>JÄMTLANDS LÄN</t>
        </is>
      </c>
      <c r="E1525" t="inlineStr">
        <is>
          <t>KROKOM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50821-2024</t>
        </is>
      </c>
      <c r="B1526" s="1" t="n">
        <v>45602</v>
      </c>
      <c r="C1526" s="1" t="n">
        <v>45741</v>
      </c>
      <c r="D1526" t="inlineStr">
        <is>
          <t>JÄMTLANDS LÄN</t>
        </is>
      </c>
      <c r="E1526" t="inlineStr">
        <is>
          <t>KROKOM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50919-2024</t>
        </is>
      </c>
      <c r="B1527" s="1" t="n">
        <v>45602</v>
      </c>
      <c r="C1527" s="1" t="n">
        <v>45741</v>
      </c>
      <c r="D1527" t="inlineStr">
        <is>
          <t>JÄMTLANDS LÄN</t>
        </is>
      </c>
      <c r="E1527" t="inlineStr">
        <is>
          <t>KROKOM</t>
        </is>
      </c>
      <c r="G1527" t="n">
        <v>33.7</v>
      </c>
      <c r="H1527" t="n">
        <v>0</v>
      </c>
      <c r="I1527" t="n">
        <v>0</v>
      </c>
      <c r="J1527" t="n">
        <v>0</v>
      </c>
      <c r="K1527" t="n">
        <v>0</v>
      </c>
      <c r="L1527" t="n">
        <v>0</v>
      </c>
      <c r="M1527" t="n">
        <v>0</v>
      </c>
      <c r="N1527" t="n">
        <v>0</v>
      </c>
      <c r="O1527" t="n">
        <v>0</v>
      </c>
      <c r="P1527" t="n">
        <v>0</v>
      </c>
      <c r="Q1527" t="n">
        <v>0</v>
      </c>
      <c r="R1527" s="2" t="inlineStr"/>
    </row>
    <row r="1528" ht="15" customHeight="1">
      <c r="A1528" t="inlineStr">
        <is>
          <t>A 50755-2024</t>
        </is>
      </c>
      <c r="B1528" s="1" t="n">
        <v>45602</v>
      </c>
      <c r="C1528" s="1" t="n">
        <v>45741</v>
      </c>
      <c r="D1528" t="inlineStr">
        <is>
          <t>JÄMTLANDS LÄN</t>
        </is>
      </c>
      <c r="E1528" t="inlineStr">
        <is>
          <t>KROKOM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50738-2024</t>
        </is>
      </c>
      <c r="B1529" s="1" t="n">
        <v>45602</v>
      </c>
      <c r="C1529" s="1" t="n">
        <v>45741</v>
      </c>
      <c r="D1529" t="inlineStr">
        <is>
          <t>JÄMTLANDS LÄN</t>
        </is>
      </c>
      <c r="E1529" t="inlineStr">
        <is>
          <t>KROKOM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50822-2024</t>
        </is>
      </c>
      <c r="B1530" s="1" t="n">
        <v>45602</v>
      </c>
      <c r="C1530" s="1" t="n">
        <v>45741</v>
      </c>
      <c r="D1530" t="inlineStr">
        <is>
          <t>JÄMTLANDS LÄN</t>
        </is>
      </c>
      <c r="E1530" t="inlineStr">
        <is>
          <t>KROKOM</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50881-2024</t>
        </is>
      </c>
      <c r="B1531" s="1" t="n">
        <v>45602</v>
      </c>
      <c r="C1531" s="1" t="n">
        <v>45741</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51060-2024</t>
        </is>
      </c>
      <c r="B1532" s="1" t="n">
        <v>45603</v>
      </c>
      <c r="C1532" s="1" t="n">
        <v>45741</v>
      </c>
      <c r="D1532" t="inlineStr">
        <is>
          <t>JÄMTLANDS LÄN</t>
        </is>
      </c>
      <c r="E1532" t="inlineStr">
        <is>
          <t>KROKOM</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50951-2024</t>
        </is>
      </c>
      <c r="B1533" s="1" t="n">
        <v>45603</v>
      </c>
      <c r="C1533" s="1" t="n">
        <v>45741</v>
      </c>
      <c r="D1533" t="inlineStr">
        <is>
          <t>JÄMTLANDS LÄN</t>
        </is>
      </c>
      <c r="E1533" t="inlineStr">
        <is>
          <t>KROKOM</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51580-2024</t>
        </is>
      </c>
      <c r="B1534" s="1" t="n">
        <v>45604</v>
      </c>
      <c r="C1534" s="1" t="n">
        <v>45741</v>
      </c>
      <c r="D1534" t="inlineStr">
        <is>
          <t>JÄMTLANDS LÄN</t>
        </is>
      </c>
      <c r="E1534" t="inlineStr">
        <is>
          <t>KROKOM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51581-2024</t>
        </is>
      </c>
      <c r="B1535" s="1" t="n">
        <v>45604</v>
      </c>
      <c r="C1535" s="1" t="n">
        <v>45741</v>
      </c>
      <c r="D1535" t="inlineStr">
        <is>
          <t>JÄMTLANDS LÄN</t>
        </is>
      </c>
      <c r="E1535" t="inlineStr">
        <is>
          <t>KROKOM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51939-2024</t>
        </is>
      </c>
      <c r="B1536" s="1" t="n">
        <v>45607</v>
      </c>
      <c r="C1536" s="1" t="n">
        <v>45741</v>
      </c>
      <c r="D1536" t="inlineStr">
        <is>
          <t>JÄMTLANDS LÄN</t>
        </is>
      </c>
      <c r="E1536" t="inlineStr">
        <is>
          <t>KROKOM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52213-2024</t>
        </is>
      </c>
      <c r="B1537" s="1" t="n">
        <v>45607</v>
      </c>
      <c r="C1537" s="1" t="n">
        <v>45741</v>
      </c>
      <c r="D1537" t="inlineStr">
        <is>
          <t>JÄMTLANDS LÄN</t>
        </is>
      </c>
      <c r="E1537" t="inlineStr">
        <is>
          <t>KROKOM</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52217-2024</t>
        </is>
      </c>
      <c r="B1538" s="1" t="n">
        <v>45607</v>
      </c>
      <c r="C1538" s="1" t="n">
        <v>45741</v>
      </c>
      <c r="D1538" t="inlineStr">
        <is>
          <t>JÄMTLANDS LÄN</t>
        </is>
      </c>
      <c r="E1538" t="inlineStr">
        <is>
          <t>KROKOM</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52313-2024</t>
        </is>
      </c>
      <c r="B1539" s="1" t="n">
        <v>45608</v>
      </c>
      <c r="C1539" s="1" t="n">
        <v>45741</v>
      </c>
      <c r="D1539" t="inlineStr">
        <is>
          <t>JÄMTLANDS LÄN</t>
        </is>
      </c>
      <c r="E1539" t="inlineStr">
        <is>
          <t>KROKOM</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52086-2024</t>
        </is>
      </c>
      <c r="B1540" s="1" t="n">
        <v>45608</v>
      </c>
      <c r="C1540" s="1" t="n">
        <v>45741</v>
      </c>
      <c r="D1540" t="inlineStr">
        <is>
          <t>JÄMTLANDS LÄN</t>
        </is>
      </c>
      <c r="E1540" t="inlineStr">
        <is>
          <t>KROKOM</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52111-2024</t>
        </is>
      </c>
      <c r="B1541" s="1" t="n">
        <v>45608</v>
      </c>
      <c r="C1541" s="1" t="n">
        <v>45741</v>
      </c>
      <c r="D1541" t="inlineStr">
        <is>
          <t>JÄMTLANDS LÄN</t>
        </is>
      </c>
      <c r="E1541" t="inlineStr">
        <is>
          <t>KROKOM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52079-2024</t>
        </is>
      </c>
      <c r="B1542" s="1" t="n">
        <v>45608</v>
      </c>
      <c r="C1542" s="1" t="n">
        <v>45741</v>
      </c>
      <c r="D1542" t="inlineStr">
        <is>
          <t>JÄMTLANDS LÄN</t>
        </is>
      </c>
      <c r="E1542" t="inlineStr">
        <is>
          <t>KROKOM</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52240-2024</t>
        </is>
      </c>
      <c r="B1543" s="1" t="n">
        <v>45608</v>
      </c>
      <c r="C1543" s="1" t="n">
        <v>45741</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52237-2024</t>
        </is>
      </c>
      <c r="B1544" s="1" t="n">
        <v>45608</v>
      </c>
      <c r="C1544" s="1" t="n">
        <v>45741</v>
      </c>
      <c r="D1544" t="inlineStr">
        <is>
          <t>JÄMTLANDS LÄN</t>
        </is>
      </c>
      <c r="E1544" t="inlineStr">
        <is>
          <t>KROKOM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52540-2024</t>
        </is>
      </c>
      <c r="B1545" s="1" t="n">
        <v>45609</v>
      </c>
      <c r="C1545" s="1" t="n">
        <v>45741</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52589-2024</t>
        </is>
      </c>
      <c r="B1546" s="1" t="n">
        <v>45609</v>
      </c>
      <c r="C1546" s="1" t="n">
        <v>45741</v>
      </c>
      <c r="D1546" t="inlineStr">
        <is>
          <t>JÄMTLANDS LÄN</t>
        </is>
      </c>
      <c r="E1546" t="inlineStr">
        <is>
          <t>KROKOM</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52666-2024</t>
        </is>
      </c>
      <c r="B1547" s="1" t="n">
        <v>45610</v>
      </c>
      <c r="C1547" s="1" t="n">
        <v>45741</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53543-2024</t>
        </is>
      </c>
      <c r="B1548" s="1" t="n">
        <v>45614</v>
      </c>
      <c r="C1548" s="1" t="n">
        <v>45741</v>
      </c>
      <c r="D1548" t="inlineStr">
        <is>
          <t>JÄMTLANDS LÄN</t>
        </is>
      </c>
      <c r="E1548" t="inlineStr">
        <is>
          <t>KROKOM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53568-2024</t>
        </is>
      </c>
      <c r="B1549" s="1" t="n">
        <v>45614</v>
      </c>
      <c r="C1549" s="1" t="n">
        <v>45741</v>
      </c>
      <c r="D1549" t="inlineStr">
        <is>
          <t>JÄMTLANDS LÄN</t>
        </is>
      </c>
      <c r="E1549" t="inlineStr">
        <is>
          <t>KROKOM</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53436-2024</t>
        </is>
      </c>
      <c r="B1550" s="1" t="n">
        <v>45614</v>
      </c>
      <c r="C1550" s="1" t="n">
        <v>45741</v>
      </c>
      <c r="D1550" t="inlineStr">
        <is>
          <t>JÄMTLANDS LÄN</t>
        </is>
      </c>
      <c r="E1550" t="inlineStr">
        <is>
          <t>KROKOM</t>
        </is>
      </c>
      <c r="G1550" t="n">
        <v>19.1</v>
      </c>
      <c r="H1550" t="n">
        <v>0</v>
      </c>
      <c r="I1550" t="n">
        <v>0</v>
      </c>
      <c r="J1550" t="n">
        <v>0</v>
      </c>
      <c r="K1550" t="n">
        <v>0</v>
      </c>
      <c r="L1550" t="n">
        <v>0</v>
      </c>
      <c r="M1550" t="n">
        <v>0</v>
      </c>
      <c r="N1550" t="n">
        <v>0</v>
      </c>
      <c r="O1550" t="n">
        <v>0</v>
      </c>
      <c r="P1550" t="n">
        <v>0</v>
      </c>
      <c r="Q1550" t="n">
        <v>0</v>
      </c>
      <c r="R1550" s="2" t="inlineStr"/>
    </row>
    <row r="1551" ht="15" customHeight="1">
      <c r="A1551" t="inlineStr">
        <is>
          <t>A 53544-2024</t>
        </is>
      </c>
      <c r="B1551" s="1" t="n">
        <v>45614</v>
      </c>
      <c r="C1551" s="1" t="n">
        <v>45741</v>
      </c>
      <c r="D1551" t="inlineStr">
        <is>
          <t>JÄMTLANDS LÄN</t>
        </is>
      </c>
      <c r="E1551" t="inlineStr">
        <is>
          <t>KROKOM</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53540-2024</t>
        </is>
      </c>
      <c r="B1552" s="1" t="n">
        <v>45614</v>
      </c>
      <c r="C1552" s="1" t="n">
        <v>45741</v>
      </c>
      <c r="D1552" t="inlineStr">
        <is>
          <t>JÄMTLANDS LÄN</t>
        </is>
      </c>
      <c r="E1552" t="inlineStr">
        <is>
          <t>KROKOM</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53601-2024</t>
        </is>
      </c>
      <c r="B1553" s="1" t="n">
        <v>45614</v>
      </c>
      <c r="C1553" s="1" t="n">
        <v>45741</v>
      </c>
      <c r="D1553" t="inlineStr">
        <is>
          <t>JÄMTLANDS LÄN</t>
        </is>
      </c>
      <c r="E1553" t="inlineStr">
        <is>
          <t>KROKOM</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53541-2024</t>
        </is>
      </c>
      <c r="B1554" s="1" t="n">
        <v>45614</v>
      </c>
      <c r="C1554" s="1" t="n">
        <v>45741</v>
      </c>
      <c r="D1554" t="inlineStr">
        <is>
          <t>JÄMTLANDS LÄN</t>
        </is>
      </c>
      <c r="E1554" t="inlineStr">
        <is>
          <t>KROKOM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53389-2024</t>
        </is>
      </c>
      <c r="B1555" s="1" t="n">
        <v>45614</v>
      </c>
      <c r="C1555" s="1" t="n">
        <v>45741</v>
      </c>
      <c r="D1555" t="inlineStr">
        <is>
          <t>JÄMTLANDS LÄN</t>
        </is>
      </c>
      <c r="E1555" t="inlineStr">
        <is>
          <t>KROKOM</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53808-2024</t>
        </is>
      </c>
      <c r="B1556" s="1" t="n">
        <v>45615</v>
      </c>
      <c r="C1556" s="1" t="n">
        <v>45741</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53825-2024</t>
        </is>
      </c>
      <c r="B1557" s="1" t="n">
        <v>45615</v>
      </c>
      <c r="C1557" s="1" t="n">
        <v>45741</v>
      </c>
      <c r="D1557" t="inlineStr">
        <is>
          <t>JÄMTLANDS LÄN</t>
        </is>
      </c>
      <c r="E1557" t="inlineStr">
        <is>
          <t>KROKOM</t>
        </is>
      </c>
      <c r="F1557" t="inlineStr">
        <is>
          <t>Övriga Aktiebolag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53827-2024</t>
        </is>
      </c>
      <c r="B1558" s="1" t="n">
        <v>45615</v>
      </c>
      <c r="C1558" s="1" t="n">
        <v>45741</v>
      </c>
      <c r="D1558" t="inlineStr">
        <is>
          <t>JÄMTLANDS LÄN</t>
        </is>
      </c>
      <c r="E1558" t="inlineStr">
        <is>
          <t>KROKOM</t>
        </is>
      </c>
      <c r="F1558" t="inlineStr">
        <is>
          <t>Övriga Aktiebolag</t>
        </is>
      </c>
      <c r="G1558" t="n">
        <v>14.2</v>
      </c>
      <c r="H1558" t="n">
        <v>0</v>
      </c>
      <c r="I1558" t="n">
        <v>0</v>
      </c>
      <c r="J1558" t="n">
        <v>0</v>
      </c>
      <c r="K1558" t="n">
        <v>0</v>
      </c>
      <c r="L1558" t="n">
        <v>0</v>
      </c>
      <c r="M1558" t="n">
        <v>0</v>
      </c>
      <c r="N1558" t="n">
        <v>0</v>
      </c>
      <c r="O1558" t="n">
        <v>0</v>
      </c>
      <c r="P1558" t="n">
        <v>0</v>
      </c>
      <c r="Q1558" t="n">
        <v>0</v>
      </c>
      <c r="R1558" s="2" t="inlineStr"/>
    </row>
    <row r="1559" ht="15" customHeight="1">
      <c r="A1559" t="inlineStr">
        <is>
          <t>A 53776-2024</t>
        </is>
      </c>
      <c r="B1559" s="1" t="n">
        <v>45615</v>
      </c>
      <c r="C1559" s="1" t="n">
        <v>45741</v>
      </c>
      <c r="D1559" t="inlineStr">
        <is>
          <t>JÄMTLANDS LÄN</t>
        </is>
      </c>
      <c r="E1559" t="inlineStr">
        <is>
          <t>KROKOM</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53807-2024</t>
        </is>
      </c>
      <c r="B1560" s="1" t="n">
        <v>45615</v>
      </c>
      <c r="C1560" s="1" t="n">
        <v>45741</v>
      </c>
      <c r="D1560" t="inlineStr">
        <is>
          <t>JÄMTLANDS LÄN</t>
        </is>
      </c>
      <c r="E1560" t="inlineStr">
        <is>
          <t>KROKOM</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53815-2024</t>
        </is>
      </c>
      <c r="B1561" s="1" t="n">
        <v>45615</v>
      </c>
      <c r="C1561" s="1" t="n">
        <v>45741</v>
      </c>
      <c r="D1561" t="inlineStr">
        <is>
          <t>JÄMTLANDS LÄN</t>
        </is>
      </c>
      <c r="E1561" t="inlineStr">
        <is>
          <t>KROKOM</t>
        </is>
      </c>
      <c r="F1561" t="inlineStr">
        <is>
          <t>Övriga Aktiebolag</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53904-2024</t>
        </is>
      </c>
      <c r="B1562" s="1" t="n">
        <v>45615</v>
      </c>
      <c r="C1562" s="1" t="n">
        <v>45741</v>
      </c>
      <c r="D1562" t="inlineStr">
        <is>
          <t>JÄMTLANDS LÄN</t>
        </is>
      </c>
      <c r="E1562" t="inlineStr">
        <is>
          <t>KROKOM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54121-2024</t>
        </is>
      </c>
      <c r="B1563" s="1" t="n">
        <v>45616</v>
      </c>
      <c r="C1563" s="1" t="n">
        <v>45741</v>
      </c>
      <c r="D1563" t="inlineStr">
        <is>
          <t>JÄMTLANDS LÄN</t>
        </is>
      </c>
      <c r="E1563" t="inlineStr">
        <is>
          <t>KROKOM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53998-2024</t>
        </is>
      </c>
      <c r="B1564" s="1" t="n">
        <v>45616</v>
      </c>
      <c r="C1564" s="1" t="n">
        <v>45741</v>
      </c>
      <c r="D1564" t="inlineStr">
        <is>
          <t>JÄMTLANDS LÄN</t>
        </is>
      </c>
      <c r="E1564" t="inlineStr">
        <is>
          <t>KROKOM</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54140-2024</t>
        </is>
      </c>
      <c r="B1565" s="1" t="n">
        <v>45616</v>
      </c>
      <c r="C1565" s="1" t="n">
        <v>45741</v>
      </c>
      <c r="D1565" t="inlineStr">
        <is>
          <t>JÄMTLANDS LÄN</t>
        </is>
      </c>
      <c r="E1565" t="inlineStr">
        <is>
          <t>KROKOM</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54823-2024</t>
        </is>
      </c>
      <c r="B1566" s="1" t="n">
        <v>45618</v>
      </c>
      <c r="C1566" s="1" t="n">
        <v>45741</v>
      </c>
      <c r="D1566" t="inlineStr">
        <is>
          <t>JÄMTLANDS LÄN</t>
        </is>
      </c>
      <c r="E1566" t="inlineStr">
        <is>
          <t>KROKOM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54828-2024</t>
        </is>
      </c>
      <c r="B1567" s="1" t="n">
        <v>45618</v>
      </c>
      <c r="C1567" s="1" t="n">
        <v>45741</v>
      </c>
      <c r="D1567" t="inlineStr">
        <is>
          <t>JÄMTLANDS LÄN</t>
        </is>
      </c>
      <c r="E1567" t="inlineStr">
        <is>
          <t>KROKOM</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54817-2024</t>
        </is>
      </c>
      <c r="B1568" s="1" t="n">
        <v>45618</v>
      </c>
      <c r="C1568" s="1" t="n">
        <v>45741</v>
      </c>
      <c r="D1568" t="inlineStr">
        <is>
          <t>JÄMTLANDS LÄN</t>
        </is>
      </c>
      <c r="E1568" t="inlineStr">
        <is>
          <t>KROKOM</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54975-2024</t>
        </is>
      </c>
      <c r="B1569" s="1" t="n">
        <v>45620</v>
      </c>
      <c r="C1569" s="1" t="n">
        <v>45741</v>
      </c>
      <c r="D1569" t="inlineStr">
        <is>
          <t>JÄMTLANDS LÄN</t>
        </is>
      </c>
      <c r="E1569" t="inlineStr">
        <is>
          <t>KROKOM</t>
        </is>
      </c>
      <c r="G1569" t="n">
        <v>24.1</v>
      </c>
      <c r="H1569" t="n">
        <v>0</v>
      </c>
      <c r="I1569" t="n">
        <v>0</v>
      </c>
      <c r="J1569" t="n">
        <v>0</v>
      </c>
      <c r="K1569" t="n">
        <v>0</v>
      </c>
      <c r="L1569" t="n">
        <v>0</v>
      </c>
      <c r="M1569" t="n">
        <v>0</v>
      </c>
      <c r="N1569" t="n">
        <v>0</v>
      </c>
      <c r="O1569" t="n">
        <v>0</v>
      </c>
      <c r="P1569" t="n">
        <v>0</v>
      </c>
      <c r="Q1569" t="n">
        <v>0</v>
      </c>
      <c r="R1569" s="2" t="inlineStr"/>
    </row>
    <row r="1570" ht="15" customHeight="1">
      <c r="A1570" t="inlineStr">
        <is>
          <t>A 55337-2024</t>
        </is>
      </c>
      <c r="B1570" s="1" t="n">
        <v>45621</v>
      </c>
      <c r="C1570" s="1" t="n">
        <v>45741</v>
      </c>
      <c r="D1570" t="inlineStr">
        <is>
          <t>JÄMTLANDS LÄN</t>
        </is>
      </c>
      <c r="E1570" t="inlineStr">
        <is>
          <t>KROKOM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55043-2024</t>
        </is>
      </c>
      <c r="B1571" s="1" t="n">
        <v>45621</v>
      </c>
      <c r="C1571" s="1" t="n">
        <v>45741</v>
      </c>
      <c r="D1571" t="inlineStr">
        <is>
          <t>JÄMTLANDS LÄN</t>
        </is>
      </c>
      <c r="E1571" t="inlineStr">
        <is>
          <t>KROKOM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55338-2024</t>
        </is>
      </c>
      <c r="B1572" s="1" t="n">
        <v>45621</v>
      </c>
      <c r="C1572" s="1" t="n">
        <v>45741</v>
      </c>
      <c r="D1572" t="inlineStr">
        <is>
          <t>JÄMTLANDS LÄN</t>
        </is>
      </c>
      <c r="E1572" t="inlineStr">
        <is>
          <t>KROKOM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55339-2024</t>
        </is>
      </c>
      <c r="B1573" s="1" t="n">
        <v>45621</v>
      </c>
      <c r="C1573" s="1" t="n">
        <v>45741</v>
      </c>
      <c r="D1573" t="inlineStr">
        <is>
          <t>JÄMTLANDS LÄN</t>
        </is>
      </c>
      <c r="E1573" t="inlineStr">
        <is>
          <t>KROKOM</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55831-2024</t>
        </is>
      </c>
      <c r="B1574" s="1" t="n">
        <v>45623</v>
      </c>
      <c r="C1574" s="1" t="n">
        <v>45741</v>
      </c>
      <c r="D1574" t="inlineStr">
        <is>
          <t>JÄMTLANDS LÄN</t>
        </is>
      </c>
      <c r="E1574" t="inlineStr">
        <is>
          <t>KROKOM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55849-2024</t>
        </is>
      </c>
      <c r="B1575" s="1" t="n">
        <v>45623</v>
      </c>
      <c r="C1575" s="1" t="n">
        <v>45741</v>
      </c>
      <c r="D1575" t="inlineStr">
        <is>
          <t>JÄMTLANDS LÄN</t>
        </is>
      </c>
      <c r="E1575" t="inlineStr">
        <is>
          <t>KROKOM</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56640-2024</t>
        </is>
      </c>
      <c r="B1576" s="1" t="n">
        <v>45625</v>
      </c>
      <c r="C1576" s="1" t="n">
        <v>45741</v>
      </c>
      <c r="D1576" t="inlineStr">
        <is>
          <t>JÄMTLANDS LÄN</t>
        </is>
      </c>
      <c r="E1576" t="inlineStr">
        <is>
          <t>KROKOM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56633-2024</t>
        </is>
      </c>
      <c r="B1577" s="1" t="n">
        <v>45625</v>
      </c>
      <c r="C1577" s="1" t="n">
        <v>45741</v>
      </c>
      <c r="D1577" t="inlineStr">
        <is>
          <t>JÄMTLANDS LÄN</t>
        </is>
      </c>
      <c r="E1577" t="inlineStr">
        <is>
          <t>KROKOM</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56981-2024</t>
        </is>
      </c>
      <c r="B1578" s="1" t="n">
        <v>45628</v>
      </c>
      <c r="C1578" s="1" t="n">
        <v>45741</v>
      </c>
      <c r="D1578" t="inlineStr">
        <is>
          <t>JÄMTLANDS LÄN</t>
        </is>
      </c>
      <c r="E1578" t="inlineStr">
        <is>
          <t>KROKOM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57136-2024</t>
        </is>
      </c>
      <c r="B1579" s="1" t="n">
        <v>45629</v>
      </c>
      <c r="C1579" s="1" t="n">
        <v>45741</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57134-2024</t>
        </is>
      </c>
      <c r="B1580" s="1" t="n">
        <v>45629</v>
      </c>
      <c r="C1580" s="1" t="n">
        <v>45741</v>
      </c>
      <c r="D1580" t="inlineStr">
        <is>
          <t>JÄMTLANDS LÄN</t>
        </is>
      </c>
      <c r="E1580" t="inlineStr">
        <is>
          <t>KROKOM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57135-2024</t>
        </is>
      </c>
      <c r="B1581" s="1" t="n">
        <v>45629</v>
      </c>
      <c r="C1581" s="1" t="n">
        <v>45741</v>
      </c>
      <c r="D1581" t="inlineStr">
        <is>
          <t>JÄMTLANDS LÄN</t>
        </is>
      </c>
      <c r="E1581" t="inlineStr">
        <is>
          <t>KROKOM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57459-2024</t>
        </is>
      </c>
      <c r="B1582" s="1" t="n">
        <v>45630</v>
      </c>
      <c r="C1582" s="1" t="n">
        <v>45741</v>
      </c>
      <c r="D1582" t="inlineStr">
        <is>
          <t>JÄMTLANDS LÄN</t>
        </is>
      </c>
      <c r="E1582" t="inlineStr">
        <is>
          <t>KROKOM</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57718-2024</t>
        </is>
      </c>
      <c r="B1583" s="1" t="n">
        <v>45630</v>
      </c>
      <c r="C1583" s="1" t="n">
        <v>45741</v>
      </c>
      <c r="D1583" t="inlineStr">
        <is>
          <t>JÄMTLANDS LÄN</t>
        </is>
      </c>
      <c r="E1583" t="inlineStr">
        <is>
          <t>KROKOM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57575-2024</t>
        </is>
      </c>
      <c r="B1584" s="1" t="n">
        <v>45630</v>
      </c>
      <c r="C1584" s="1" t="n">
        <v>45741</v>
      </c>
      <c r="D1584" t="inlineStr">
        <is>
          <t>JÄMTLANDS LÄN</t>
        </is>
      </c>
      <c r="E1584" t="inlineStr">
        <is>
          <t>KROKOM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57985-2024</t>
        </is>
      </c>
      <c r="B1585" s="1" t="n">
        <v>45631</v>
      </c>
      <c r="C1585" s="1" t="n">
        <v>45741</v>
      </c>
      <c r="D1585" t="inlineStr">
        <is>
          <t>JÄMTLANDS LÄN</t>
        </is>
      </c>
      <c r="E1585" t="inlineStr">
        <is>
          <t>KROKOM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57984-2024</t>
        </is>
      </c>
      <c r="B1586" s="1" t="n">
        <v>45631</v>
      </c>
      <c r="C1586" s="1" t="n">
        <v>45741</v>
      </c>
      <c r="D1586" t="inlineStr">
        <is>
          <t>JÄMTLANDS LÄN</t>
        </is>
      </c>
      <c r="E1586" t="inlineStr">
        <is>
          <t>KROKOM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57986-2024</t>
        </is>
      </c>
      <c r="B1587" s="1" t="n">
        <v>45631</v>
      </c>
      <c r="C1587" s="1" t="n">
        <v>45741</v>
      </c>
      <c r="D1587" t="inlineStr">
        <is>
          <t>JÄMTLANDS LÄN</t>
        </is>
      </c>
      <c r="E1587" t="inlineStr">
        <is>
          <t>KROKOM</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58207-2024</t>
        </is>
      </c>
      <c r="B1588" s="1" t="n">
        <v>45632</v>
      </c>
      <c r="C1588" s="1" t="n">
        <v>45741</v>
      </c>
      <c r="D1588" t="inlineStr">
        <is>
          <t>JÄMTLANDS LÄN</t>
        </is>
      </c>
      <c r="E1588" t="inlineStr">
        <is>
          <t>KROKOM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58136-2024</t>
        </is>
      </c>
      <c r="B1589" s="1" t="n">
        <v>45632</v>
      </c>
      <c r="C1589" s="1" t="n">
        <v>45741</v>
      </c>
      <c r="D1589" t="inlineStr">
        <is>
          <t>JÄMTLANDS LÄN</t>
        </is>
      </c>
      <c r="E1589" t="inlineStr">
        <is>
          <t>KROKOM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58189-2024</t>
        </is>
      </c>
      <c r="B1590" s="1" t="n">
        <v>45632</v>
      </c>
      <c r="C1590" s="1" t="n">
        <v>45741</v>
      </c>
      <c r="D1590" t="inlineStr">
        <is>
          <t>JÄMTLANDS LÄN</t>
        </is>
      </c>
      <c r="E1590" t="inlineStr">
        <is>
          <t>KROKOM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58416-2024</t>
        </is>
      </c>
      <c r="B1591" s="1" t="n">
        <v>45634</v>
      </c>
      <c r="C1591" s="1" t="n">
        <v>45741</v>
      </c>
      <c r="D1591" t="inlineStr">
        <is>
          <t>JÄMTLANDS LÄN</t>
        </is>
      </c>
      <c r="E1591" t="inlineStr">
        <is>
          <t>KROKOM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58415-2024</t>
        </is>
      </c>
      <c r="B1592" s="1" t="n">
        <v>45634</v>
      </c>
      <c r="C1592" s="1" t="n">
        <v>45741</v>
      </c>
      <c r="D1592" t="inlineStr">
        <is>
          <t>JÄMTLANDS LÄN</t>
        </is>
      </c>
      <c r="E1592" t="inlineStr">
        <is>
          <t>KROKOM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58482-2024</t>
        </is>
      </c>
      <c r="B1593" s="1" t="n">
        <v>45635</v>
      </c>
      <c r="C1593" s="1" t="n">
        <v>45741</v>
      </c>
      <c r="D1593" t="inlineStr">
        <is>
          <t>JÄMTLANDS LÄN</t>
        </is>
      </c>
      <c r="E1593" t="inlineStr">
        <is>
          <t>KROKOM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58487-2024</t>
        </is>
      </c>
      <c r="B1594" s="1" t="n">
        <v>45635</v>
      </c>
      <c r="C1594" s="1" t="n">
        <v>45741</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58734-2024</t>
        </is>
      </c>
      <c r="B1595" s="1" t="n">
        <v>45635</v>
      </c>
      <c r="C1595" s="1" t="n">
        <v>45741</v>
      </c>
      <c r="D1595" t="inlineStr">
        <is>
          <t>JÄMTLANDS LÄN</t>
        </is>
      </c>
      <c r="E1595" t="inlineStr">
        <is>
          <t>KROKOM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58897-2024</t>
        </is>
      </c>
      <c r="B1596" s="1" t="n">
        <v>45636</v>
      </c>
      <c r="C1596" s="1" t="n">
        <v>45741</v>
      </c>
      <c r="D1596" t="inlineStr">
        <is>
          <t>JÄMTLANDS LÄN</t>
        </is>
      </c>
      <c r="E1596" t="inlineStr">
        <is>
          <t>KROKOM</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59620-2024</t>
        </is>
      </c>
      <c r="B1597" s="1" t="n">
        <v>45638</v>
      </c>
      <c r="C1597" s="1" t="n">
        <v>45741</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59619-2024</t>
        </is>
      </c>
      <c r="B1598" s="1" t="n">
        <v>45638</v>
      </c>
      <c r="C1598" s="1" t="n">
        <v>45741</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60117-2024</t>
        </is>
      </c>
      <c r="B1599" s="1" t="n">
        <v>45639</v>
      </c>
      <c r="C1599" s="1" t="n">
        <v>45741</v>
      </c>
      <c r="D1599" t="inlineStr">
        <is>
          <t>JÄMTLANDS LÄN</t>
        </is>
      </c>
      <c r="E1599" t="inlineStr">
        <is>
          <t>KROKOM</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60122-2024</t>
        </is>
      </c>
      <c r="B1600" s="1" t="n">
        <v>45639</v>
      </c>
      <c r="C1600" s="1" t="n">
        <v>45741</v>
      </c>
      <c r="D1600" t="inlineStr">
        <is>
          <t>JÄMTLANDS LÄN</t>
        </is>
      </c>
      <c r="E1600" t="inlineStr">
        <is>
          <t>KROKOM</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60195-2024</t>
        </is>
      </c>
      <c r="B1601" s="1" t="n">
        <v>45642</v>
      </c>
      <c r="C1601" s="1" t="n">
        <v>45741</v>
      </c>
      <c r="D1601" t="inlineStr">
        <is>
          <t>JÄMTLANDS LÄN</t>
        </is>
      </c>
      <c r="E1601" t="inlineStr">
        <is>
          <t>KROKOM</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60172-2024</t>
        </is>
      </c>
      <c r="B1602" s="1" t="n">
        <v>45642</v>
      </c>
      <c r="C1602" s="1" t="n">
        <v>45741</v>
      </c>
      <c r="D1602" t="inlineStr">
        <is>
          <t>JÄMTLANDS LÄN</t>
        </is>
      </c>
      <c r="E1602" t="inlineStr">
        <is>
          <t>KROKOM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60173-2024</t>
        </is>
      </c>
      <c r="B1603" s="1" t="n">
        <v>45642</v>
      </c>
      <c r="C1603" s="1" t="n">
        <v>45741</v>
      </c>
      <c r="D1603" t="inlineStr">
        <is>
          <t>JÄMTLANDS LÄN</t>
        </is>
      </c>
      <c r="E1603" t="inlineStr">
        <is>
          <t>KROKOM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60447-2024</t>
        </is>
      </c>
      <c r="B1604" s="1" t="n">
        <v>45643</v>
      </c>
      <c r="C1604" s="1" t="n">
        <v>45741</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60416-2024</t>
        </is>
      </c>
      <c r="B1605" s="1" t="n">
        <v>45643</v>
      </c>
      <c r="C1605" s="1" t="n">
        <v>45741</v>
      </c>
      <c r="D1605" t="inlineStr">
        <is>
          <t>JÄMTLANDS LÄN</t>
        </is>
      </c>
      <c r="E1605" t="inlineStr">
        <is>
          <t>KROKOM</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60420-2024</t>
        </is>
      </c>
      <c r="B1606" s="1" t="n">
        <v>45643</v>
      </c>
      <c r="C1606" s="1" t="n">
        <v>45741</v>
      </c>
      <c r="D1606" t="inlineStr">
        <is>
          <t>JÄMTLANDS LÄN</t>
        </is>
      </c>
      <c r="E1606" t="inlineStr">
        <is>
          <t>KROKOM</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60313-2024</t>
        </is>
      </c>
      <c r="B1607" s="1" t="n">
        <v>45643</v>
      </c>
      <c r="C1607" s="1" t="n">
        <v>45741</v>
      </c>
      <c r="D1607" t="inlineStr">
        <is>
          <t>JÄMTLANDS LÄN</t>
        </is>
      </c>
      <c r="E1607" t="inlineStr">
        <is>
          <t>KROKOM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60450-2024</t>
        </is>
      </c>
      <c r="B1608" s="1" t="n">
        <v>45643</v>
      </c>
      <c r="C1608" s="1" t="n">
        <v>45741</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60487-2024</t>
        </is>
      </c>
      <c r="B1609" s="1" t="n">
        <v>45643</v>
      </c>
      <c r="C1609" s="1" t="n">
        <v>45741</v>
      </c>
      <c r="D1609" t="inlineStr">
        <is>
          <t>JÄMTLANDS LÄN</t>
        </is>
      </c>
      <c r="E1609" t="inlineStr">
        <is>
          <t>KROKOM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60491-2024</t>
        </is>
      </c>
      <c r="B1610" s="1" t="n">
        <v>45643</v>
      </c>
      <c r="C1610" s="1" t="n">
        <v>45741</v>
      </c>
      <c r="D1610" t="inlineStr">
        <is>
          <t>JÄMTLANDS LÄN</t>
        </is>
      </c>
      <c r="E1610" t="inlineStr">
        <is>
          <t>KROKOM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60873-2024</t>
        </is>
      </c>
      <c r="B1611" s="1" t="n">
        <v>45644</v>
      </c>
      <c r="C1611" s="1" t="n">
        <v>45741</v>
      </c>
      <c r="D1611" t="inlineStr">
        <is>
          <t>JÄMTLANDS LÄN</t>
        </is>
      </c>
      <c r="E1611" t="inlineStr">
        <is>
          <t>KROKOM</t>
        </is>
      </c>
      <c r="G1611" t="n">
        <v>83.8</v>
      </c>
      <c r="H1611" t="n">
        <v>0</v>
      </c>
      <c r="I1611" t="n">
        <v>0</v>
      </c>
      <c r="J1611" t="n">
        <v>0</v>
      </c>
      <c r="K1611" t="n">
        <v>0</v>
      </c>
      <c r="L1611" t="n">
        <v>0</v>
      </c>
      <c r="M1611" t="n">
        <v>0</v>
      </c>
      <c r="N1611" t="n">
        <v>0</v>
      </c>
      <c r="O1611" t="n">
        <v>0</v>
      </c>
      <c r="P1611" t="n">
        <v>0</v>
      </c>
      <c r="Q1611" t="n">
        <v>0</v>
      </c>
      <c r="R1611" s="2" t="inlineStr"/>
    </row>
    <row r="1612" ht="15" customHeight="1">
      <c r="A1612" t="inlineStr">
        <is>
          <t>A 61388-2024</t>
        </is>
      </c>
      <c r="B1612" s="1" t="n">
        <v>45646</v>
      </c>
      <c r="C1612" s="1" t="n">
        <v>45741</v>
      </c>
      <c r="D1612" t="inlineStr">
        <is>
          <t>JÄMTLANDS LÄN</t>
        </is>
      </c>
      <c r="E1612" t="inlineStr">
        <is>
          <t>KROKOM</t>
        </is>
      </c>
      <c r="G1612" t="n">
        <v>44.1</v>
      </c>
      <c r="H1612" t="n">
        <v>0</v>
      </c>
      <c r="I1612" t="n">
        <v>0</v>
      </c>
      <c r="J1612" t="n">
        <v>0</v>
      </c>
      <c r="K1612" t="n">
        <v>0</v>
      </c>
      <c r="L1612" t="n">
        <v>0</v>
      </c>
      <c r="M1612" t="n">
        <v>0</v>
      </c>
      <c r="N1612" t="n">
        <v>0</v>
      </c>
      <c r="O1612" t="n">
        <v>0</v>
      </c>
      <c r="P1612" t="n">
        <v>0</v>
      </c>
      <c r="Q1612" t="n">
        <v>0</v>
      </c>
      <c r="R1612" s="2" t="inlineStr"/>
    </row>
    <row r="1613" ht="15" customHeight="1">
      <c r="A1613" t="inlineStr">
        <is>
          <t>A 61434-2024</t>
        </is>
      </c>
      <c r="B1613" s="1" t="n">
        <v>45646</v>
      </c>
      <c r="C1613" s="1" t="n">
        <v>45741</v>
      </c>
      <c r="D1613" t="inlineStr">
        <is>
          <t>JÄMTLANDS LÄN</t>
        </is>
      </c>
      <c r="E1613" t="inlineStr">
        <is>
          <t>KROKOM</t>
        </is>
      </c>
      <c r="G1613" t="n">
        <v>33.7</v>
      </c>
      <c r="H1613" t="n">
        <v>0</v>
      </c>
      <c r="I1613" t="n">
        <v>0</v>
      </c>
      <c r="J1613" t="n">
        <v>0</v>
      </c>
      <c r="K1613" t="n">
        <v>0</v>
      </c>
      <c r="L1613" t="n">
        <v>0</v>
      </c>
      <c r="M1613" t="n">
        <v>0</v>
      </c>
      <c r="N1613" t="n">
        <v>0</v>
      </c>
      <c r="O1613" t="n">
        <v>0</v>
      </c>
      <c r="P1613" t="n">
        <v>0</v>
      </c>
      <c r="Q1613" t="n">
        <v>0</v>
      </c>
      <c r="R1613" s="2" t="inlineStr"/>
    </row>
    <row r="1614" ht="15" customHeight="1">
      <c r="A1614" t="inlineStr">
        <is>
          <t>A 62121-2024</t>
        </is>
      </c>
      <c r="B1614" s="1" t="n">
        <v>45646</v>
      </c>
      <c r="C1614" s="1" t="n">
        <v>45741</v>
      </c>
      <c r="D1614" t="inlineStr">
        <is>
          <t>JÄMTLANDS LÄN</t>
        </is>
      </c>
      <c r="E1614" t="inlineStr">
        <is>
          <t>KROKOM</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61767-2024</t>
        </is>
      </c>
      <c r="B1615" s="1" t="n">
        <v>45649</v>
      </c>
      <c r="C1615" s="1" t="n">
        <v>45741</v>
      </c>
      <c r="D1615" t="inlineStr">
        <is>
          <t>JÄMTLANDS LÄN</t>
        </is>
      </c>
      <c r="E1615" t="inlineStr">
        <is>
          <t>KROKOM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186-2025</t>
        </is>
      </c>
      <c r="B1616" s="1" t="n">
        <v>45649</v>
      </c>
      <c r="C1616" s="1" t="n">
        <v>45741</v>
      </c>
      <c r="D1616" t="inlineStr">
        <is>
          <t>JÄMTLANDS LÄN</t>
        </is>
      </c>
      <c r="E1616" t="inlineStr">
        <is>
          <t>KROKOM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61776-2024</t>
        </is>
      </c>
      <c r="B1617" s="1" t="n">
        <v>45649</v>
      </c>
      <c r="C1617" s="1" t="n">
        <v>45741</v>
      </c>
      <c r="D1617" t="inlineStr">
        <is>
          <t>JÄMTLANDS LÄN</t>
        </is>
      </c>
      <c r="E1617" t="inlineStr">
        <is>
          <t>KROKOM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61742-2024</t>
        </is>
      </c>
      <c r="B1618" s="1" t="n">
        <v>45649</v>
      </c>
      <c r="C1618" s="1" t="n">
        <v>45741</v>
      </c>
      <c r="D1618" t="inlineStr">
        <is>
          <t>JÄMTLANDS LÄN</t>
        </is>
      </c>
      <c r="E1618" t="inlineStr">
        <is>
          <t>KROKOM</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61966-2024</t>
        </is>
      </c>
      <c r="B1619" s="1" t="n">
        <v>45653</v>
      </c>
      <c r="C1619" s="1" t="n">
        <v>45741</v>
      </c>
      <c r="D1619" t="inlineStr">
        <is>
          <t>JÄMTLANDS LÄN</t>
        </is>
      </c>
      <c r="E1619" t="inlineStr">
        <is>
          <t>KROKOM</t>
        </is>
      </c>
      <c r="F1619" t="inlineStr">
        <is>
          <t>Övriga Aktiebolag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62131-2024</t>
        </is>
      </c>
      <c r="B1620" s="1" t="n">
        <v>45656</v>
      </c>
      <c r="C1620" s="1" t="n">
        <v>45741</v>
      </c>
      <c r="D1620" t="inlineStr">
        <is>
          <t>JÄMTLANDS LÄN</t>
        </is>
      </c>
      <c r="E1620" t="inlineStr">
        <is>
          <t>KROKOM</t>
        </is>
      </c>
      <c r="F1620" t="inlineStr">
        <is>
          <t>Övriga Aktiebolag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280-2025</t>
        </is>
      </c>
      <c r="B1621" s="1" t="n">
        <v>45660</v>
      </c>
      <c r="C1621" s="1" t="n">
        <v>45741</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692-2025</t>
        </is>
      </c>
      <c r="B1622" s="1" t="n">
        <v>45662</v>
      </c>
      <c r="C1622" s="1" t="n">
        <v>45741</v>
      </c>
      <c r="D1622" t="inlineStr">
        <is>
          <t>JÄMTLANDS LÄN</t>
        </is>
      </c>
      <c r="E1622" t="inlineStr">
        <is>
          <t>KROKOM</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599-2025</t>
        </is>
      </c>
      <c r="B1623" s="1" t="n">
        <v>45664</v>
      </c>
      <c r="C1623" s="1" t="n">
        <v>45741</v>
      </c>
      <c r="D1623" t="inlineStr">
        <is>
          <t>JÄMTLANDS LÄN</t>
        </is>
      </c>
      <c r="E1623" t="inlineStr">
        <is>
          <t>KROKOM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826-2025</t>
        </is>
      </c>
      <c r="B1624" s="1" t="n">
        <v>45665</v>
      </c>
      <c r="C1624" s="1" t="n">
        <v>45741</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1093-2025</t>
        </is>
      </c>
      <c r="B1625" s="1" t="n">
        <v>45666</v>
      </c>
      <c r="C1625" s="1" t="n">
        <v>45741</v>
      </c>
      <c r="D1625" t="inlineStr">
        <is>
          <t>JÄMTLANDS LÄN</t>
        </is>
      </c>
      <c r="E1625" t="inlineStr">
        <is>
          <t>KROKOM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1119-2025</t>
        </is>
      </c>
      <c r="B1626" s="1" t="n">
        <v>45666</v>
      </c>
      <c r="C1626" s="1" t="n">
        <v>45741</v>
      </c>
      <c r="D1626" t="inlineStr">
        <is>
          <t>JÄMTLANDS LÄN</t>
        </is>
      </c>
      <c r="E1626" t="inlineStr">
        <is>
          <t>KROKOM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1323-2025</t>
        </is>
      </c>
      <c r="B1627" s="1" t="n">
        <v>45667</v>
      </c>
      <c r="C1627" s="1" t="n">
        <v>45741</v>
      </c>
      <c r="D1627" t="inlineStr">
        <is>
          <t>JÄMTLANDS LÄN</t>
        </is>
      </c>
      <c r="E1627" t="inlineStr">
        <is>
          <t>KROKOM</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1473-2025</t>
        </is>
      </c>
      <c r="B1628" s="1" t="n">
        <v>45670</v>
      </c>
      <c r="C1628" s="1" t="n">
        <v>45741</v>
      </c>
      <c r="D1628" t="inlineStr">
        <is>
          <t>JÄMTLANDS LÄN</t>
        </is>
      </c>
      <c r="E1628" t="inlineStr">
        <is>
          <t>KROKOM</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1477-2025</t>
        </is>
      </c>
      <c r="B1629" s="1" t="n">
        <v>45670</v>
      </c>
      <c r="C1629" s="1" t="n">
        <v>45741</v>
      </c>
      <c r="D1629" t="inlineStr">
        <is>
          <t>JÄMTLANDS LÄN</t>
        </is>
      </c>
      <c r="E1629" t="inlineStr">
        <is>
          <t>KROKOM</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1852-2025</t>
        </is>
      </c>
      <c r="B1630" s="1" t="n">
        <v>45671</v>
      </c>
      <c r="C1630" s="1" t="n">
        <v>45741</v>
      </c>
      <c r="D1630" t="inlineStr">
        <is>
          <t>JÄMTLANDS LÄN</t>
        </is>
      </c>
      <c r="E1630" t="inlineStr">
        <is>
          <t>KROKOM</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2051-2025</t>
        </is>
      </c>
      <c r="B1631" s="1" t="n">
        <v>45672</v>
      </c>
      <c r="C1631" s="1" t="n">
        <v>45741</v>
      </c>
      <c r="D1631" t="inlineStr">
        <is>
          <t>JÄMTLANDS LÄN</t>
        </is>
      </c>
      <c r="E1631" t="inlineStr">
        <is>
          <t>KROKOM</t>
        </is>
      </c>
      <c r="F1631" t="inlineStr">
        <is>
          <t>Kyrkan</t>
        </is>
      </c>
      <c r="G1631" t="n">
        <v>87.90000000000001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2480-2025</t>
        </is>
      </c>
      <c r="B1632" s="1" t="n">
        <v>45674</v>
      </c>
      <c r="C1632" s="1" t="n">
        <v>45741</v>
      </c>
      <c r="D1632" t="inlineStr">
        <is>
          <t>JÄMTLANDS LÄN</t>
        </is>
      </c>
      <c r="E1632" t="inlineStr">
        <is>
          <t>KROKOM</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2782-2025</t>
        </is>
      </c>
      <c r="B1633" s="1" t="n">
        <v>45676</v>
      </c>
      <c r="C1633" s="1" t="n">
        <v>45741</v>
      </c>
      <c r="D1633" t="inlineStr">
        <is>
          <t>JÄMTLANDS LÄN</t>
        </is>
      </c>
      <c r="E1633" t="inlineStr">
        <is>
          <t>KROKOM</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3329-2025</t>
        </is>
      </c>
      <c r="B1634" s="1" t="n">
        <v>45679</v>
      </c>
      <c r="C1634" s="1" t="n">
        <v>45741</v>
      </c>
      <c r="D1634" t="inlineStr">
        <is>
          <t>JÄMTLANDS LÄN</t>
        </is>
      </c>
      <c r="E1634" t="inlineStr">
        <is>
          <t>KROKOM</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3263-2025</t>
        </is>
      </c>
      <c r="B1635" s="1" t="n">
        <v>45679</v>
      </c>
      <c r="C1635" s="1" t="n">
        <v>45741</v>
      </c>
      <c r="D1635" t="inlineStr">
        <is>
          <t>JÄMTLANDS LÄN</t>
        </is>
      </c>
      <c r="E1635" t="inlineStr">
        <is>
          <t>KROKOM</t>
        </is>
      </c>
      <c r="F1635" t="inlineStr">
        <is>
          <t>Kyrkan</t>
        </is>
      </c>
      <c r="G1635" t="n">
        <v>13.9</v>
      </c>
      <c r="H1635" t="n">
        <v>0</v>
      </c>
      <c r="I1635" t="n">
        <v>0</v>
      </c>
      <c r="J1635" t="n">
        <v>0</v>
      </c>
      <c r="K1635" t="n">
        <v>0</v>
      </c>
      <c r="L1635" t="n">
        <v>0</v>
      </c>
      <c r="M1635" t="n">
        <v>0</v>
      </c>
      <c r="N1635" t="n">
        <v>0</v>
      </c>
      <c r="O1635" t="n">
        <v>0</v>
      </c>
      <c r="P1635" t="n">
        <v>0</v>
      </c>
      <c r="Q1635" t="n">
        <v>0</v>
      </c>
      <c r="R1635" s="2" t="inlineStr"/>
    </row>
    <row r="1636" ht="15" customHeight="1">
      <c r="A1636" t="inlineStr">
        <is>
          <t>A 3192-2025</t>
        </is>
      </c>
      <c r="B1636" s="1" t="n">
        <v>45679</v>
      </c>
      <c r="C1636" s="1" t="n">
        <v>45741</v>
      </c>
      <c r="D1636" t="inlineStr">
        <is>
          <t>JÄMTLANDS LÄN</t>
        </is>
      </c>
      <c r="E1636" t="inlineStr">
        <is>
          <t>KROKOM</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4055-2025</t>
        </is>
      </c>
      <c r="B1637" s="1" t="n">
        <v>45684</v>
      </c>
      <c r="C1637" s="1" t="n">
        <v>45741</v>
      </c>
      <c r="D1637" t="inlineStr">
        <is>
          <t>JÄMTLANDS LÄN</t>
        </is>
      </c>
      <c r="E1637" t="inlineStr">
        <is>
          <t>KROKOM</t>
        </is>
      </c>
      <c r="F1637" t="inlineStr">
        <is>
          <t>Kyrkan</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4046-2025</t>
        </is>
      </c>
      <c r="B1638" s="1" t="n">
        <v>45684</v>
      </c>
      <c r="C1638" s="1" t="n">
        <v>45741</v>
      </c>
      <c r="D1638" t="inlineStr">
        <is>
          <t>JÄMTLANDS LÄN</t>
        </is>
      </c>
      <c r="E1638" t="inlineStr">
        <is>
          <t>KROKOM</t>
        </is>
      </c>
      <c r="F1638" t="inlineStr">
        <is>
          <t>Kyrkan</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4050-2025</t>
        </is>
      </c>
      <c r="B1639" s="1" t="n">
        <v>45684</v>
      </c>
      <c r="C1639" s="1" t="n">
        <v>45741</v>
      </c>
      <c r="D1639" t="inlineStr">
        <is>
          <t>JÄMTLANDS LÄN</t>
        </is>
      </c>
      <c r="E1639" t="inlineStr">
        <is>
          <t>KROKOM</t>
        </is>
      </c>
      <c r="F1639" t="inlineStr">
        <is>
          <t>Kyrkan</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4058-2025</t>
        </is>
      </c>
      <c r="B1640" s="1" t="n">
        <v>45684</v>
      </c>
      <c r="C1640" s="1" t="n">
        <v>45741</v>
      </c>
      <c r="D1640" t="inlineStr">
        <is>
          <t>JÄMTLANDS LÄN</t>
        </is>
      </c>
      <c r="E1640" t="inlineStr">
        <is>
          <t>KROKOM</t>
        </is>
      </c>
      <c r="F1640" t="inlineStr">
        <is>
          <t>Kyrkan</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4320-2025</t>
        </is>
      </c>
      <c r="B1641" s="1" t="n">
        <v>45685</v>
      </c>
      <c r="C1641" s="1" t="n">
        <v>45741</v>
      </c>
      <c r="D1641" t="inlineStr">
        <is>
          <t>JÄMTLANDS LÄN</t>
        </is>
      </c>
      <c r="E1641" t="inlineStr">
        <is>
          <t>KROKOM</t>
        </is>
      </c>
      <c r="F1641" t="inlineStr">
        <is>
          <t>Kyrkan</t>
        </is>
      </c>
      <c r="G1641" t="n">
        <v>33.3</v>
      </c>
      <c r="H1641" t="n">
        <v>0</v>
      </c>
      <c r="I1641" t="n">
        <v>0</v>
      </c>
      <c r="J1641" t="n">
        <v>0</v>
      </c>
      <c r="K1641" t="n">
        <v>0</v>
      </c>
      <c r="L1641" t="n">
        <v>0</v>
      </c>
      <c r="M1641" t="n">
        <v>0</v>
      </c>
      <c r="N1641" t="n">
        <v>0</v>
      </c>
      <c r="O1641" t="n">
        <v>0</v>
      </c>
      <c r="P1641" t="n">
        <v>0</v>
      </c>
      <c r="Q1641" t="n">
        <v>0</v>
      </c>
      <c r="R1641" s="2" t="inlineStr"/>
    </row>
    <row r="1642" ht="15" customHeight="1">
      <c r="A1642" t="inlineStr">
        <is>
          <t>A 4332-2025</t>
        </is>
      </c>
      <c r="B1642" s="1" t="n">
        <v>45685</v>
      </c>
      <c r="C1642" s="1" t="n">
        <v>45741</v>
      </c>
      <c r="D1642" t="inlineStr">
        <is>
          <t>JÄMTLANDS LÄN</t>
        </is>
      </c>
      <c r="E1642" t="inlineStr">
        <is>
          <t>KROKOM</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4423-2025</t>
        </is>
      </c>
      <c r="B1643" s="1" t="n">
        <v>45686</v>
      </c>
      <c r="C1643" s="1" t="n">
        <v>45741</v>
      </c>
      <c r="D1643" t="inlineStr">
        <is>
          <t>JÄMTLANDS LÄN</t>
        </is>
      </c>
      <c r="E1643" t="inlineStr">
        <is>
          <t>KROKOM</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4377-2025</t>
        </is>
      </c>
      <c r="B1644" s="1" t="n">
        <v>45686</v>
      </c>
      <c r="C1644" s="1" t="n">
        <v>45741</v>
      </c>
      <c r="D1644" t="inlineStr">
        <is>
          <t>JÄMTLANDS LÄN</t>
        </is>
      </c>
      <c r="E1644" t="inlineStr">
        <is>
          <t>KROKOM</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4369-2025</t>
        </is>
      </c>
      <c r="B1645" s="1" t="n">
        <v>45686</v>
      </c>
      <c r="C1645" s="1" t="n">
        <v>45741</v>
      </c>
      <c r="D1645" t="inlineStr">
        <is>
          <t>JÄMTLANDS LÄN</t>
        </is>
      </c>
      <c r="E1645" t="inlineStr">
        <is>
          <t>KROKOM</t>
        </is>
      </c>
      <c r="F1645" t="inlineStr">
        <is>
          <t>SCA</t>
        </is>
      </c>
      <c r="G1645" t="n">
        <v>45.4</v>
      </c>
      <c r="H1645" t="n">
        <v>0</v>
      </c>
      <c r="I1645" t="n">
        <v>0</v>
      </c>
      <c r="J1645" t="n">
        <v>0</v>
      </c>
      <c r="K1645" t="n">
        <v>0</v>
      </c>
      <c r="L1645" t="n">
        <v>0</v>
      </c>
      <c r="M1645" t="n">
        <v>0</v>
      </c>
      <c r="N1645" t="n">
        <v>0</v>
      </c>
      <c r="O1645" t="n">
        <v>0</v>
      </c>
      <c r="P1645" t="n">
        <v>0</v>
      </c>
      <c r="Q1645" t="n">
        <v>0</v>
      </c>
      <c r="R1645" s="2" t="inlineStr"/>
    </row>
    <row r="1646" ht="15" customHeight="1">
      <c r="A1646" t="inlineStr">
        <is>
          <t>A 4364-2025</t>
        </is>
      </c>
      <c r="B1646" s="1" t="n">
        <v>45686</v>
      </c>
      <c r="C1646" s="1" t="n">
        <v>45741</v>
      </c>
      <c r="D1646" t="inlineStr">
        <is>
          <t>JÄMTLANDS LÄN</t>
        </is>
      </c>
      <c r="E1646" t="inlineStr">
        <is>
          <t>KROKOM</t>
        </is>
      </c>
      <c r="F1646" t="inlineStr">
        <is>
          <t>SCA</t>
        </is>
      </c>
      <c r="G1646" t="n">
        <v>27.9</v>
      </c>
      <c r="H1646" t="n">
        <v>0</v>
      </c>
      <c r="I1646" t="n">
        <v>0</v>
      </c>
      <c r="J1646" t="n">
        <v>0</v>
      </c>
      <c r="K1646" t="n">
        <v>0</v>
      </c>
      <c r="L1646" t="n">
        <v>0</v>
      </c>
      <c r="M1646" t="n">
        <v>0</v>
      </c>
      <c r="N1646" t="n">
        <v>0</v>
      </c>
      <c r="O1646" t="n">
        <v>0</v>
      </c>
      <c r="P1646" t="n">
        <v>0</v>
      </c>
      <c r="Q1646" t="n">
        <v>0</v>
      </c>
      <c r="R1646" s="2" t="inlineStr"/>
    </row>
    <row r="1647" ht="15" customHeight="1">
      <c r="A1647" t="inlineStr">
        <is>
          <t>A 4383-2025</t>
        </is>
      </c>
      <c r="B1647" s="1" t="n">
        <v>45686</v>
      </c>
      <c r="C1647" s="1" t="n">
        <v>45741</v>
      </c>
      <c r="D1647" t="inlineStr">
        <is>
          <t>JÄMTLANDS LÄN</t>
        </is>
      </c>
      <c r="E1647" t="inlineStr">
        <is>
          <t>KROKOM</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4354-2025</t>
        </is>
      </c>
      <c r="B1648" s="1" t="n">
        <v>45686</v>
      </c>
      <c r="C1648" s="1" t="n">
        <v>45741</v>
      </c>
      <c r="D1648" t="inlineStr">
        <is>
          <t>JÄMTLANDS LÄN</t>
        </is>
      </c>
      <c r="E1648" t="inlineStr">
        <is>
          <t>KROKOM</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4361-2025</t>
        </is>
      </c>
      <c r="B1649" s="1" t="n">
        <v>45686</v>
      </c>
      <c r="C1649" s="1" t="n">
        <v>45741</v>
      </c>
      <c r="D1649" t="inlineStr">
        <is>
          <t>JÄMTLANDS LÄN</t>
        </is>
      </c>
      <c r="E1649" t="inlineStr">
        <is>
          <t>KROKOM</t>
        </is>
      </c>
      <c r="F1649" t="inlineStr">
        <is>
          <t>SCA</t>
        </is>
      </c>
      <c r="G1649" t="n">
        <v>13.7</v>
      </c>
      <c r="H1649" t="n">
        <v>0</v>
      </c>
      <c r="I1649" t="n">
        <v>0</v>
      </c>
      <c r="J1649" t="n">
        <v>0</v>
      </c>
      <c r="K1649" t="n">
        <v>0</v>
      </c>
      <c r="L1649" t="n">
        <v>0</v>
      </c>
      <c r="M1649" t="n">
        <v>0</v>
      </c>
      <c r="N1649" t="n">
        <v>0</v>
      </c>
      <c r="O1649" t="n">
        <v>0</v>
      </c>
      <c r="P1649" t="n">
        <v>0</v>
      </c>
      <c r="Q1649" t="n">
        <v>0</v>
      </c>
      <c r="R1649" s="2" t="inlineStr"/>
    </row>
    <row r="1650" ht="15" customHeight="1">
      <c r="A1650" t="inlineStr">
        <is>
          <t>A 4608-2025</t>
        </is>
      </c>
      <c r="B1650" s="1" t="n">
        <v>45687</v>
      </c>
      <c r="C1650" s="1" t="n">
        <v>45741</v>
      </c>
      <c r="D1650" t="inlineStr">
        <is>
          <t>JÄMTLANDS LÄN</t>
        </is>
      </c>
      <c r="E1650" t="inlineStr">
        <is>
          <t>KROKOM</t>
        </is>
      </c>
      <c r="F1650" t="inlineStr">
        <is>
          <t>SCA</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4609-2025</t>
        </is>
      </c>
      <c r="B1651" s="1" t="n">
        <v>45687</v>
      </c>
      <c r="C1651" s="1" t="n">
        <v>45741</v>
      </c>
      <c r="D1651" t="inlineStr">
        <is>
          <t>JÄMTLANDS LÄN</t>
        </is>
      </c>
      <c r="E1651" t="inlineStr">
        <is>
          <t>KROKOM</t>
        </is>
      </c>
      <c r="F1651" t="inlineStr">
        <is>
          <t>SCA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4570-2025</t>
        </is>
      </c>
      <c r="B1652" s="1" t="n">
        <v>45687</v>
      </c>
      <c r="C1652" s="1" t="n">
        <v>45741</v>
      </c>
      <c r="D1652" t="inlineStr">
        <is>
          <t>JÄMTLANDS LÄN</t>
        </is>
      </c>
      <c r="E1652" t="inlineStr">
        <is>
          <t>KROKOM</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4575-2025</t>
        </is>
      </c>
      <c r="B1653" s="1" t="n">
        <v>45687</v>
      </c>
      <c r="C1653" s="1" t="n">
        <v>45741</v>
      </c>
      <c r="D1653" t="inlineStr">
        <is>
          <t>JÄMTLANDS LÄN</t>
        </is>
      </c>
      <c r="E1653" t="inlineStr">
        <is>
          <t>KROKOM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4883-2025</t>
        </is>
      </c>
      <c r="B1654" s="1" t="n">
        <v>45688</v>
      </c>
      <c r="C1654" s="1" t="n">
        <v>45741</v>
      </c>
      <c r="D1654" t="inlineStr">
        <is>
          <t>JÄMTLANDS LÄN</t>
        </is>
      </c>
      <c r="E1654" t="inlineStr">
        <is>
          <t>KROKOM</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4707-2025</t>
        </is>
      </c>
      <c r="B1655" s="1" t="n">
        <v>45688</v>
      </c>
      <c r="C1655" s="1" t="n">
        <v>45741</v>
      </c>
      <c r="D1655" t="inlineStr">
        <is>
          <t>JÄMTLANDS LÄN</t>
        </is>
      </c>
      <c r="E1655" t="inlineStr">
        <is>
          <t>KROKOM</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5092-2025</t>
        </is>
      </c>
      <c r="B1656" s="1" t="n">
        <v>45691</v>
      </c>
      <c r="C1656" s="1" t="n">
        <v>45741</v>
      </c>
      <c r="D1656" t="inlineStr">
        <is>
          <t>JÄMTLANDS LÄN</t>
        </is>
      </c>
      <c r="E1656" t="inlineStr">
        <is>
          <t>KROKOM</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5085-2025</t>
        </is>
      </c>
      <c r="B1657" s="1" t="n">
        <v>45691</v>
      </c>
      <c r="C1657" s="1" t="n">
        <v>45741</v>
      </c>
      <c r="D1657" t="inlineStr">
        <is>
          <t>JÄMTLANDS LÄN</t>
        </is>
      </c>
      <c r="E1657" t="inlineStr">
        <is>
          <t>KROKOM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5054-2025</t>
        </is>
      </c>
      <c r="B1658" s="1" t="n">
        <v>45691</v>
      </c>
      <c r="C1658" s="1" t="n">
        <v>45741</v>
      </c>
      <c r="D1658" t="inlineStr">
        <is>
          <t>JÄMTLANDS LÄN</t>
        </is>
      </c>
      <c r="E1658" t="inlineStr">
        <is>
          <t>KROKOM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5173-2025</t>
        </is>
      </c>
      <c r="B1659" s="1" t="n">
        <v>45691</v>
      </c>
      <c r="C1659" s="1" t="n">
        <v>45741</v>
      </c>
      <c r="D1659" t="inlineStr">
        <is>
          <t>JÄMTLANDS LÄN</t>
        </is>
      </c>
      <c r="E1659" t="inlineStr">
        <is>
          <t>KROKOM</t>
        </is>
      </c>
      <c r="F1659" t="inlineStr">
        <is>
          <t>Kyrkan</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5105-2025</t>
        </is>
      </c>
      <c r="B1660" s="1" t="n">
        <v>45691</v>
      </c>
      <c r="C1660" s="1" t="n">
        <v>45741</v>
      </c>
      <c r="D1660" t="inlineStr">
        <is>
          <t>JÄMTLANDS LÄN</t>
        </is>
      </c>
      <c r="E1660" t="inlineStr">
        <is>
          <t>KROKOM</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5291-2025</t>
        </is>
      </c>
      <c r="B1661" s="1" t="n">
        <v>45692</v>
      </c>
      <c r="C1661" s="1" t="n">
        <v>45741</v>
      </c>
      <c r="D1661" t="inlineStr">
        <is>
          <t>JÄMTLANDS LÄN</t>
        </is>
      </c>
      <c r="E1661" t="inlineStr">
        <is>
          <t>KROKOM</t>
        </is>
      </c>
      <c r="G1661" t="n">
        <v>29.1</v>
      </c>
      <c r="H1661" t="n">
        <v>0</v>
      </c>
      <c r="I1661" t="n">
        <v>0</v>
      </c>
      <c r="J1661" t="n">
        <v>0</v>
      </c>
      <c r="K1661" t="n">
        <v>0</v>
      </c>
      <c r="L1661" t="n">
        <v>0</v>
      </c>
      <c r="M1661" t="n">
        <v>0</v>
      </c>
      <c r="N1661" t="n">
        <v>0</v>
      </c>
      <c r="O1661" t="n">
        <v>0</v>
      </c>
      <c r="P1661" t="n">
        <v>0</v>
      </c>
      <c r="Q1661" t="n">
        <v>0</v>
      </c>
      <c r="R1661" s="2" t="inlineStr"/>
    </row>
    <row r="1662" ht="15" customHeight="1">
      <c r="A1662" t="inlineStr">
        <is>
          <t>A 5356-2025</t>
        </is>
      </c>
      <c r="B1662" s="1" t="n">
        <v>45692</v>
      </c>
      <c r="C1662" s="1" t="n">
        <v>45741</v>
      </c>
      <c r="D1662" t="inlineStr">
        <is>
          <t>JÄMTLANDS LÄN</t>
        </is>
      </c>
      <c r="E1662" t="inlineStr">
        <is>
          <t>KROKOM</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5364-2025</t>
        </is>
      </c>
      <c r="B1663" s="1" t="n">
        <v>45692</v>
      </c>
      <c r="C1663" s="1" t="n">
        <v>45741</v>
      </c>
      <c r="D1663" t="inlineStr">
        <is>
          <t>JÄMTLANDS LÄN</t>
        </is>
      </c>
      <c r="E1663" t="inlineStr">
        <is>
          <t>KROKOM</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5409-2025</t>
        </is>
      </c>
      <c r="B1664" s="1" t="n">
        <v>45692</v>
      </c>
      <c r="C1664" s="1" t="n">
        <v>45741</v>
      </c>
      <c r="D1664" t="inlineStr">
        <is>
          <t>JÄMTLANDS LÄN</t>
        </is>
      </c>
      <c r="E1664" t="inlineStr">
        <is>
          <t>KROKOM</t>
        </is>
      </c>
      <c r="F1664" t="inlineStr">
        <is>
          <t>SCA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5255-2025</t>
        </is>
      </c>
      <c r="B1665" s="1" t="n">
        <v>45692</v>
      </c>
      <c r="C1665" s="1" t="n">
        <v>45741</v>
      </c>
      <c r="D1665" t="inlineStr">
        <is>
          <t>JÄMTLANDS LÄN</t>
        </is>
      </c>
      <c r="E1665" t="inlineStr">
        <is>
          <t>KROKOM</t>
        </is>
      </c>
      <c r="F1665" t="inlineStr">
        <is>
          <t>Övriga Aktiebolag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5402-2025</t>
        </is>
      </c>
      <c r="B1666" s="1" t="n">
        <v>45692</v>
      </c>
      <c r="C1666" s="1" t="n">
        <v>45741</v>
      </c>
      <c r="D1666" t="inlineStr">
        <is>
          <t>JÄMTLANDS LÄN</t>
        </is>
      </c>
      <c r="E1666" t="inlineStr">
        <is>
          <t>KROKOM</t>
        </is>
      </c>
      <c r="G1666" t="n">
        <v>20.3</v>
      </c>
      <c r="H1666" t="n">
        <v>0</v>
      </c>
      <c r="I1666" t="n">
        <v>0</v>
      </c>
      <c r="J1666" t="n">
        <v>0</v>
      </c>
      <c r="K1666" t="n">
        <v>0</v>
      </c>
      <c r="L1666" t="n">
        <v>0</v>
      </c>
      <c r="M1666" t="n">
        <v>0</v>
      </c>
      <c r="N1666" t="n">
        <v>0</v>
      </c>
      <c r="O1666" t="n">
        <v>0</v>
      </c>
      <c r="P1666" t="n">
        <v>0</v>
      </c>
      <c r="Q1666" t="n">
        <v>0</v>
      </c>
      <c r="R1666" s="2" t="inlineStr"/>
    </row>
    <row r="1667" ht="15" customHeight="1">
      <c r="A1667" t="inlineStr">
        <is>
          <t>A 5378-2025</t>
        </is>
      </c>
      <c r="B1667" s="1" t="n">
        <v>45692</v>
      </c>
      <c r="C1667" s="1" t="n">
        <v>45741</v>
      </c>
      <c r="D1667" t="inlineStr">
        <is>
          <t>JÄMTLANDS LÄN</t>
        </is>
      </c>
      <c r="E1667" t="inlineStr">
        <is>
          <t>KROKOM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5334-2025</t>
        </is>
      </c>
      <c r="B1668" s="1" t="n">
        <v>45692</v>
      </c>
      <c r="C1668" s="1" t="n">
        <v>45741</v>
      </c>
      <c r="D1668" t="inlineStr">
        <is>
          <t>JÄMTLANDS LÄN</t>
        </is>
      </c>
      <c r="E1668" t="inlineStr">
        <is>
          <t>KROKOM</t>
        </is>
      </c>
      <c r="G1668" t="n">
        <v>34.8</v>
      </c>
      <c r="H1668" t="n">
        <v>0</v>
      </c>
      <c r="I1668" t="n">
        <v>0</v>
      </c>
      <c r="J1668" t="n">
        <v>0</v>
      </c>
      <c r="K1668" t="n">
        <v>0</v>
      </c>
      <c r="L1668" t="n">
        <v>0</v>
      </c>
      <c r="M1668" t="n">
        <v>0</v>
      </c>
      <c r="N1668" t="n">
        <v>0</v>
      </c>
      <c r="O1668" t="n">
        <v>0</v>
      </c>
      <c r="P1668" t="n">
        <v>0</v>
      </c>
      <c r="Q1668" t="n">
        <v>0</v>
      </c>
      <c r="R1668" s="2" t="inlineStr"/>
    </row>
    <row r="1669" ht="15" customHeight="1">
      <c r="A1669" t="inlineStr">
        <is>
          <t>A 5558-2025</t>
        </is>
      </c>
      <c r="B1669" s="1" t="n">
        <v>45693</v>
      </c>
      <c r="C1669" s="1" t="n">
        <v>45741</v>
      </c>
      <c r="D1669" t="inlineStr">
        <is>
          <t>JÄMTLANDS LÄN</t>
        </is>
      </c>
      <c r="E1669" t="inlineStr">
        <is>
          <t>KROKOM</t>
        </is>
      </c>
      <c r="G1669" t="n">
        <v>31.1</v>
      </c>
      <c r="H1669" t="n">
        <v>0</v>
      </c>
      <c r="I1669" t="n">
        <v>0</v>
      </c>
      <c r="J1669" t="n">
        <v>0</v>
      </c>
      <c r="K1669" t="n">
        <v>0</v>
      </c>
      <c r="L1669" t="n">
        <v>0</v>
      </c>
      <c r="M1669" t="n">
        <v>0</v>
      </c>
      <c r="N1669" t="n">
        <v>0</v>
      </c>
      <c r="O1669" t="n">
        <v>0</v>
      </c>
      <c r="P1669" t="n">
        <v>0</v>
      </c>
      <c r="Q1669" t="n">
        <v>0</v>
      </c>
      <c r="R1669" s="2" t="inlineStr"/>
    </row>
    <row r="1670" ht="15" customHeight="1">
      <c r="A1670" t="inlineStr">
        <is>
          <t>A 5637-2025</t>
        </is>
      </c>
      <c r="B1670" s="1" t="n">
        <v>45693</v>
      </c>
      <c r="C1670" s="1" t="n">
        <v>45741</v>
      </c>
      <c r="D1670" t="inlineStr">
        <is>
          <t>JÄMTLANDS LÄN</t>
        </is>
      </c>
      <c r="E1670" t="inlineStr">
        <is>
          <t>KROKOM</t>
        </is>
      </c>
      <c r="F1670" t="inlineStr">
        <is>
          <t>Övriga Aktiebolag</t>
        </is>
      </c>
      <c r="G1670" t="n">
        <v>57.8</v>
      </c>
      <c r="H1670" t="n">
        <v>0</v>
      </c>
      <c r="I1670" t="n">
        <v>0</v>
      </c>
      <c r="J1670" t="n">
        <v>0</v>
      </c>
      <c r="K1670" t="n">
        <v>0</v>
      </c>
      <c r="L1670" t="n">
        <v>0</v>
      </c>
      <c r="M1670" t="n">
        <v>0</v>
      </c>
      <c r="N1670" t="n">
        <v>0</v>
      </c>
      <c r="O1670" t="n">
        <v>0</v>
      </c>
      <c r="P1670" t="n">
        <v>0</v>
      </c>
      <c r="Q1670" t="n">
        <v>0</v>
      </c>
      <c r="R1670" s="2" t="inlineStr"/>
    </row>
    <row r="1671" ht="15" customHeight="1">
      <c r="A1671" t="inlineStr">
        <is>
          <t>A 5498-2025</t>
        </is>
      </c>
      <c r="B1671" s="1" t="n">
        <v>45693</v>
      </c>
      <c r="C1671" s="1" t="n">
        <v>45741</v>
      </c>
      <c r="D1671" t="inlineStr">
        <is>
          <t>JÄMTLANDS LÄN</t>
        </is>
      </c>
      <c r="E1671" t="inlineStr">
        <is>
          <t>KROKOM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5533-2025</t>
        </is>
      </c>
      <c r="B1672" s="1" t="n">
        <v>45693</v>
      </c>
      <c r="C1672" s="1" t="n">
        <v>45741</v>
      </c>
      <c r="D1672" t="inlineStr">
        <is>
          <t>JÄMTLANDS LÄN</t>
        </is>
      </c>
      <c r="E1672" t="inlineStr">
        <is>
          <t>KROKOM</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5680-2025</t>
        </is>
      </c>
      <c r="B1673" s="1" t="n">
        <v>45694</v>
      </c>
      <c r="C1673" s="1" t="n">
        <v>45741</v>
      </c>
      <c r="D1673" t="inlineStr">
        <is>
          <t>JÄMTLANDS LÄN</t>
        </is>
      </c>
      <c r="E1673" t="inlineStr">
        <is>
          <t>KROKOM</t>
        </is>
      </c>
      <c r="F1673" t="inlineStr">
        <is>
          <t>Övriga Aktiebolag</t>
        </is>
      </c>
      <c r="G1673" t="n">
        <v>48.4</v>
      </c>
      <c r="H1673" t="n">
        <v>0</v>
      </c>
      <c r="I1673" t="n">
        <v>0</v>
      </c>
      <c r="J1673" t="n">
        <v>0</v>
      </c>
      <c r="K1673" t="n">
        <v>0</v>
      </c>
      <c r="L1673" t="n">
        <v>0</v>
      </c>
      <c r="M1673" t="n">
        <v>0</v>
      </c>
      <c r="N1673" t="n">
        <v>0</v>
      </c>
      <c r="O1673" t="n">
        <v>0</v>
      </c>
      <c r="P1673" t="n">
        <v>0</v>
      </c>
      <c r="Q1673" t="n">
        <v>0</v>
      </c>
      <c r="R1673" s="2" t="inlineStr"/>
    </row>
    <row r="1674" ht="15" customHeight="1">
      <c r="A1674" t="inlineStr">
        <is>
          <t>A 5704-2025</t>
        </is>
      </c>
      <c r="B1674" s="1" t="n">
        <v>45694</v>
      </c>
      <c r="C1674" s="1" t="n">
        <v>45741</v>
      </c>
      <c r="D1674" t="inlineStr">
        <is>
          <t>JÄMTLANDS LÄN</t>
        </is>
      </c>
      <c r="E1674" t="inlineStr">
        <is>
          <t>KROKOM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5798-2025</t>
        </is>
      </c>
      <c r="B1675" s="1" t="n">
        <v>45694</v>
      </c>
      <c r="C1675" s="1" t="n">
        <v>45741</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5785-2025</t>
        </is>
      </c>
      <c r="B1676" s="1" t="n">
        <v>45694</v>
      </c>
      <c r="C1676" s="1" t="n">
        <v>45741</v>
      </c>
      <c r="D1676" t="inlineStr">
        <is>
          <t>JÄMTLANDS LÄN</t>
        </is>
      </c>
      <c r="E1676" t="inlineStr">
        <is>
          <t>KROKOM</t>
        </is>
      </c>
      <c r="F1676" t="inlineStr">
        <is>
          <t>Övriga Aktiebolag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5965-2025</t>
        </is>
      </c>
      <c r="B1677" s="1" t="n">
        <v>45695</v>
      </c>
      <c r="C1677" s="1" t="n">
        <v>45741</v>
      </c>
      <c r="D1677" t="inlineStr">
        <is>
          <t>JÄMTLANDS LÄN</t>
        </is>
      </c>
      <c r="E1677" t="inlineStr">
        <is>
          <t>KROKOM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5850-2025</t>
        </is>
      </c>
      <c r="B1678" s="1" t="n">
        <v>45695</v>
      </c>
      <c r="C1678" s="1" t="n">
        <v>45741</v>
      </c>
      <c r="D1678" t="inlineStr">
        <is>
          <t>JÄMTLANDS LÄN</t>
        </is>
      </c>
      <c r="E1678" t="inlineStr">
        <is>
          <t>KROKOM</t>
        </is>
      </c>
      <c r="F1678" t="inlineStr">
        <is>
          <t>SCA</t>
        </is>
      </c>
      <c r="G1678" t="n">
        <v>62.1</v>
      </c>
      <c r="H1678" t="n">
        <v>0</v>
      </c>
      <c r="I1678" t="n">
        <v>0</v>
      </c>
      <c r="J1678" t="n">
        <v>0</v>
      </c>
      <c r="K1678" t="n">
        <v>0</v>
      </c>
      <c r="L1678" t="n">
        <v>0</v>
      </c>
      <c r="M1678" t="n">
        <v>0</v>
      </c>
      <c r="N1678" t="n">
        <v>0</v>
      </c>
      <c r="O1678" t="n">
        <v>0</v>
      </c>
      <c r="P1678" t="n">
        <v>0</v>
      </c>
      <c r="Q1678" t="n">
        <v>0</v>
      </c>
      <c r="R1678" s="2" t="inlineStr"/>
    </row>
    <row r="1679" ht="15" customHeight="1">
      <c r="A1679" t="inlineStr">
        <is>
          <t>A 5907-2025</t>
        </is>
      </c>
      <c r="B1679" s="1" t="n">
        <v>45695</v>
      </c>
      <c r="C1679" s="1" t="n">
        <v>45741</v>
      </c>
      <c r="D1679" t="inlineStr">
        <is>
          <t>JÄMTLANDS LÄN</t>
        </is>
      </c>
      <c r="E1679" t="inlineStr">
        <is>
          <t>KROKOM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5966-2025</t>
        </is>
      </c>
      <c r="B1680" s="1" t="n">
        <v>45695</v>
      </c>
      <c r="C1680" s="1" t="n">
        <v>45741</v>
      </c>
      <c r="D1680" t="inlineStr">
        <is>
          <t>JÄMTLANDS LÄN</t>
        </is>
      </c>
      <c r="E1680" t="inlineStr">
        <is>
          <t>KROKOM</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5998-2025</t>
        </is>
      </c>
      <c r="B1681" s="1" t="n">
        <v>45695</v>
      </c>
      <c r="C1681" s="1" t="n">
        <v>45741</v>
      </c>
      <c r="D1681" t="inlineStr">
        <is>
          <t>JÄMTLANDS LÄN</t>
        </is>
      </c>
      <c r="E1681" t="inlineStr">
        <is>
          <t>KROKOM</t>
        </is>
      </c>
      <c r="F1681" t="inlineStr">
        <is>
          <t>Övriga Aktiebolag</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5935-2025</t>
        </is>
      </c>
      <c r="B1682" s="1" t="n">
        <v>45695</v>
      </c>
      <c r="C1682" s="1" t="n">
        <v>45741</v>
      </c>
      <c r="D1682" t="inlineStr">
        <is>
          <t>JÄMTLANDS LÄN</t>
        </is>
      </c>
      <c r="E1682" t="inlineStr">
        <is>
          <t>KROKOM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5955-2025</t>
        </is>
      </c>
      <c r="B1683" s="1" t="n">
        <v>45695</v>
      </c>
      <c r="C1683" s="1" t="n">
        <v>45741</v>
      </c>
      <c r="D1683" t="inlineStr">
        <is>
          <t>JÄMTLANDS LÄN</t>
        </is>
      </c>
      <c r="E1683" t="inlineStr">
        <is>
          <t>KROKOM</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45741</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45741</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5991-2025</t>
        </is>
      </c>
      <c r="B1686" s="1" t="n">
        <v>45695</v>
      </c>
      <c r="C1686" s="1" t="n">
        <v>45741</v>
      </c>
      <c r="D1686" t="inlineStr">
        <is>
          <t>JÄMTLANDS LÄN</t>
        </is>
      </c>
      <c r="E1686" t="inlineStr">
        <is>
          <t>KROKOM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5896-2025</t>
        </is>
      </c>
      <c r="B1687" s="1" t="n">
        <v>45695</v>
      </c>
      <c r="C1687" s="1" t="n">
        <v>45741</v>
      </c>
      <c r="D1687" t="inlineStr">
        <is>
          <t>JÄMTLANDS LÄN</t>
        </is>
      </c>
      <c r="E1687" t="inlineStr">
        <is>
          <t>KROKOM</t>
        </is>
      </c>
      <c r="F1687" t="inlineStr">
        <is>
          <t>Övriga Aktiebolag</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5920-2025</t>
        </is>
      </c>
      <c r="B1688" s="1" t="n">
        <v>45695</v>
      </c>
      <c r="C1688" s="1" t="n">
        <v>45741</v>
      </c>
      <c r="D1688" t="inlineStr">
        <is>
          <t>JÄMTLANDS LÄN</t>
        </is>
      </c>
      <c r="E1688" t="inlineStr">
        <is>
          <t>KROKOM</t>
        </is>
      </c>
      <c r="F1688" t="inlineStr">
        <is>
          <t>Övriga Aktiebolag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6235-2025</t>
        </is>
      </c>
      <c r="B1689" s="1" t="n">
        <v>45695</v>
      </c>
      <c r="C1689" s="1" t="n">
        <v>45741</v>
      </c>
      <c r="D1689" t="inlineStr">
        <is>
          <t>JÄMTLANDS LÄN</t>
        </is>
      </c>
      <c r="E1689" t="inlineStr">
        <is>
          <t>KROKOM</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6015-2025</t>
        </is>
      </c>
      <c r="B1690" s="1" t="n">
        <v>45695</v>
      </c>
      <c r="C1690" s="1" t="n">
        <v>45741</v>
      </c>
      <c r="D1690" t="inlineStr">
        <is>
          <t>JÄMTLANDS LÄN</t>
        </is>
      </c>
      <c r="E1690" t="inlineStr">
        <is>
          <t>KROKOM</t>
        </is>
      </c>
      <c r="F1690" t="inlineStr">
        <is>
          <t>Övriga Aktiebolag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6070-2025</t>
        </is>
      </c>
      <c r="B1691" s="1" t="n">
        <v>45696</v>
      </c>
      <c r="C1691" s="1" t="n">
        <v>45741</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6066-2025</t>
        </is>
      </c>
      <c r="B1692" s="1" t="n">
        <v>45696</v>
      </c>
      <c r="C1692" s="1" t="n">
        <v>45741</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6068-2025</t>
        </is>
      </c>
      <c r="B1693" s="1" t="n">
        <v>45696</v>
      </c>
      <c r="C1693" s="1" t="n">
        <v>45741</v>
      </c>
      <c r="D1693" t="inlineStr">
        <is>
          <t>JÄMTLANDS LÄN</t>
        </is>
      </c>
      <c r="E1693" t="inlineStr">
        <is>
          <t>KROKOM</t>
        </is>
      </c>
      <c r="F1693" t="inlineStr">
        <is>
          <t>Övriga Aktiebolag</t>
        </is>
      </c>
      <c r="G1693" t="n">
        <v>17.2</v>
      </c>
      <c r="H1693" t="n">
        <v>0</v>
      </c>
      <c r="I1693" t="n">
        <v>0</v>
      </c>
      <c r="J1693" t="n">
        <v>0</v>
      </c>
      <c r="K1693" t="n">
        <v>0</v>
      </c>
      <c r="L1693" t="n">
        <v>0</v>
      </c>
      <c r="M1693" t="n">
        <v>0</v>
      </c>
      <c r="N1693" t="n">
        <v>0</v>
      </c>
      <c r="O1693" t="n">
        <v>0</v>
      </c>
      <c r="P1693" t="n">
        <v>0</v>
      </c>
      <c r="Q1693" t="n">
        <v>0</v>
      </c>
      <c r="R1693" s="2" t="inlineStr"/>
    </row>
    <row r="1694" ht="15" customHeight="1">
      <c r="A1694" t="inlineStr">
        <is>
          <t>A 6086-2025</t>
        </is>
      </c>
      <c r="B1694" s="1" t="n">
        <v>45697</v>
      </c>
      <c r="C1694" s="1" t="n">
        <v>45741</v>
      </c>
      <c r="D1694" t="inlineStr">
        <is>
          <t>JÄMTLANDS LÄN</t>
        </is>
      </c>
      <c r="E1694" t="inlineStr">
        <is>
          <t>KROKOM</t>
        </is>
      </c>
      <c r="F1694" t="inlineStr">
        <is>
          <t>Övriga Aktiebolag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45741</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45741</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45741</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6185-2025</t>
        </is>
      </c>
      <c r="B1698" s="1" t="n">
        <v>45698</v>
      </c>
      <c r="C1698" s="1" t="n">
        <v>45741</v>
      </c>
      <c r="D1698" t="inlineStr">
        <is>
          <t>JÄMTLANDS LÄN</t>
        </is>
      </c>
      <c r="E1698" t="inlineStr">
        <is>
          <t>KROKOM</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6145-2025</t>
        </is>
      </c>
      <c r="B1699" s="1" t="n">
        <v>45698</v>
      </c>
      <c r="C1699" s="1" t="n">
        <v>45741</v>
      </c>
      <c r="D1699" t="inlineStr">
        <is>
          <t>JÄMTLANDS LÄN</t>
        </is>
      </c>
      <c r="E1699" t="inlineStr">
        <is>
          <t>KROKOM</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6114-2025</t>
        </is>
      </c>
      <c r="B1700" s="1" t="n">
        <v>45698</v>
      </c>
      <c r="C1700" s="1" t="n">
        <v>45741</v>
      </c>
      <c r="D1700" t="inlineStr">
        <is>
          <t>JÄMTLANDS LÄN</t>
        </is>
      </c>
      <c r="E1700" t="inlineStr">
        <is>
          <t>KROKOM</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6166-2025</t>
        </is>
      </c>
      <c r="B1701" s="1" t="n">
        <v>45698</v>
      </c>
      <c r="C1701" s="1" t="n">
        <v>45741</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6148-2025</t>
        </is>
      </c>
      <c r="B1702" s="1" t="n">
        <v>45698</v>
      </c>
      <c r="C1702" s="1" t="n">
        <v>45741</v>
      </c>
      <c r="D1702" t="inlineStr">
        <is>
          <t>JÄMTLANDS LÄN</t>
        </is>
      </c>
      <c r="E1702" t="inlineStr">
        <is>
          <t>KROKOM</t>
        </is>
      </c>
      <c r="G1702" t="n">
        <v>43.6</v>
      </c>
      <c r="H1702" t="n">
        <v>0</v>
      </c>
      <c r="I1702" t="n">
        <v>0</v>
      </c>
      <c r="J1702" t="n">
        <v>0</v>
      </c>
      <c r="K1702" t="n">
        <v>0</v>
      </c>
      <c r="L1702" t="n">
        <v>0</v>
      </c>
      <c r="M1702" t="n">
        <v>0</v>
      </c>
      <c r="N1702" t="n">
        <v>0</v>
      </c>
      <c r="O1702" t="n">
        <v>0</v>
      </c>
      <c r="P1702" t="n">
        <v>0</v>
      </c>
      <c r="Q1702" t="n">
        <v>0</v>
      </c>
      <c r="R1702" s="2" t="inlineStr"/>
    </row>
    <row r="1703" ht="15" customHeight="1">
      <c r="A1703" t="inlineStr">
        <is>
          <t>A 6342-2025</t>
        </is>
      </c>
      <c r="B1703" s="1" t="n">
        <v>45699</v>
      </c>
      <c r="C1703" s="1" t="n">
        <v>45741</v>
      </c>
      <c r="D1703" t="inlineStr">
        <is>
          <t>JÄMTLANDS LÄN</t>
        </is>
      </c>
      <c r="E1703" t="inlineStr">
        <is>
          <t>KROKOM</t>
        </is>
      </c>
      <c r="F1703" t="inlineStr">
        <is>
          <t>Övriga Aktiebolag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6524-2025</t>
        </is>
      </c>
      <c r="B1704" s="1" t="n">
        <v>45699</v>
      </c>
      <c r="C1704" s="1" t="n">
        <v>45741</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6461-2025</t>
        </is>
      </c>
      <c r="B1705" s="1" t="n">
        <v>45699</v>
      </c>
      <c r="C1705" s="1" t="n">
        <v>45741</v>
      </c>
      <c r="D1705" t="inlineStr">
        <is>
          <t>JÄMTLANDS LÄN</t>
        </is>
      </c>
      <c r="E1705" t="inlineStr">
        <is>
          <t>KROKOM</t>
        </is>
      </c>
      <c r="F1705" t="inlineStr">
        <is>
          <t>Övriga Aktiebolag</t>
        </is>
      </c>
      <c r="G1705" t="n">
        <v>20.3</v>
      </c>
      <c r="H1705" t="n">
        <v>0</v>
      </c>
      <c r="I1705" t="n">
        <v>0</v>
      </c>
      <c r="J1705" t="n">
        <v>0</v>
      </c>
      <c r="K1705" t="n">
        <v>0</v>
      </c>
      <c r="L1705" t="n">
        <v>0</v>
      </c>
      <c r="M1705" t="n">
        <v>0</v>
      </c>
      <c r="N1705" t="n">
        <v>0</v>
      </c>
      <c r="O1705" t="n">
        <v>0</v>
      </c>
      <c r="P1705" t="n">
        <v>0</v>
      </c>
      <c r="Q1705" t="n">
        <v>0</v>
      </c>
      <c r="R1705" s="2" t="inlineStr"/>
    </row>
    <row r="1706" ht="15" customHeight="1">
      <c r="A1706" t="inlineStr">
        <is>
          <t>A 6627-2025</t>
        </is>
      </c>
      <c r="B1706" s="1" t="n">
        <v>45700</v>
      </c>
      <c r="C1706" s="1" t="n">
        <v>45741</v>
      </c>
      <c r="D1706" t="inlineStr">
        <is>
          <t>JÄMTLANDS LÄN</t>
        </is>
      </c>
      <c r="E1706" t="inlineStr">
        <is>
          <t>KROKOM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45741</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45741</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6590-2025</t>
        </is>
      </c>
      <c r="B1709" s="1" t="n">
        <v>45700</v>
      </c>
      <c r="C1709" s="1" t="n">
        <v>45741</v>
      </c>
      <c r="D1709" t="inlineStr">
        <is>
          <t>JÄMTLANDS LÄN</t>
        </is>
      </c>
      <c r="E1709" t="inlineStr">
        <is>
          <t>KROKOM</t>
        </is>
      </c>
      <c r="F1709" t="inlineStr">
        <is>
          <t>Övriga Aktiebolag</t>
        </is>
      </c>
      <c r="G1709" t="n">
        <v>51.6</v>
      </c>
      <c r="H1709" t="n">
        <v>0</v>
      </c>
      <c r="I1709" t="n">
        <v>0</v>
      </c>
      <c r="J1709" t="n">
        <v>0</v>
      </c>
      <c r="K1709" t="n">
        <v>0</v>
      </c>
      <c r="L1709" t="n">
        <v>0</v>
      </c>
      <c r="M1709" t="n">
        <v>0</v>
      </c>
      <c r="N1709" t="n">
        <v>0</v>
      </c>
      <c r="O1709" t="n">
        <v>0</v>
      </c>
      <c r="P1709" t="n">
        <v>0</v>
      </c>
      <c r="Q1709" t="n">
        <v>0</v>
      </c>
      <c r="R1709" s="2" t="inlineStr"/>
    </row>
    <row r="1710" ht="15" customHeight="1">
      <c r="A1710" t="inlineStr">
        <is>
          <t>A 6804-2025</t>
        </is>
      </c>
      <c r="B1710" s="1" t="n">
        <v>45700</v>
      </c>
      <c r="C1710" s="1" t="n">
        <v>45741</v>
      </c>
      <c r="D1710" t="inlineStr">
        <is>
          <t>JÄMTLANDS LÄN</t>
        </is>
      </c>
      <c r="E1710" t="inlineStr">
        <is>
          <t>KROKOM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6585-2025</t>
        </is>
      </c>
      <c r="B1711" s="1" t="n">
        <v>45700</v>
      </c>
      <c r="C1711" s="1" t="n">
        <v>45741</v>
      </c>
      <c r="D1711" t="inlineStr">
        <is>
          <t>JÄMTLANDS LÄN</t>
        </is>
      </c>
      <c r="E1711" t="inlineStr">
        <is>
          <t>KROKOM</t>
        </is>
      </c>
      <c r="F1711" t="inlineStr">
        <is>
          <t>Övriga Aktiebolag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6711-2025</t>
        </is>
      </c>
      <c r="B1712" s="1" t="n">
        <v>45700</v>
      </c>
      <c r="C1712" s="1" t="n">
        <v>45741</v>
      </c>
      <c r="D1712" t="inlineStr">
        <is>
          <t>JÄMTLANDS LÄN</t>
        </is>
      </c>
      <c r="E1712" t="inlineStr">
        <is>
          <t>KROKOM</t>
        </is>
      </c>
      <c r="F1712" t="inlineStr">
        <is>
          <t>Övriga Aktiebolag</t>
        </is>
      </c>
      <c r="G1712" t="n">
        <v>37.6</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45741</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7079-2025</t>
        </is>
      </c>
      <c r="B1714" s="1" t="n">
        <v>45701</v>
      </c>
      <c r="C1714" s="1" t="n">
        <v>45741</v>
      </c>
      <c r="D1714" t="inlineStr">
        <is>
          <t>JÄMTLANDS LÄN</t>
        </is>
      </c>
      <c r="E1714" t="inlineStr">
        <is>
          <t>KROKOM</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45741</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7013-2025</t>
        </is>
      </c>
      <c r="B1716" s="1" t="n">
        <v>45701</v>
      </c>
      <c r="C1716" s="1" t="n">
        <v>45741</v>
      </c>
      <c r="D1716" t="inlineStr">
        <is>
          <t>JÄMTLANDS LÄN</t>
        </is>
      </c>
      <c r="E1716" t="inlineStr">
        <is>
          <t>KROKOM</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6870-2025</t>
        </is>
      </c>
      <c r="B1717" s="1" t="n">
        <v>45701</v>
      </c>
      <c r="C1717" s="1" t="n">
        <v>45741</v>
      </c>
      <c r="D1717" t="inlineStr">
        <is>
          <t>JÄMTLANDS LÄN</t>
        </is>
      </c>
      <c r="E1717" t="inlineStr">
        <is>
          <t>KROKOM</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7366-2025</t>
        </is>
      </c>
      <c r="B1718" s="1" t="n">
        <v>45704</v>
      </c>
      <c r="C1718" s="1" t="n">
        <v>45741</v>
      </c>
      <c r="D1718" t="inlineStr">
        <is>
          <t>JÄMTLANDS LÄN</t>
        </is>
      </c>
      <c r="E1718" t="inlineStr">
        <is>
          <t>KROKOM</t>
        </is>
      </c>
      <c r="F1718" t="inlineStr">
        <is>
          <t>Övriga Aktiebolag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7391-2025</t>
        </is>
      </c>
      <c r="B1719" s="1" t="n">
        <v>45705</v>
      </c>
      <c r="C1719" s="1" t="n">
        <v>45741</v>
      </c>
      <c r="D1719" t="inlineStr">
        <is>
          <t>JÄMTLANDS LÄN</t>
        </is>
      </c>
      <c r="E1719" t="inlineStr">
        <is>
          <t>KROKOM</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7392-2025</t>
        </is>
      </c>
      <c r="B1720" s="1" t="n">
        <v>45705</v>
      </c>
      <c r="C1720" s="1" t="n">
        <v>45741</v>
      </c>
      <c r="D1720" t="inlineStr">
        <is>
          <t>JÄMTLANDS LÄN</t>
        </is>
      </c>
      <c r="E1720" t="inlineStr">
        <is>
          <t>KROKOM</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7556-2025</t>
        </is>
      </c>
      <c r="B1721" s="1" t="n">
        <v>45705</v>
      </c>
      <c r="C1721" s="1" t="n">
        <v>45741</v>
      </c>
      <c r="D1721" t="inlineStr">
        <is>
          <t>JÄMTLANDS LÄN</t>
        </is>
      </c>
      <c r="E1721" t="inlineStr">
        <is>
          <t>KROKOM</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45741</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45741</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7724-2025</t>
        </is>
      </c>
      <c r="B1724" s="1" t="n">
        <v>45706</v>
      </c>
      <c r="C1724" s="1" t="n">
        <v>45741</v>
      </c>
      <c r="D1724" t="inlineStr">
        <is>
          <t>JÄMTLANDS LÄN</t>
        </is>
      </c>
      <c r="E1724" t="inlineStr">
        <is>
          <t>KROKOM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7673-2025</t>
        </is>
      </c>
      <c r="B1725" s="1" t="n">
        <v>45706</v>
      </c>
      <c r="C1725" s="1" t="n">
        <v>45741</v>
      </c>
      <c r="D1725" t="inlineStr">
        <is>
          <t>JÄMTLANDS LÄN</t>
        </is>
      </c>
      <c r="E1725" t="inlineStr">
        <is>
          <t>KROKOM</t>
        </is>
      </c>
      <c r="F1725" t="inlineStr">
        <is>
          <t>Övriga Aktiebolag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45741</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7908-2025</t>
        </is>
      </c>
      <c r="B1727" s="1" t="n">
        <v>45707</v>
      </c>
      <c r="C1727" s="1" t="n">
        <v>45741</v>
      </c>
      <c r="D1727" t="inlineStr">
        <is>
          <t>JÄMTLANDS LÄN</t>
        </is>
      </c>
      <c r="E1727" t="inlineStr">
        <is>
          <t>KROKOM</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45741</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8011-2025</t>
        </is>
      </c>
      <c r="B1729" s="1" t="n">
        <v>45707</v>
      </c>
      <c r="C1729" s="1" t="n">
        <v>45741</v>
      </c>
      <c r="D1729" t="inlineStr">
        <is>
          <t>JÄMTLANDS LÄN</t>
        </is>
      </c>
      <c r="E1729" t="inlineStr">
        <is>
          <t>KROKOM</t>
        </is>
      </c>
      <c r="F1729" t="inlineStr">
        <is>
          <t>Övriga Aktiebolag</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7921-2025</t>
        </is>
      </c>
      <c r="B1730" s="1" t="n">
        <v>45707</v>
      </c>
      <c r="C1730" s="1" t="n">
        <v>45741</v>
      </c>
      <c r="D1730" t="inlineStr">
        <is>
          <t>JÄMTLANDS LÄN</t>
        </is>
      </c>
      <c r="E1730" t="inlineStr">
        <is>
          <t>KROKOM</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8168-2025</t>
        </is>
      </c>
      <c r="B1731" s="1" t="n">
        <v>45708</v>
      </c>
      <c r="C1731" s="1" t="n">
        <v>45741</v>
      </c>
      <c r="D1731" t="inlineStr">
        <is>
          <t>JÄMTLANDS LÄN</t>
        </is>
      </c>
      <c r="E1731" t="inlineStr">
        <is>
          <t>KROKOM</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8167-2025</t>
        </is>
      </c>
      <c r="B1732" s="1" t="n">
        <v>45708</v>
      </c>
      <c r="C1732" s="1" t="n">
        <v>45741</v>
      </c>
      <c r="D1732" t="inlineStr">
        <is>
          <t>JÄMTLANDS LÄN</t>
        </is>
      </c>
      <c r="E1732" t="inlineStr">
        <is>
          <t>KROKOM</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8369-2025</t>
        </is>
      </c>
      <c r="B1733" s="1" t="n">
        <v>45709</v>
      </c>
      <c r="C1733" s="1" t="n">
        <v>45741</v>
      </c>
      <c r="D1733" t="inlineStr">
        <is>
          <t>JÄMTLANDS LÄN</t>
        </is>
      </c>
      <c r="E1733" t="inlineStr">
        <is>
          <t>KROKOM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8784-2025</t>
        </is>
      </c>
      <c r="B1734" s="1" t="n">
        <v>45712</v>
      </c>
      <c r="C1734" s="1" t="n">
        <v>45741</v>
      </c>
      <c r="D1734" t="inlineStr">
        <is>
          <t>JÄMTLANDS LÄN</t>
        </is>
      </c>
      <c r="E1734" t="inlineStr">
        <is>
          <t>KROKOM</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8868-2025</t>
        </is>
      </c>
      <c r="B1735" s="1" t="n">
        <v>45713</v>
      </c>
      <c r="C1735" s="1" t="n">
        <v>45741</v>
      </c>
      <c r="D1735" t="inlineStr">
        <is>
          <t>JÄMTLANDS LÄN</t>
        </is>
      </c>
      <c r="E1735" t="inlineStr">
        <is>
          <t>KROKOM</t>
        </is>
      </c>
      <c r="F1735" t="inlineStr">
        <is>
          <t>Övriga Aktiebolag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8872-2025</t>
        </is>
      </c>
      <c r="B1736" s="1" t="n">
        <v>45713</v>
      </c>
      <c r="C1736" s="1" t="n">
        <v>45741</v>
      </c>
      <c r="D1736" t="inlineStr">
        <is>
          <t>JÄMTLANDS LÄN</t>
        </is>
      </c>
      <c r="E1736" t="inlineStr">
        <is>
          <t>KROKOM</t>
        </is>
      </c>
      <c r="F1736" t="inlineStr">
        <is>
          <t>Övriga Aktiebolag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8880-2025</t>
        </is>
      </c>
      <c r="B1737" s="1" t="n">
        <v>45713</v>
      </c>
      <c r="C1737" s="1" t="n">
        <v>45741</v>
      </c>
      <c r="D1737" t="inlineStr">
        <is>
          <t>JÄMTLANDS LÄN</t>
        </is>
      </c>
      <c r="E1737" t="inlineStr">
        <is>
          <t>KROKOM</t>
        </is>
      </c>
      <c r="F1737" t="inlineStr">
        <is>
          <t>Övriga Aktiebolag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9023-2025</t>
        </is>
      </c>
      <c r="B1738" s="1" t="n">
        <v>45713</v>
      </c>
      <c r="C1738" s="1" t="n">
        <v>45741</v>
      </c>
      <c r="D1738" t="inlineStr">
        <is>
          <t>JÄMTLANDS LÄN</t>
        </is>
      </c>
      <c r="E1738" t="inlineStr">
        <is>
          <t>KROKOM</t>
        </is>
      </c>
      <c r="F1738" t="inlineStr">
        <is>
          <t>Övriga Aktiebolag</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9016-2025</t>
        </is>
      </c>
      <c r="B1739" s="1" t="n">
        <v>45713</v>
      </c>
      <c r="C1739" s="1" t="n">
        <v>45741</v>
      </c>
      <c r="D1739" t="inlineStr">
        <is>
          <t>JÄMTLANDS LÄN</t>
        </is>
      </c>
      <c r="E1739" t="inlineStr">
        <is>
          <t>KROKOM</t>
        </is>
      </c>
      <c r="F1739" t="inlineStr">
        <is>
          <t>Övriga Aktiebolag</t>
        </is>
      </c>
      <c r="G1739" t="n">
        <v>19.3</v>
      </c>
      <c r="H1739" t="n">
        <v>0</v>
      </c>
      <c r="I1739" t="n">
        <v>0</v>
      </c>
      <c r="J1739" t="n">
        <v>0</v>
      </c>
      <c r="K1739" t="n">
        <v>0</v>
      </c>
      <c r="L1739" t="n">
        <v>0</v>
      </c>
      <c r="M1739" t="n">
        <v>0</v>
      </c>
      <c r="N1739" t="n">
        <v>0</v>
      </c>
      <c r="O1739" t="n">
        <v>0</v>
      </c>
      <c r="P1739" t="n">
        <v>0</v>
      </c>
      <c r="Q1739" t="n">
        <v>0</v>
      </c>
      <c r="R1739" s="2" t="inlineStr"/>
    </row>
    <row r="1740" ht="15" customHeight="1">
      <c r="A1740" t="inlineStr">
        <is>
          <t>A 9022-2025</t>
        </is>
      </c>
      <c r="B1740" s="1" t="n">
        <v>45713</v>
      </c>
      <c r="C1740" s="1" t="n">
        <v>45741</v>
      </c>
      <c r="D1740" t="inlineStr">
        <is>
          <t>JÄMTLANDS LÄN</t>
        </is>
      </c>
      <c r="E1740" t="inlineStr">
        <is>
          <t>KROKOM</t>
        </is>
      </c>
      <c r="F1740" t="inlineStr">
        <is>
          <t>Övriga Aktiebolag</t>
        </is>
      </c>
      <c r="G1740" t="n">
        <v>29.9</v>
      </c>
      <c r="H1740" t="n">
        <v>0</v>
      </c>
      <c r="I1740" t="n">
        <v>0</v>
      </c>
      <c r="J1740" t="n">
        <v>0</v>
      </c>
      <c r="K1740" t="n">
        <v>0</v>
      </c>
      <c r="L1740" t="n">
        <v>0</v>
      </c>
      <c r="M1740" t="n">
        <v>0</v>
      </c>
      <c r="N1740" t="n">
        <v>0</v>
      </c>
      <c r="O1740" t="n">
        <v>0</v>
      </c>
      <c r="P1740" t="n">
        <v>0</v>
      </c>
      <c r="Q1740" t="n">
        <v>0</v>
      </c>
      <c r="R1740" s="2" t="inlineStr"/>
    </row>
    <row r="1741" ht="15" customHeight="1">
      <c r="A1741" t="inlineStr">
        <is>
          <t>A 9027-2025</t>
        </is>
      </c>
      <c r="B1741" s="1" t="n">
        <v>45713</v>
      </c>
      <c r="C1741" s="1" t="n">
        <v>45741</v>
      </c>
      <c r="D1741" t="inlineStr">
        <is>
          <t>JÄMTLANDS LÄN</t>
        </is>
      </c>
      <c r="E1741" t="inlineStr">
        <is>
          <t>KROKOM</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9043-2025</t>
        </is>
      </c>
      <c r="B1742" s="1" t="n">
        <v>45713</v>
      </c>
      <c r="C1742" s="1" t="n">
        <v>45741</v>
      </c>
      <c r="D1742" t="inlineStr">
        <is>
          <t>JÄMTLANDS LÄN</t>
        </is>
      </c>
      <c r="E1742" t="inlineStr">
        <is>
          <t>KROKOM</t>
        </is>
      </c>
      <c r="F1742" t="inlineStr">
        <is>
          <t>Övriga Aktiebolag</t>
        </is>
      </c>
      <c r="G1742" t="n">
        <v>43.6</v>
      </c>
      <c r="H1742" t="n">
        <v>0</v>
      </c>
      <c r="I1742" t="n">
        <v>0</v>
      </c>
      <c r="J1742" t="n">
        <v>0</v>
      </c>
      <c r="K1742" t="n">
        <v>0</v>
      </c>
      <c r="L1742" t="n">
        <v>0</v>
      </c>
      <c r="M1742" t="n">
        <v>0</v>
      </c>
      <c r="N1742" t="n">
        <v>0</v>
      </c>
      <c r="O1742" t="n">
        <v>0</v>
      </c>
      <c r="P1742" t="n">
        <v>0</v>
      </c>
      <c r="Q1742" t="n">
        <v>0</v>
      </c>
      <c r="R1742" s="2" t="inlineStr"/>
    </row>
    <row r="1743" ht="15" customHeight="1">
      <c r="A1743" t="inlineStr">
        <is>
          <t>A 8865-2025</t>
        </is>
      </c>
      <c r="B1743" s="1" t="n">
        <v>45713</v>
      </c>
      <c r="C1743" s="1" t="n">
        <v>45741</v>
      </c>
      <c r="D1743" t="inlineStr">
        <is>
          <t>JÄMTLANDS LÄN</t>
        </is>
      </c>
      <c r="E1743" t="inlineStr">
        <is>
          <t>KROKOM</t>
        </is>
      </c>
      <c r="F1743" t="inlineStr">
        <is>
          <t>Övriga Aktiebolag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9025-2025</t>
        </is>
      </c>
      <c r="B1744" s="1" t="n">
        <v>45713</v>
      </c>
      <c r="C1744" s="1" t="n">
        <v>45741</v>
      </c>
      <c r="D1744" t="inlineStr">
        <is>
          <t>JÄMTLANDS LÄN</t>
        </is>
      </c>
      <c r="E1744" t="inlineStr">
        <is>
          <t>KROKOM</t>
        </is>
      </c>
      <c r="F1744" t="inlineStr">
        <is>
          <t>Övriga Aktiebolag</t>
        </is>
      </c>
      <c r="G1744" t="n">
        <v>28.4</v>
      </c>
      <c r="H1744" t="n">
        <v>0</v>
      </c>
      <c r="I1744" t="n">
        <v>0</v>
      </c>
      <c r="J1744" t="n">
        <v>0</v>
      </c>
      <c r="K1744" t="n">
        <v>0</v>
      </c>
      <c r="L1744" t="n">
        <v>0</v>
      </c>
      <c r="M1744" t="n">
        <v>0</v>
      </c>
      <c r="N1744" t="n">
        <v>0</v>
      </c>
      <c r="O1744" t="n">
        <v>0</v>
      </c>
      <c r="P1744" t="n">
        <v>0</v>
      </c>
      <c r="Q1744" t="n">
        <v>0</v>
      </c>
      <c r="R1744" s="2" t="inlineStr"/>
    </row>
    <row r="1745" ht="15" customHeight="1">
      <c r="A1745" t="inlineStr">
        <is>
          <t>A 9156-2025</t>
        </is>
      </c>
      <c r="B1745" s="1" t="n">
        <v>45714</v>
      </c>
      <c r="C1745" s="1" t="n">
        <v>45741</v>
      </c>
      <c r="D1745" t="inlineStr">
        <is>
          <t>JÄMTLANDS LÄN</t>
        </is>
      </c>
      <c r="E1745" t="inlineStr">
        <is>
          <t>KROKOM</t>
        </is>
      </c>
      <c r="F1745" t="inlineStr">
        <is>
          <t>Övriga Aktiebolag</t>
        </is>
      </c>
      <c r="G1745" t="n">
        <v>26.7</v>
      </c>
      <c r="H1745" t="n">
        <v>0</v>
      </c>
      <c r="I1745" t="n">
        <v>0</v>
      </c>
      <c r="J1745" t="n">
        <v>0</v>
      </c>
      <c r="K1745" t="n">
        <v>0</v>
      </c>
      <c r="L1745" t="n">
        <v>0</v>
      </c>
      <c r="M1745" t="n">
        <v>0</v>
      </c>
      <c r="N1745" t="n">
        <v>0</v>
      </c>
      <c r="O1745" t="n">
        <v>0</v>
      </c>
      <c r="P1745" t="n">
        <v>0</v>
      </c>
      <c r="Q1745" t="n">
        <v>0</v>
      </c>
      <c r="R1745" s="2" t="inlineStr"/>
      <c r="U1745">
        <f>HYPERLINK("https://klasma.github.io/Logging_2309/knärot/A 9156-2025 karta knärot.png", "A 9156-2025")</f>
        <v/>
      </c>
      <c r="V1745">
        <f>HYPERLINK("https://klasma.github.io/Logging_2309/klagomål/A 9156-2025 FSC-klagomål.docx", "A 9156-2025")</f>
        <v/>
      </c>
      <c r="W1745">
        <f>HYPERLINK("https://klasma.github.io/Logging_2309/klagomålsmail/A 9156-2025 FSC-klagomål mail.docx", "A 9156-2025")</f>
        <v/>
      </c>
      <c r="X1745">
        <f>HYPERLINK("https://klasma.github.io/Logging_2309/tillsyn/A 9156-2025 tillsynsbegäran.docx", "A 9156-2025")</f>
        <v/>
      </c>
      <c r="Y1745">
        <f>HYPERLINK("https://klasma.github.io/Logging_2309/tillsynsmail/A 9156-2025 tillsynsbegäran mail.docx", "A 9156-2025")</f>
        <v/>
      </c>
    </row>
    <row r="1746" ht="15" customHeight="1">
      <c r="A1746" t="inlineStr">
        <is>
          <t>A 9313-2025</t>
        </is>
      </c>
      <c r="B1746" s="1" t="n">
        <v>45714</v>
      </c>
      <c r="C1746" s="1" t="n">
        <v>45741</v>
      </c>
      <c r="D1746" t="inlineStr">
        <is>
          <t>JÄMTLANDS LÄN</t>
        </is>
      </c>
      <c r="E1746" t="inlineStr">
        <is>
          <t>KROKOM</t>
        </is>
      </c>
      <c r="F1746" t="inlineStr">
        <is>
          <t>Kyrkan</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9388-2025</t>
        </is>
      </c>
      <c r="B1747" s="1" t="n">
        <v>45715</v>
      </c>
      <c r="C1747" s="1" t="n">
        <v>45741</v>
      </c>
      <c r="D1747" t="inlineStr">
        <is>
          <t>JÄMTLANDS LÄN</t>
        </is>
      </c>
      <c r="E1747" t="inlineStr">
        <is>
          <t>KROKOM</t>
        </is>
      </c>
      <c r="F1747" t="inlineStr">
        <is>
          <t>Övriga Aktiebolag</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9621-2025</t>
        </is>
      </c>
      <c r="B1748" s="1" t="n">
        <v>45715</v>
      </c>
      <c r="C1748" s="1" t="n">
        <v>45741</v>
      </c>
      <c r="D1748" t="inlineStr">
        <is>
          <t>JÄMTLANDS LÄN</t>
        </is>
      </c>
      <c r="E1748" t="inlineStr">
        <is>
          <t>KROKOM</t>
        </is>
      </c>
      <c r="F1748" t="inlineStr">
        <is>
          <t>Kyrkan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9623-2025</t>
        </is>
      </c>
      <c r="B1749" s="1" t="n">
        <v>45715</v>
      </c>
      <c r="C1749" s="1" t="n">
        <v>45741</v>
      </c>
      <c r="D1749" t="inlineStr">
        <is>
          <t>JÄMTLANDS LÄN</t>
        </is>
      </c>
      <c r="E1749" t="inlineStr">
        <is>
          <t>KROKOM</t>
        </is>
      </c>
      <c r="F1749" t="inlineStr">
        <is>
          <t>Kyrkan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9796-2025</t>
        </is>
      </c>
      <c r="B1750" s="1" t="n">
        <v>45716</v>
      </c>
      <c r="C1750" s="1" t="n">
        <v>45741</v>
      </c>
      <c r="D1750" t="inlineStr">
        <is>
          <t>JÄMTLANDS LÄN</t>
        </is>
      </c>
      <c r="E1750" t="inlineStr">
        <is>
          <t>KROKOM</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9701-2025</t>
        </is>
      </c>
      <c r="B1751" s="1" t="n">
        <v>45716</v>
      </c>
      <c r="C1751" s="1" t="n">
        <v>45741</v>
      </c>
      <c r="D1751" t="inlineStr">
        <is>
          <t>JÄMTLANDS LÄN</t>
        </is>
      </c>
      <c r="E1751" t="inlineStr">
        <is>
          <t>KROKOM</t>
        </is>
      </c>
      <c r="F1751" t="inlineStr">
        <is>
          <t>Övriga Aktiebolag</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9963-2025</t>
        </is>
      </c>
      <c r="B1752" s="1" t="n">
        <v>45719</v>
      </c>
      <c r="C1752" s="1" t="n">
        <v>45741</v>
      </c>
      <c r="D1752" t="inlineStr">
        <is>
          <t>JÄMTLANDS LÄN</t>
        </is>
      </c>
      <c r="E1752" t="inlineStr">
        <is>
          <t>KROKOM</t>
        </is>
      </c>
      <c r="F1752" t="inlineStr">
        <is>
          <t>Övriga Aktiebolag</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9948-2025</t>
        </is>
      </c>
      <c r="B1753" s="1" t="n">
        <v>45719</v>
      </c>
      <c r="C1753" s="1" t="n">
        <v>45741</v>
      </c>
      <c r="D1753" t="inlineStr">
        <is>
          <t>JÄMTLANDS LÄN</t>
        </is>
      </c>
      <c r="E1753" t="inlineStr">
        <is>
          <t>KROKOM</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10053-2025</t>
        </is>
      </c>
      <c r="B1754" s="1" t="n">
        <v>45719</v>
      </c>
      <c r="C1754" s="1" t="n">
        <v>45741</v>
      </c>
      <c r="D1754" t="inlineStr">
        <is>
          <t>JÄMTLANDS LÄN</t>
        </is>
      </c>
      <c r="E1754" t="inlineStr">
        <is>
          <t>KROKOM</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10051-2025</t>
        </is>
      </c>
      <c r="B1755" s="1" t="n">
        <v>45719</v>
      </c>
      <c r="C1755" s="1" t="n">
        <v>45741</v>
      </c>
      <c r="D1755" t="inlineStr">
        <is>
          <t>JÄMTLANDS LÄN</t>
        </is>
      </c>
      <c r="E1755" t="inlineStr">
        <is>
          <t>KROKOM</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10071-2025</t>
        </is>
      </c>
      <c r="B1756" s="1" t="n">
        <v>45719</v>
      </c>
      <c r="C1756" s="1" t="n">
        <v>45741</v>
      </c>
      <c r="D1756" t="inlineStr">
        <is>
          <t>JÄMTLANDS LÄN</t>
        </is>
      </c>
      <c r="E1756" t="inlineStr">
        <is>
          <t>KROKOM</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10128-2025</t>
        </is>
      </c>
      <c r="B1757" s="1" t="n">
        <v>45719</v>
      </c>
      <c r="C1757" s="1" t="n">
        <v>45741</v>
      </c>
      <c r="D1757" t="inlineStr">
        <is>
          <t>JÄMTLANDS LÄN</t>
        </is>
      </c>
      <c r="E1757" t="inlineStr">
        <is>
          <t>KROKOM</t>
        </is>
      </c>
      <c r="F1757" t="inlineStr">
        <is>
          <t>Övriga Aktiebolag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10133-2025</t>
        </is>
      </c>
      <c r="B1758" s="1" t="n">
        <v>45719</v>
      </c>
      <c r="C1758" s="1" t="n">
        <v>45741</v>
      </c>
      <c r="D1758" t="inlineStr">
        <is>
          <t>JÄMTLANDS LÄN</t>
        </is>
      </c>
      <c r="E1758" t="inlineStr">
        <is>
          <t>KROKOM</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10220-2025</t>
        </is>
      </c>
      <c r="B1759" s="1" t="n">
        <v>45720</v>
      </c>
      <c r="C1759" s="1" t="n">
        <v>45741</v>
      </c>
      <c r="D1759" t="inlineStr">
        <is>
          <t>JÄMTLANDS LÄN</t>
        </is>
      </c>
      <c r="E1759" t="inlineStr">
        <is>
          <t>KROKOM</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10397-2025</t>
        </is>
      </c>
      <c r="B1760" s="1" t="n">
        <v>45720</v>
      </c>
      <c r="C1760" s="1" t="n">
        <v>45741</v>
      </c>
      <c r="D1760" t="inlineStr">
        <is>
          <t>JÄMTLANDS LÄN</t>
        </is>
      </c>
      <c r="E1760" t="inlineStr">
        <is>
          <t>KROKOM</t>
        </is>
      </c>
      <c r="F1760" t="inlineStr">
        <is>
          <t>Övriga Aktiebolag</t>
        </is>
      </c>
      <c r="G1760" t="n">
        <v>32.9</v>
      </c>
      <c r="H1760" t="n">
        <v>0</v>
      </c>
      <c r="I1760" t="n">
        <v>0</v>
      </c>
      <c r="J1760" t="n">
        <v>0</v>
      </c>
      <c r="K1760" t="n">
        <v>0</v>
      </c>
      <c r="L1760" t="n">
        <v>0</v>
      </c>
      <c r="M1760" t="n">
        <v>0</v>
      </c>
      <c r="N1760" t="n">
        <v>0</v>
      </c>
      <c r="O1760" t="n">
        <v>0</v>
      </c>
      <c r="P1760" t="n">
        <v>0</v>
      </c>
      <c r="Q1760" t="n">
        <v>0</v>
      </c>
      <c r="R1760" s="2" t="inlineStr"/>
    </row>
    <row r="1761" ht="15" customHeight="1">
      <c r="A1761" t="inlineStr">
        <is>
          <t>A 10279-2025</t>
        </is>
      </c>
      <c r="B1761" s="1" t="n">
        <v>45720</v>
      </c>
      <c r="C1761" s="1" t="n">
        <v>45741</v>
      </c>
      <c r="D1761" t="inlineStr">
        <is>
          <t>JÄMTLANDS LÄN</t>
        </is>
      </c>
      <c r="E1761" t="inlineStr">
        <is>
          <t>KROKOM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10494-2025</t>
        </is>
      </c>
      <c r="B1762" s="1" t="n">
        <v>45721</v>
      </c>
      <c r="C1762" s="1" t="n">
        <v>45741</v>
      </c>
      <c r="D1762" t="inlineStr">
        <is>
          <t>JÄMTLANDS LÄN</t>
        </is>
      </c>
      <c r="E1762" t="inlineStr">
        <is>
          <t>KROKOM</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10498-2025</t>
        </is>
      </c>
      <c r="B1763" s="1" t="n">
        <v>45721</v>
      </c>
      <c r="C1763" s="1" t="n">
        <v>45741</v>
      </c>
      <c r="D1763" t="inlineStr">
        <is>
          <t>JÄMTLANDS LÄN</t>
        </is>
      </c>
      <c r="E1763" t="inlineStr">
        <is>
          <t>KROKOM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10588-2025</t>
        </is>
      </c>
      <c r="B1764" s="1" t="n">
        <v>45721</v>
      </c>
      <c r="C1764" s="1" t="n">
        <v>45741</v>
      </c>
      <c r="D1764" t="inlineStr">
        <is>
          <t>JÄMTLANDS LÄN</t>
        </is>
      </c>
      <c r="E1764" t="inlineStr">
        <is>
          <t>KROKOM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45741</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10532-2025</t>
        </is>
      </c>
      <c r="B1766" s="1" t="n">
        <v>45721</v>
      </c>
      <c r="C1766" s="1" t="n">
        <v>45741</v>
      </c>
      <c r="D1766" t="inlineStr">
        <is>
          <t>JÄMTLANDS LÄN</t>
        </is>
      </c>
      <c r="E1766" t="inlineStr">
        <is>
          <t>KROKOM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10552-2025</t>
        </is>
      </c>
      <c r="B1767" s="1" t="n">
        <v>45721</v>
      </c>
      <c r="C1767" s="1" t="n">
        <v>45741</v>
      </c>
      <c r="D1767" t="inlineStr">
        <is>
          <t>JÄMTLANDS LÄN</t>
        </is>
      </c>
      <c r="E1767" t="inlineStr">
        <is>
          <t>KROKOM</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10581-2025</t>
        </is>
      </c>
      <c r="B1768" s="1" t="n">
        <v>45721</v>
      </c>
      <c r="C1768" s="1" t="n">
        <v>45741</v>
      </c>
      <c r="D1768" t="inlineStr">
        <is>
          <t>JÄMTLANDS LÄN</t>
        </is>
      </c>
      <c r="E1768" t="inlineStr">
        <is>
          <t>KROKOM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45741</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10646-2025</t>
        </is>
      </c>
      <c r="B1770" s="1" t="n">
        <v>45721</v>
      </c>
      <c r="C1770" s="1" t="n">
        <v>45741</v>
      </c>
      <c r="D1770" t="inlineStr">
        <is>
          <t>JÄMTLANDS LÄN</t>
        </is>
      </c>
      <c r="E1770" t="inlineStr">
        <is>
          <t>KROKOM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11070-2025</t>
        </is>
      </c>
      <c r="B1771" s="1" t="n">
        <v>45723</v>
      </c>
      <c r="C1771" s="1" t="n">
        <v>45741</v>
      </c>
      <c r="D1771" t="inlineStr">
        <is>
          <t>JÄMTLANDS LÄN</t>
        </is>
      </c>
      <c r="E1771" t="inlineStr">
        <is>
          <t>KROKOM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10991-2025</t>
        </is>
      </c>
      <c r="B1772" s="1" t="n">
        <v>45723</v>
      </c>
      <c r="C1772" s="1" t="n">
        <v>45741</v>
      </c>
      <c r="D1772" t="inlineStr">
        <is>
          <t>JÄMTLANDS LÄN</t>
        </is>
      </c>
      <c r="E1772" t="inlineStr">
        <is>
          <t>KROKOM</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11056-2025</t>
        </is>
      </c>
      <c r="B1773" s="1" t="n">
        <v>45723</v>
      </c>
      <c r="C1773" s="1" t="n">
        <v>45741</v>
      </c>
      <c r="D1773" t="inlineStr">
        <is>
          <t>JÄMTLANDS LÄN</t>
        </is>
      </c>
      <c r="E1773" t="inlineStr">
        <is>
          <t>KROKOM</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11073-2025</t>
        </is>
      </c>
      <c r="B1774" s="1" t="n">
        <v>45723</v>
      </c>
      <c r="C1774" s="1" t="n">
        <v>45741</v>
      </c>
      <c r="D1774" t="inlineStr">
        <is>
          <t>JÄMTLANDS LÄN</t>
        </is>
      </c>
      <c r="E1774" t="inlineStr">
        <is>
          <t>KROKOM</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11386-2025</t>
        </is>
      </c>
      <c r="B1775" s="1" t="n">
        <v>45726</v>
      </c>
      <c r="C1775" s="1" t="n">
        <v>45741</v>
      </c>
      <c r="D1775" t="inlineStr">
        <is>
          <t>JÄMTLANDS LÄN</t>
        </is>
      </c>
      <c r="E1775" t="inlineStr">
        <is>
          <t>KROKOM</t>
        </is>
      </c>
      <c r="F1775" t="inlineStr">
        <is>
          <t>Övriga Aktiebolag</t>
        </is>
      </c>
      <c r="G1775" t="n">
        <v>42.4</v>
      </c>
      <c r="H1775" t="n">
        <v>0</v>
      </c>
      <c r="I1775" t="n">
        <v>0</v>
      </c>
      <c r="J1775" t="n">
        <v>0</v>
      </c>
      <c r="K1775" t="n">
        <v>0</v>
      </c>
      <c r="L1775" t="n">
        <v>0</v>
      </c>
      <c r="M1775" t="n">
        <v>0</v>
      </c>
      <c r="N1775" t="n">
        <v>0</v>
      </c>
      <c r="O1775" t="n">
        <v>0</v>
      </c>
      <c r="P1775" t="n">
        <v>0</v>
      </c>
      <c r="Q1775" t="n">
        <v>0</v>
      </c>
      <c r="R1775" s="2" t="inlineStr"/>
    </row>
    <row r="1776" ht="15" customHeight="1">
      <c r="A1776" t="inlineStr">
        <is>
          <t>A 11403-2025</t>
        </is>
      </c>
      <c r="B1776" s="1" t="n">
        <v>45726</v>
      </c>
      <c r="C1776" s="1" t="n">
        <v>45741</v>
      </c>
      <c r="D1776" t="inlineStr">
        <is>
          <t>JÄMTLANDS LÄN</t>
        </is>
      </c>
      <c r="E1776" t="inlineStr">
        <is>
          <t>KROKOM</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45741</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45741</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11317-2025</t>
        </is>
      </c>
      <c r="B1779" s="1" t="n">
        <v>45726</v>
      </c>
      <c r="C1779" s="1" t="n">
        <v>45741</v>
      </c>
      <c r="D1779" t="inlineStr">
        <is>
          <t>JÄMTLANDS LÄN</t>
        </is>
      </c>
      <c r="E1779" t="inlineStr">
        <is>
          <t>KROKOM</t>
        </is>
      </c>
      <c r="F1779" t="inlineStr">
        <is>
          <t>Övriga Aktiebolag</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45741</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12508-2025</t>
        </is>
      </c>
      <c r="B1781" s="1" t="n">
        <v>45730</v>
      </c>
      <c r="C1781" s="1" t="n">
        <v>45741</v>
      </c>
      <c r="D1781" t="inlineStr">
        <is>
          <t>JÄMTLANDS LÄN</t>
        </is>
      </c>
      <c r="E1781" t="inlineStr">
        <is>
          <t>KROKOM</t>
        </is>
      </c>
      <c r="G1781" t="n">
        <v>22.6</v>
      </c>
      <c r="H1781" t="n">
        <v>0</v>
      </c>
      <c r="I1781" t="n">
        <v>0</v>
      </c>
      <c r="J1781" t="n">
        <v>0</v>
      </c>
      <c r="K1781" t="n">
        <v>0</v>
      </c>
      <c r="L1781" t="n">
        <v>0</v>
      </c>
      <c r="M1781" t="n">
        <v>0</v>
      </c>
      <c r="N1781" t="n">
        <v>0</v>
      </c>
      <c r="O1781" t="n">
        <v>0</v>
      </c>
      <c r="P1781" t="n">
        <v>0</v>
      </c>
      <c r="Q1781" t="n">
        <v>0</v>
      </c>
      <c r="R1781" s="2" t="inlineStr"/>
    </row>
    <row r="1782" ht="15" customHeight="1">
      <c r="A1782" t="inlineStr">
        <is>
          <t>A 12479-2025</t>
        </is>
      </c>
      <c r="B1782" s="1" t="n">
        <v>45730</v>
      </c>
      <c r="C1782" s="1" t="n">
        <v>45741</v>
      </c>
      <c r="D1782" t="inlineStr">
        <is>
          <t>JÄMTLANDS LÄN</t>
        </is>
      </c>
      <c r="E1782" t="inlineStr">
        <is>
          <t>KROKOM</t>
        </is>
      </c>
      <c r="G1782" t="n">
        <v>13.8</v>
      </c>
      <c r="H1782" t="n">
        <v>0</v>
      </c>
      <c r="I1782" t="n">
        <v>0</v>
      </c>
      <c r="J1782" t="n">
        <v>0</v>
      </c>
      <c r="K1782" t="n">
        <v>0</v>
      </c>
      <c r="L1782" t="n">
        <v>0</v>
      </c>
      <c r="M1782" t="n">
        <v>0</v>
      </c>
      <c r="N1782" t="n">
        <v>0</v>
      </c>
      <c r="O1782" t="n">
        <v>0</v>
      </c>
      <c r="P1782" t="n">
        <v>0</v>
      </c>
      <c r="Q1782" t="n">
        <v>0</v>
      </c>
      <c r="R1782" s="2" t="inlineStr"/>
    </row>
    <row r="1783" ht="15" customHeight="1">
      <c r="A1783" t="inlineStr">
        <is>
          <t>A 12489-2025</t>
        </is>
      </c>
      <c r="B1783" s="1" t="n">
        <v>45730</v>
      </c>
      <c r="C1783" s="1" t="n">
        <v>45741</v>
      </c>
      <c r="D1783" t="inlineStr">
        <is>
          <t>JÄMTLANDS LÄN</t>
        </is>
      </c>
      <c r="E1783" t="inlineStr">
        <is>
          <t>KROKOM</t>
        </is>
      </c>
      <c r="G1783" t="n">
        <v>13.4</v>
      </c>
      <c r="H1783" t="n">
        <v>0</v>
      </c>
      <c r="I1783" t="n">
        <v>0</v>
      </c>
      <c r="J1783" t="n">
        <v>0</v>
      </c>
      <c r="K1783" t="n">
        <v>0</v>
      </c>
      <c r="L1783" t="n">
        <v>0</v>
      </c>
      <c r="M1783" t="n">
        <v>0</v>
      </c>
      <c r="N1783" t="n">
        <v>0</v>
      </c>
      <c r="O1783" t="n">
        <v>0</v>
      </c>
      <c r="P1783" t="n">
        <v>0</v>
      </c>
      <c r="Q1783" t="n">
        <v>0</v>
      </c>
      <c r="R1783" s="2" t="inlineStr"/>
    </row>
    <row r="1784" ht="15" customHeight="1">
      <c r="A1784" t="inlineStr">
        <is>
          <t>A 12774-2025</t>
        </is>
      </c>
      <c r="B1784" s="1" t="n">
        <v>45733</v>
      </c>
      <c r="C1784" s="1" t="n">
        <v>45741</v>
      </c>
      <c r="D1784" t="inlineStr">
        <is>
          <t>JÄMTLANDS LÄN</t>
        </is>
      </c>
      <c r="E1784" t="inlineStr">
        <is>
          <t>KROKOM</t>
        </is>
      </c>
      <c r="G1784" t="n">
        <v>40.4</v>
      </c>
      <c r="H1784" t="n">
        <v>0</v>
      </c>
      <c r="I1784" t="n">
        <v>0</v>
      </c>
      <c r="J1784" t="n">
        <v>0</v>
      </c>
      <c r="K1784" t="n">
        <v>0</v>
      </c>
      <c r="L1784" t="n">
        <v>0</v>
      </c>
      <c r="M1784" t="n">
        <v>0</v>
      </c>
      <c r="N1784" t="n">
        <v>0</v>
      </c>
      <c r="O1784" t="n">
        <v>0</v>
      </c>
      <c r="P1784" t="n">
        <v>0</v>
      </c>
      <c r="Q1784" t="n">
        <v>0</v>
      </c>
      <c r="R1784" s="2" t="inlineStr"/>
    </row>
    <row r="1785" ht="15" customHeight="1">
      <c r="A1785" t="inlineStr">
        <is>
          <t>A 12838-2025</t>
        </is>
      </c>
      <c r="B1785" s="1" t="n">
        <v>45733</v>
      </c>
      <c r="C1785" s="1" t="n">
        <v>45741</v>
      </c>
      <c r="D1785" t="inlineStr">
        <is>
          <t>JÄMTLANDS LÄN</t>
        </is>
      </c>
      <c r="E1785" t="inlineStr">
        <is>
          <t>KROKOM</t>
        </is>
      </c>
      <c r="G1785" t="n">
        <v>59.3</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45741</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13383-2025</t>
        </is>
      </c>
      <c r="B1787" s="1" t="n">
        <v>45735</v>
      </c>
      <c r="C1787" s="1" t="n">
        <v>45741</v>
      </c>
      <c r="D1787" t="inlineStr">
        <is>
          <t>JÄMTLANDS LÄN</t>
        </is>
      </c>
      <c r="E1787" t="inlineStr">
        <is>
          <t>KROKOM</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13769-2025</t>
        </is>
      </c>
      <c r="B1788" s="1" t="n">
        <v>45737</v>
      </c>
      <c r="C1788" s="1" t="n">
        <v>45741</v>
      </c>
      <c r="D1788" t="inlineStr">
        <is>
          <t>JÄMTLANDS LÄN</t>
        </is>
      </c>
      <c r="E1788" t="inlineStr">
        <is>
          <t>KROKOM</t>
        </is>
      </c>
      <c r="G1788" t="n">
        <v>21.1</v>
      </c>
      <c r="H1788" t="n">
        <v>0</v>
      </c>
      <c r="I1788" t="n">
        <v>0</v>
      </c>
      <c r="J1788" t="n">
        <v>0</v>
      </c>
      <c r="K1788" t="n">
        <v>0</v>
      </c>
      <c r="L1788" t="n">
        <v>0</v>
      </c>
      <c r="M1788" t="n">
        <v>0</v>
      </c>
      <c r="N1788" t="n">
        <v>0</v>
      </c>
      <c r="O1788" t="n">
        <v>0</v>
      </c>
      <c r="P1788" t="n">
        <v>0</v>
      </c>
      <c r="Q1788" t="n">
        <v>0</v>
      </c>
      <c r="R1788" s="2" t="inlineStr"/>
    </row>
    <row r="1789" ht="15" customHeight="1">
      <c r="A1789" t="inlineStr">
        <is>
          <t>A 13774-2025</t>
        </is>
      </c>
      <c r="B1789" s="1" t="n">
        <v>45737</v>
      </c>
      <c r="C1789" s="1" t="n">
        <v>45741</v>
      </c>
      <c r="D1789" t="inlineStr">
        <is>
          <t>JÄMTLANDS LÄN</t>
        </is>
      </c>
      <c r="E1789" t="inlineStr">
        <is>
          <t>KROKOM</t>
        </is>
      </c>
      <c r="G1789" t="n">
        <v>26.1</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45741</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13758-2025</t>
        </is>
      </c>
      <c r="B1791" s="1" t="n">
        <v>45737</v>
      </c>
      <c r="C1791" s="1" t="n">
        <v>45741</v>
      </c>
      <c r="D1791" t="inlineStr">
        <is>
          <t>JÄMTLANDS LÄN</t>
        </is>
      </c>
      <c r="E1791" t="inlineStr">
        <is>
          <t>KROKOM</t>
        </is>
      </c>
      <c r="G1791" t="n">
        <v>22.9</v>
      </c>
      <c r="H1791" t="n">
        <v>0</v>
      </c>
      <c r="I1791" t="n">
        <v>0</v>
      </c>
      <c r="J1791" t="n">
        <v>0</v>
      </c>
      <c r="K1791" t="n">
        <v>0</v>
      </c>
      <c r="L1791" t="n">
        <v>0</v>
      </c>
      <c r="M1791" t="n">
        <v>0</v>
      </c>
      <c r="N1791" t="n">
        <v>0</v>
      </c>
      <c r="O1791" t="n">
        <v>0</v>
      </c>
      <c r="P1791" t="n">
        <v>0</v>
      </c>
      <c r="Q1791" t="n">
        <v>0</v>
      </c>
      <c r="R1791" s="2" t="inlineStr"/>
    </row>
    <row r="1792" ht="15" customHeight="1">
      <c r="A1792" t="inlineStr">
        <is>
          <t>A 14293-2025</t>
        </is>
      </c>
      <c r="B1792" s="1" t="n">
        <v>45740</v>
      </c>
      <c r="C1792" s="1" t="n">
        <v>45741</v>
      </c>
      <c r="D1792" t="inlineStr">
        <is>
          <t>JÄMTLANDS LÄN</t>
        </is>
      </c>
      <c r="E1792" t="inlineStr">
        <is>
          <t>KROKOM</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14233-2025</t>
        </is>
      </c>
      <c r="B1793" s="1" t="n">
        <v>45740</v>
      </c>
      <c r="C1793" s="1" t="n">
        <v>45741</v>
      </c>
      <c r="D1793" t="inlineStr">
        <is>
          <t>JÄMTLANDS LÄN</t>
        </is>
      </c>
      <c r="E1793" t="inlineStr">
        <is>
          <t>KROKOM</t>
        </is>
      </c>
      <c r="F1793" t="inlineStr">
        <is>
          <t>Övriga statliga verk och myndigheter</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14234-2025</t>
        </is>
      </c>
      <c r="B1794" s="1" t="n">
        <v>45740</v>
      </c>
      <c r="C1794" s="1" t="n">
        <v>45741</v>
      </c>
      <c r="D1794" t="inlineStr">
        <is>
          <t>JÄMTLANDS LÄN</t>
        </is>
      </c>
      <c r="E1794" t="inlineStr">
        <is>
          <t>KROKOM</t>
        </is>
      </c>
      <c r="F1794" t="inlineStr">
        <is>
          <t>Övriga statliga verk och myndigheter</t>
        </is>
      </c>
      <c r="G1794" t="n">
        <v>1.5</v>
      </c>
      <c r="H1794" t="n">
        <v>0</v>
      </c>
      <c r="I1794" t="n">
        <v>0</v>
      </c>
      <c r="J1794" t="n">
        <v>0</v>
      </c>
      <c r="K1794" t="n">
        <v>0</v>
      </c>
      <c r="L1794" t="n">
        <v>0</v>
      </c>
      <c r="M1794" t="n">
        <v>0</v>
      </c>
      <c r="N1794" t="n">
        <v>0</v>
      </c>
      <c r="O1794" t="n">
        <v>0</v>
      </c>
      <c r="P1794" t="n">
        <v>0</v>
      </c>
      <c r="Q1794" t="n">
        <v>0</v>
      </c>
      <c r="R1794" s="2" t="inlineStr"/>
    </row>
    <row r="1795">
      <c r="A1795" t="inlineStr">
        <is>
          <t>A 14299-2025</t>
        </is>
      </c>
      <c r="B1795" s="1" t="n">
        <v>45740</v>
      </c>
      <c r="C1795" s="1" t="n">
        <v>45741</v>
      </c>
      <c r="D1795" t="inlineStr">
        <is>
          <t>JÄMTLANDS LÄN</t>
        </is>
      </c>
      <c r="E1795" t="inlineStr">
        <is>
          <t>KROKOM</t>
        </is>
      </c>
      <c r="G1795" t="n">
        <v>1.9</v>
      </c>
      <c r="H1795" t="n">
        <v>0</v>
      </c>
      <c r="I1795" t="n">
        <v>0</v>
      </c>
      <c r="J1795" t="n">
        <v>0</v>
      </c>
      <c r="K1795" t="n">
        <v>0</v>
      </c>
      <c r="L1795" t="n">
        <v>0</v>
      </c>
      <c r="M1795" t="n">
        <v>0</v>
      </c>
      <c r="N1795" t="n">
        <v>0</v>
      </c>
      <c r="O1795" t="n">
        <v>0</v>
      </c>
      <c r="P1795" t="n">
        <v>0</v>
      </c>
      <c r="Q1795" t="n">
        <v>0</v>
      </c>
      <c r="R1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2025-03-25T17:47:50Z</dcterms:created>
  <dcterms:modified xmlns:dcterms="http://purl.org/dc/terms/" xmlns:xsi="http://www.w3.org/2001/XMLSchema-instance" xsi:type="dcterms:W3CDTF">2025-03-25T17:47:52Z</dcterms:modified>
</cp:coreProperties>
</file>