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45358</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45358</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45358</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45358</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45358</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45358</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45358</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45358</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45358</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45358</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45358</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45358</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45358</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45358</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45358</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45358</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45358</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45358</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45358</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45358</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45358</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45358</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45358</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45358</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45358</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45358</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45358</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45358</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45358</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45358</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45358</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45358</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45358</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45358</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45358</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45358</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45358</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45358</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45358</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45358</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45358</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45358</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45358</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45358</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45358</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45358</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45358</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45358</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45358</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45358</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45358</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45358</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45358</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45358</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45358</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45358</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45358</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45358</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45358</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45358</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45358</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45358</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45358</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45358</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45358</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45358</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45358</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45358</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45358</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45358</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45358</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45358</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45358</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45358</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45358</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45358</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45358</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45358</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45358</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45358</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45358</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45358</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45358</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45358</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45358</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45358</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45358</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45358</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45358</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45358</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45358</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45358</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45358</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45358</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45358</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45358</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45358</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59464-2023</t>
        </is>
      </c>
      <c r="B99" s="1" t="n">
        <v>45254</v>
      </c>
      <c r="C99" s="1" t="n">
        <v>45358</v>
      </c>
      <c r="D99" t="inlineStr">
        <is>
          <t>JÄMTLANDS LÄN</t>
        </is>
      </c>
      <c r="E99" t="inlineStr">
        <is>
          <t>KROKOM</t>
        </is>
      </c>
      <c r="F99" t="inlineStr">
        <is>
          <t>Övriga Aktiebolag</t>
        </is>
      </c>
      <c r="G99" t="n">
        <v>7.1</v>
      </c>
      <c r="H99" t="n">
        <v>2</v>
      </c>
      <c r="I99" t="n">
        <v>0</v>
      </c>
      <c r="J99" t="n">
        <v>3</v>
      </c>
      <c r="K99" t="n">
        <v>0</v>
      </c>
      <c r="L99" t="n">
        <v>0</v>
      </c>
      <c r="M99" t="n">
        <v>0</v>
      </c>
      <c r="N99" t="n">
        <v>0</v>
      </c>
      <c r="O99" t="n">
        <v>3</v>
      </c>
      <c r="P99" t="n">
        <v>0</v>
      </c>
      <c r="Q99" t="n">
        <v>4</v>
      </c>
      <c r="R99" s="2" t="inlineStr">
        <is>
          <t>Garnlav
Harticka
Talltita
Tjäder</t>
        </is>
      </c>
      <c r="S99">
        <f>HYPERLINK("https://klasma.github.io/Logging_2309/artfynd/A 59464-2023 artfynd.xlsx", "A 59464-2023")</f>
        <v/>
      </c>
      <c r="T99">
        <f>HYPERLINK("https://klasma.github.io/Logging_2309/kartor/A 59464-2023 karta.png", "A 59464-2023")</f>
        <v/>
      </c>
      <c r="V99">
        <f>HYPERLINK("https://klasma.github.io/Logging_2309/klagomål/A 59464-2023 FSC-klagomål.docx", "A 59464-2023")</f>
        <v/>
      </c>
      <c r="W99">
        <f>HYPERLINK("https://klasma.github.io/Logging_2309/klagomålsmail/A 59464-2023 FSC-klagomål mail.docx", "A 59464-2023")</f>
        <v/>
      </c>
      <c r="X99">
        <f>HYPERLINK("https://klasma.github.io/Logging_2309/tillsyn/A 59464-2023 tillsynsbegäran.docx", "A 59464-2023")</f>
        <v/>
      </c>
      <c r="Y99">
        <f>HYPERLINK("https://klasma.github.io/Logging_2309/tillsynsmail/A 59464-2023 tillsynsbegäran mail.docx", "A 59464-2023")</f>
        <v/>
      </c>
      <c r="Z99">
        <f>HYPERLINK("https://klasma.github.io/Logging_2309/fåglar/A 59464-2023 prioriterade fågelarter.docx", "A 59464-2023")</f>
        <v/>
      </c>
    </row>
    <row r="100" ht="15" customHeight="1">
      <c r="A100" t="inlineStr">
        <is>
          <t>A 2256-2024</t>
        </is>
      </c>
      <c r="B100" s="1" t="n">
        <v>45310</v>
      </c>
      <c r="C100" s="1" t="n">
        <v>45358</v>
      </c>
      <c r="D100" t="inlineStr">
        <is>
          <t>JÄMTLANDS LÄN</t>
        </is>
      </c>
      <c r="E100" t="inlineStr">
        <is>
          <t>KROKOM</t>
        </is>
      </c>
      <c r="G100" t="n">
        <v>29.6</v>
      </c>
      <c r="H100" t="n">
        <v>1</v>
      </c>
      <c r="I100" t="n">
        <v>1</v>
      </c>
      <c r="J100" t="n">
        <v>2</v>
      </c>
      <c r="K100" t="n">
        <v>0</v>
      </c>
      <c r="L100" t="n">
        <v>0</v>
      </c>
      <c r="M100" t="n">
        <v>0</v>
      </c>
      <c r="N100" t="n">
        <v>0</v>
      </c>
      <c r="O100" t="n">
        <v>2</v>
      </c>
      <c r="P100" t="n">
        <v>0</v>
      </c>
      <c r="Q100" t="n">
        <v>4</v>
      </c>
      <c r="R100" s="2" t="inlineStr">
        <is>
          <t>Garnlav
Gränsticka
Stuplav
Revlummer</t>
        </is>
      </c>
      <c r="S100">
        <f>HYPERLINK("https://klasma.github.io/Logging_2309/artfynd/A 2256-2024 artfynd.xlsx", "A 2256-2024")</f>
        <v/>
      </c>
      <c r="T100">
        <f>HYPERLINK("https://klasma.github.io/Logging_2309/kartor/A 2256-2024 karta.png", "A 2256-2024")</f>
        <v/>
      </c>
      <c r="V100">
        <f>HYPERLINK("https://klasma.github.io/Logging_2309/klagomål/A 2256-2024 FSC-klagomål.docx", "A 2256-2024")</f>
        <v/>
      </c>
      <c r="W100">
        <f>HYPERLINK("https://klasma.github.io/Logging_2309/klagomålsmail/A 2256-2024 FSC-klagomål mail.docx", "A 2256-2024")</f>
        <v/>
      </c>
      <c r="X100">
        <f>HYPERLINK("https://klasma.github.io/Logging_2309/tillsyn/A 2256-2024 tillsynsbegäran.docx", "A 2256-2024")</f>
        <v/>
      </c>
      <c r="Y100">
        <f>HYPERLINK("https://klasma.github.io/Logging_2309/tillsynsmail/A 2256-2024 tillsynsbegäran mail.docx", "A 2256-2024")</f>
        <v/>
      </c>
    </row>
    <row r="101" ht="15" customHeight="1">
      <c r="A101" t="inlineStr">
        <is>
          <t>A 56744-2018</t>
        </is>
      </c>
      <c r="B101" s="1" t="n">
        <v>43402</v>
      </c>
      <c r="C101" s="1" t="n">
        <v>45358</v>
      </c>
      <c r="D101" t="inlineStr">
        <is>
          <t>JÄMTLANDS LÄN</t>
        </is>
      </c>
      <c r="E101" t="inlineStr">
        <is>
          <t>KROKOM</t>
        </is>
      </c>
      <c r="G101" t="n">
        <v>5.9</v>
      </c>
      <c r="H101" t="n">
        <v>1</v>
      </c>
      <c r="I101" t="n">
        <v>1</v>
      </c>
      <c r="J101" t="n">
        <v>1</v>
      </c>
      <c r="K101" t="n">
        <v>0</v>
      </c>
      <c r="L101" t="n">
        <v>0</v>
      </c>
      <c r="M101" t="n">
        <v>0</v>
      </c>
      <c r="N101" t="n">
        <v>0</v>
      </c>
      <c r="O101" t="n">
        <v>1</v>
      </c>
      <c r="P101" t="n">
        <v>0</v>
      </c>
      <c r="Q101" t="n">
        <v>3</v>
      </c>
      <c r="R101" s="2" t="inlineStr">
        <is>
          <t>Garnlav
Luddlav
Revlummer</t>
        </is>
      </c>
      <c r="S101">
        <f>HYPERLINK("https://klasma.github.io/Logging_2309/artfynd/A 56744-2018 artfynd.xlsx", "A 56744-2018")</f>
        <v/>
      </c>
      <c r="T101">
        <f>HYPERLINK("https://klasma.github.io/Logging_2309/kartor/A 56744-2018 karta.png", "A 56744-2018")</f>
        <v/>
      </c>
      <c r="V101">
        <f>HYPERLINK("https://klasma.github.io/Logging_2309/klagomål/A 56744-2018 FSC-klagomål.docx", "A 56744-2018")</f>
        <v/>
      </c>
      <c r="W101">
        <f>HYPERLINK("https://klasma.github.io/Logging_2309/klagomålsmail/A 56744-2018 FSC-klagomål mail.docx", "A 56744-2018")</f>
        <v/>
      </c>
      <c r="X101">
        <f>HYPERLINK("https://klasma.github.io/Logging_2309/tillsyn/A 56744-2018 tillsynsbegäran.docx", "A 56744-2018")</f>
        <v/>
      </c>
      <c r="Y101">
        <f>HYPERLINK("https://klasma.github.io/Logging_2309/tillsynsmail/A 56744-2018 tillsynsbegäran mail.docx", "A 56744-2018")</f>
        <v/>
      </c>
    </row>
    <row r="102" ht="15" customHeight="1">
      <c r="A102" t="inlineStr">
        <is>
          <t>A 5935-2019</t>
        </is>
      </c>
      <c r="B102" s="1" t="n">
        <v>43490</v>
      </c>
      <c r="C102" s="1" t="n">
        <v>45358</v>
      </c>
      <c r="D102" t="inlineStr">
        <is>
          <t>JÄMTLANDS LÄN</t>
        </is>
      </c>
      <c r="E102" t="inlineStr">
        <is>
          <t>KROKOM</t>
        </is>
      </c>
      <c r="G102" t="n">
        <v>7</v>
      </c>
      <c r="H102" t="n">
        <v>1</v>
      </c>
      <c r="I102" t="n">
        <v>1</v>
      </c>
      <c r="J102" t="n">
        <v>2</v>
      </c>
      <c r="K102" t="n">
        <v>0</v>
      </c>
      <c r="L102" t="n">
        <v>0</v>
      </c>
      <c r="M102" t="n">
        <v>0</v>
      </c>
      <c r="N102" t="n">
        <v>0</v>
      </c>
      <c r="O102" t="n">
        <v>2</v>
      </c>
      <c r="P102" t="n">
        <v>0</v>
      </c>
      <c r="Q102" t="n">
        <v>3</v>
      </c>
      <c r="R102" s="2" t="inlineStr">
        <is>
          <t>Garnlav
Ullticka
Guckusko</t>
        </is>
      </c>
      <c r="S102">
        <f>HYPERLINK("https://klasma.github.io/Logging_2309/artfynd/A 5935-2019 artfynd.xlsx", "A 5935-2019")</f>
        <v/>
      </c>
      <c r="T102">
        <f>HYPERLINK("https://klasma.github.io/Logging_2309/kartor/A 5935-2019 karta.png", "A 5935-2019")</f>
        <v/>
      </c>
      <c r="V102">
        <f>HYPERLINK("https://klasma.github.io/Logging_2309/klagomål/A 5935-2019 FSC-klagomål.docx", "A 5935-2019")</f>
        <v/>
      </c>
      <c r="W102">
        <f>HYPERLINK("https://klasma.github.io/Logging_2309/klagomålsmail/A 5935-2019 FSC-klagomål mail.docx", "A 5935-2019")</f>
        <v/>
      </c>
      <c r="X102">
        <f>HYPERLINK("https://klasma.github.io/Logging_2309/tillsyn/A 5935-2019 tillsynsbegäran.docx", "A 5935-2019")</f>
        <v/>
      </c>
      <c r="Y102">
        <f>HYPERLINK("https://klasma.github.io/Logging_2309/tillsynsmail/A 5935-2019 tillsynsbegäran mail.docx", "A 5935-2019")</f>
        <v/>
      </c>
    </row>
    <row r="103" ht="15" customHeight="1">
      <c r="A103" t="inlineStr">
        <is>
          <t>A 45683-2019</t>
        </is>
      </c>
      <c r="B103" s="1" t="n">
        <v>43717</v>
      </c>
      <c r="C103" s="1" t="n">
        <v>45358</v>
      </c>
      <c r="D103" t="inlineStr">
        <is>
          <t>JÄMTLANDS LÄN</t>
        </is>
      </c>
      <c r="E103" t="inlineStr">
        <is>
          <t>KROKOM</t>
        </is>
      </c>
      <c r="G103" t="n">
        <v>4.6</v>
      </c>
      <c r="H103" t="n">
        <v>2</v>
      </c>
      <c r="I103" t="n">
        <v>0</v>
      </c>
      <c r="J103" t="n">
        <v>2</v>
      </c>
      <c r="K103" t="n">
        <v>1</v>
      </c>
      <c r="L103" t="n">
        <v>0</v>
      </c>
      <c r="M103" t="n">
        <v>0</v>
      </c>
      <c r="N103" t="n">
        <v>0</v>
      </c>
      <c r="O103" t="n">
        <v>3</v>
      </c>
      <c r="P103" t="n">
        <v>1</v>
      </c>
      <c r="Q103" t="n">
        <v>3</v>
      </c>
      <c r="R103" s="2" t="inlineStr">
        <is>
          <t>Knärot
Gränsticka
Tretåig hackspett</t>
        </is>
      </c>
      <c r="S103">
        <f>HYPERLINK("https://klasma.github.io/Logging_2309/artfynd/A 45683-2019 artfynd.xlsx", "A 45683-2019")</f>
        <v/>
      </c>
      <c r="T103">
        <f>HYPERLINK("https://klasma.github.io/Logging_2309/kartor/A 45683-2019 karta.png", "A 45683-2019")</f>
        <v/>
      </c>
      <c r="U103">
        <f>HYPERLINK("https://klasma.github.io/Logging_2309/knärot/A 45683-2019 karta knärot.png", "A 45683-2019")</f>
        <v/>
      </c>
      <c r="V103">
        <f>HYPERLINK("https://klasma.github.io/Logging_2309/klagomål/A 45683-2019 FSC-klagomål.docx", "A 45683-2019")</f>
        <v/>
      </c>
      <c r="W103">
        <f>HYPERLINK("https://klasma.github.io/Logging_2309/klagomålsmail/A 45683-2019 FSC-klagomål mail.docx", "A 45683-2019")</f>
        <v/>
      </c>
      <c r="X103">
        <f>HYPERLINK("https://klasma.github.io/Logging_2309/tillsyn/A 45683-2019 tillsynsbegäran.docx", "A 45683-2019")</f>
        <v/>
      </c>
      <c r="Y103">
        <f>HYPERLINK("https://klasma.github.io/Logging_2309/tillsynsmail/A 45683-2019 tillsynsbegäran mail.docx", "A 45683-2019")</f>
        <v/>
      </c>
      <c r="Z103">
        <f>HYPERLINK("https://klasma.github.io/Logging_2309/fåglar/A 45683-2019 prioriterade fågelarter.docx", "A 45683-2019")</f>
        <v/>
      </c>
    </row>
    <row r="104" ht="15" customHeight="1">
      <c r="A104" t="inlineStr">
        <is>
          <t>A 57028-2019</t>
        </is>
      </c>
      <c r="B104" s="1" t="n">
        <v>43766</v>
      </c>
      <c r="C104" s="1" t="n">
        <v>45358</v>
      </c>
      <c r="D104" t="inlineStr">
        <is>
          <t>JÄMTLANDS LÄN</t>
        </is>
      </c>
      <c r="E104" t="inlineStr">
        <is>
          <t>KROKOM</t>
        </is>
      </c>
      <c r="G104" t="n">
        <v>13.6</v>
      </c>
      <c r="H104" t="n">
        <v>0</v>
      </c>
      <c r="I104" t="n">
        <v>1</v>
      </c>
      <c r="J104" t="n">
        <v>1</v>
      </c>
      <c r="K104" t="n">
        <v>1</v>
      </c>
      <c r="L104" t="n">
        <v>0</v>
      </c>
      <c r="M104" t="n">
        <v>0</v>
      </c>
      <c r="N104" t="n">
        <v>0</v>
      </c>
      <c r="O104" t="n">
        <v>2</v>
      </c>
      <c r="P104" t="n">
        <v>1</v>
      </c>
      <c r="Q104" t="n">
        <v>3</v>
      </c>
      <c r="R104" s="2" t="inlineStr">
        <is>
          <t>Liten sotlav
Rödbrun blekspik
Rostfläck</t>
        </is>
      </c>
      <c r="S104">
        <f>HYPERLINK("https://klasma.github.io/Logging_2309/artfynd/A 57028-2019 artfynd.xlsx", "A 57028-2019")</f>
        <v/>
      </c>
      <c r="T104">
        <f>HYPERLINK("https://klasma.github.io/Logging_2309/kartor/A 57028-2019 karta.png", "A 57028-2019")</f>
        <v/>
      </c>
      <c r="V104">
        <f>HYPERLINK("https://klasma.github.io/Logging_2309/klagomål/A 57028-2019 FSC-klagomål.docx", "A 57028-2019")</f>
        <v/>
      </c>
      <c r="W104">
        <f>HYPERLINK("https://klasma.github.io/Logging_2309/klagomålsmail/A 57028-2019 FSC-klagomål mail.docx", "A 57028-2019")</f>
        <v/>
      </c>
      <c r="X104">
        <f>HYPERLINK("https://klasma.github.io/Logging_2309/tillsyn/A 57028-2019 tillsynsbegäran.docx", "A 57028-2019")</f>
        <v/>
      </c>
      <c r="Y104">
        <f>HYPERLINK("https://klasma.github.io/Logging_2309/tillsynsmail/A 57028-2019 tillsynsbegäran mail.docx", "A 57028-2019")</f>
        <v/>
      </c>
    </row>
    <row r="105" ht="15" customHeight="1">
      <c r="A105" t="inlineStr">
        <is>
          <t>A 53354-2021</t>
        </is>
      </c>
      <c r="B105" s="1" t="n">
        <v>44468</v>
      </c>
      <c r="C105" s="1" t="n">
        <v>45358</v>
      </c>
      <c r="D105" t="inlineStr">
        <is>
          <t>JÄMTLANDS LÄN</t>
        </is>
      </c>
      <c r="E105" t="inlineStr">
        <is>
          <t>KROKOM</t>
        </is>
      </c>
      <c r="F105" t="inlineStr">
        <is>
          <t>Kyrkan</t>
        </is>
      </c>
      <c r="G105" t="n">
        <v>7.8</v>
      </c>
      <c r="H105" t="n">
        <v>0</v>
      </c>
      <c r="I105" t="n">
        <v>1</v>
      </c>
      <c r="J105" t="n">
        <v>2</v>
      </c>
      <c r="K105" t="n">
        <v>0</v>
      </c>
      <c r="L105" t="n">
        <v>0</v>
      </c>
      <c r="M105" t="n">
        <v>0</v>
      </c>
      <c r="N105" t="n">
        <v>0</v>
      </c>
      <c r="O105" t="n">
        <v>2</v>
      </c>
      <c r="P105" t="n">
        <v>0</v>
      </c>
      <c r="Q105" t="n">
        <v>3</v>
      </c>
      <c r="R105" s="2" t="inlineStr">
        <is>
          <t>Granticka
Lunglav
Stuplav</t>
        </is>
      </c>
      <c r="S105">
        <f>HYPERLINK("https://klasma.github.io/Logging_2309/artfynd/A 53354-2021 artfynd.xlsx", "A 53354-2021")</f>
        <v/>
      </c>
      <c r="T105">
        <f>HYPERLINK("https://klasma.github.io/Logging_2309/kartor/A 53354-2021 karta.png", "A 53354-2021")</f>
        <v/>
      </c>
      <c r="V105">
        <f>HYPERLINK("https://klasma.github.io/Logging_2309/klagomål/A 53354-2021 FSC-klagomål.docx", "A 53354-2021")</f>
        <v/>
      </c>
      <c r="W105">
        <f>HYPERLINK("https://klasma.github.io/Logging_2309/klagomålsmail/A 53354-2021 FSC-klagomål mail.docx", "A 53354-2021")</f>
        <v/>
      </c>
      <c r="X105">
        <f>HYPERLINK("https://klasma.github.io/Logging_2309/tillsyn/A 53354-2021 tillsynsbegäran.docx", "A 53354-2021")</f>
        <v/>
      </c>
      <c r="Y105">
        <f>HYPERLINK("https://klasma.github.io/Logging_2309/tillsynsmail/A 53354-2021 tillsynsbegäran mail.docx", "A 53354-2021")</f>
        <v/>
      </c>
    </row>
    <row r="106" ht="15" customHeight="1">
      <c r="A106" t="inlineStr">
        <is>
          <t>A 64300-2021</t>
        </is>
      </c>
      <c r="B106" s="1" t="n">
        <v>44510</v>
      </c>
      <c r="C106" s="1" t="n">
        <v>45358</v>
      </c>
      <c r="D106" t="inlineStr">
        <is>
          <t>JÄMTLANDS LÄN</t>
        </is>
      </c>
      <c r="E106" t="inlineStr">
        <is>
          <t>KROKOM</t>
        </is>
      </c>
      <c r="G106" t="n">
        <v>8.6</v>
      </c>
      <c r="H106" t="n">
        <v>0</v>
      </c>
      <c r="I106" t="n">
        <v>0</v>
      </c>
      <c r="J106" t="n">
        <v>3</v>
      </c>
      <c r="K106" t="n">
        <v>0</v>
      </c>
      <c r="L106" t="n">
        <v>0</v>
      </c>
      <c r="M106" t="n">
        <v>0</v>
      </c>
      <c r="N106" t="n">
        <v>0</v>
      </c>
      <c r="O106" t="n">
        <v>3</v>
      </c>
      <c r="P106" t="n">
        <v>0</v>
      </c>
      <c r="Q106" t="n">
        <v>3</v>
      </c>
      <c r="R106" s="2" t="inlineStr">
        <is>
          <t>Garnlav
Lunglav
Skrovellav</t>
        </is>
      </c>
      <c r="S106">
        <f>HYPERLINK("https://klasma.github.io/Logging_2309/artfynd/A 64300-2021 artfynd.xlsx", "A 64300-2021")</f>
        <v/>
      </c>
      <c r="T106">
        <f>HYPERLINK("https://klasma.github.io/Logging_2309/kartor/A 64300-2021 karta.png", "A 64300-2021")</f>
        <v/>
      </c>
      <c r="V106">
        <f>HYPERLINK("https://klasma.github.io/Logging_2309/klagomål/A 64300-2021 FSC-klagomål.docx", "A 64300-2021")</f>
        <v/>
      </c>
      <c r="W106">
        <f>HYPERLINK("https://klasma.github.io/Logging_2309/klagomålsmail/A 64300-2021 FSC-klagomål mail.docx", "A 64300-2021")</f>
        <v/>
      </c>
      <c r="X106">
        <f>HYPERLINK("https://klasma.github.io/Logging_2309/tillsyn/A 64300-2021 tillsynsbegäran.docx", "A 64300-2021")</f>
        <v/>
      </c>
      <c r="Y106">
        <f>HYPERLINK("https://klasma.github.io/Logging_2309/tillsynsmail/A 64300-2021 tillsynsbegäran mail.docx", "A 64300-2021")</f>
        <v/>
      </c>
    </row>
    <row r="107" ht="15" customHeight="1">
      <c r="A107" t="inlineStr">
        <is>
          <t>A 71573-2021</t>
        </is>
      </c>
      <c r="B107" s="1" t="n">
        <v>44540</v>
      </c>
      <c r="C107" s="1" t="n">
        <v>45358</v>
      </c>
      <c r="D107" t="inlineStr">
        <is>
          <t>JÄMTLANDS LÄN</t>
        </is>
      </c>
      <c r="E107" t="inlineStr">
        <is>
          <t>KROKOM</t>
        </is>
      </c>
      <c r="G107" t="n">
        <v>1</v>
      </c>
      <c r="H107" t="n">
        <v>0</v>
      </c>
      <c r="I107" t="n">
        <v>2</v>
      </c>
      <c r="J107" t="n">
        <v>1</v>
      </c>
      <c r="K107" t="n">
        <v>0</v>
      </c>
      <c r="L107" t="n">
        <v>0</v>
      </c>
      <c r="M107" t="n">
        <v>0</v>
      </c>
      <c r="N107" t="n">
        <v>0</v>
      </c>
      <c r="O107" t="n">
        <v>1</v>
      </c>
      <c r="P107" t="n">
        <v>0</v>
      </c>
      <c r="Q107" t="n">
        <v>3</v>
      </c>
      <c r="R107" s="2" t="inlineStr">
        <is>
          <t>Doftskinn
Fjällig taggsvamp s.str.
Svavelriska</t>
        </is>
      </c>
      <c r="S107">
        <f>HYPERLINK("https://klasma.github.io/Logging_2309/artfynd/A 71573-2021 artfynd.xlsx", "A 71573-2021")</f>
        <v/>
      </c>
      <c r="T107">
        <f>HYPERLINK("https://klasma.github.io/Logging_2309/kartor/A 71573-2021 karta.png", "A 71573-2021")</f>
        <v/>
      </c>
      <c r="V107">
        <f>HYPERLINK("https://klasma.github.io/Logging_2309/klagomål/A 71573-2021 FSC-klagomål.docx", "A 71573-2021")</f>
        <v/>
      </c>
      <c r="W107">
        <f>HYPERLINK("https://klasma.github.io/Logging_2309/klagomålsmail/A 71573-2021 FSC-klagomål mail.docx", "A 71573-2021")</f>
        <v/>
      </c>
      <c r="X107">
        <f>HYPERLINK("https://klasma.github.io/Logging_2309/tillsyn/A 71573-2021 tillsynsbegäran.docx", "A 71573-2021")</f>
        <v/>
      </c>
      <c r="Y107">
        <f>HYPERLINK("https://klasma.github.io/Logging_2309/tillsynsmail/A 71573-2021 tillsynsbegäran mail.docx", "A 71573-2021")</f>
        <v/>
      </c>
    </row>
    <row r="108" ht="15" customHeight="1">
      <c r="A108" t="inlineStr">
        <is>
          <t>A 30068-2022</t>
        </is>
      </c>
      <c r="B108" s="1" t="n">
        <v>44757</v>
      </c>
      <c r="C108" s="1" t="n">
        <v>45358</v>
      </c>
      <c r="D108" t="inlineStr">
        <is>
          <t>JÄMTLANDS LÄN</t>
        </is>
      </c>
      <c r="E108" t="inlineStr">
        <is>
          <t>KROKOM</t>
        </is>
      </c>
      <c r="G108" t="n">
        <v>5</v>
      </c>
      <c r="H108" t="n">
        <v>1</v>
      </c>
      <c r="I108" t="n">
        <v>0</v>
      </c>
      <c r="J108" t="n">
        <v>3</v>
      </c>
      <c r="K108" t="n">
        <v>0</v>
      </c>
      <c r="L108" t="n">
        <v>0</v>
      </c>
      <c r="M108" t="n">
        <v>0</v>
      </c>
      <c r="N108" t="n">
        <v>0</v>
      </c>
      <c r="O108" t="n">
        <v>3</v>
      </c>
      <c r="P108" t="n">
        <v>0</v>
      </c>
      <c r="Q108" t="n">
        <v>3</v>
      </c>
      <c r="R108" s="2" t="inlineStr">
        <is>
          <t>Gränsticka
Tretåig hackspett
Ullticka</t>
        </is>
      </c>
      <c r="S108">
        <f>HYPERLINK("https://klasma.github.io/Logging_2309/artfynd/A 30068-2022 artfynd.xlsx", "A 30068-2022")</f>
        <v/>
      </c>
      <c r="T108">
        <f>HYPERLINK("https://klasma.github.io/Logging_2309/kartor/A 30068-2022 karta.png", "A 30068-2022")</f>
        <v/>
      </c>
      <c r="V108">
        <f>HYPERLINK("https://klasma.github.io/Logging_2309/klagomål/A 30068-2022 FSC-klagomål.docx", "A 30068-2022")</f>
        <v/>
      </c>
      <c r="W108">
        <f>HYPERLINK("https://klasma.github.io/Logging_2309/klagomålsmail/A 30068-2022 FSC-klagomål mail.docx", "A 30068-2022")</f>
        <v/>
      </c>
      <c r="X108">
        <f>HYPERLINK("https://klasma.github.io/Logging_2309/tillsyn/A 30068-2022 tillsynsbegäran.docx", "A 30068-2022")</f>
        <v/>
      </c>
      <c r="Y108">
        <f>HYPERLINK("https://klasma.github.io/Logging_2309/tillsynsmail/A 30068-2022 tillsynsbegäran mail.docx", "A 30068-2022")</f>
        <v/>
      </c>
      <c r="Z108">
        <f>HYPERLINK("https://klasma.github.io/Logging_2309/fåglar/A 30068-2022 prioriterade fågelarter.docx", "A 30068-2022")</f>
        <v/>
      </c>
    </row>
    <row r="109" ht="15" customHeight="1">
      <c r="A109" t="inlineStr">
        <is>
          <t>A 30069-2022</t>
        </is>
      </c>
      <c r="B109" s="1" t="n">
        <v>44757</v>
      </c>
      <c r="C109" s="1" t="n">
        <v>45358</v>
      </c>
      <c r="D109" t="inlineStr">
        <is>
          <t>JÄMTLANDS LÄN</t>
        </is>
      </c>
      <c r="E109" t="inlineStr">
        <is>
          <t>KROKOM</t>
        </is>
      </c>
      <c r="G109" t="n">
        <v>0.7</v>
      </c>
      <c r="H109" t="n">
        <v>1</v>
      </c>
      <c r="I109" t="n">
        <v>0</v>
      </c>
      <c r="J109" t="n">
        <v>2</v>
      </c>
      <c r="K109" t="n">
        <v>1</v>
      </c>
      <c r="L109" t="n">
        <v>0</v>
      </c>
      <c r="M109" t="n">
        <v>0</v>
      </c>
      <c r="N109" t="n">
        <v>0</v>
      </c>
      <c r="O109" t="n">
        <v>3</v>
      </c>
      <c r="P109" t="n">
        <v>1</v>
      </c>
      <c r="Q109" t="n">
        <v>3</v>
      </c>
      <c r="R109" s="2" t="inlineStr">
        <is>
          <t>Rynkskinn
Granticka
Tretåig hackspett</t>
        </is>
      </c>
      <c r="S109">
        <f>HYPERLINK("https://klasma.github.io/Logging_2309/artfynd/A 30069-2022 artfynd.xlsx", "A 30069-2022")</f>
        <v/>
      </c>
      <c r="T109">
        <f>HYPERLINK("https://klasma.github.io/Logging_2309/kartor/A 30069-2022 karta.png", "A 30069-2022")</f>
        <v/>
      </c>
      <c r="V109">
        <f>HYPERLINK("https://klasma.github.io/Logging_2309/klagomål/A 30069-2022 FSC-klagomål.docx", "A 30069-2022")</f>
        <v/>
      </c>
      <c r="W109">
        <f>HYPERLINK("https://klasma.github.io/Logging_2309/klagomålsmail/A 30069-2022 FSC-klagomål mail.docx", "A 30069-2022")</f>
        <v/>
      </c>
      <c r="X109">
        <f>HYPERLINK("https://klasma.github.io/Logging_2309/tillsyn/A 30069-2022 tillsynsbegäran.docx", "A 30069-2022")</f>
        <v/>
      </c>
      <c r="Y109">
        <f>HYPERLINK("https://klasma.github.io/Logging_2309/tillsynsmail/A 30069-2022 tillsynsbegäran mail.docx", "A 30069-2022")</f>
        <v/>
      </c>
      <c r="Z109">
        <f>HYPERLINK("https://klasma.github.io/Logging_2309/fåglar/A 30069-2022 prioriterade fågelarter.docx", "A 30069-2022")</f>
        <v/>
      </c>
    </row>
    <row r="110" ht="15" customHeight="1">
      <c r="A110" t="inlineStr">
        <is>
          <t>A 44869-2022</t>
        </is>
      </c>
      <c r="B110" s="1" t="n">
        <v>44841</v>
      </c>
      <c r="C110" s="1" t="n">
        <v>45358</v>
      </c>
      <c r="D110" t="inlineStr">
        <is>
          <t>JÄMTLANDS LÄN</t>
        </is>
      </c>
      <c r="E110" t="inlineStr">
        <is>
          <t>KROKOM</t>
        </is>
      </c>
      <c r="G110" t="n">
        <v>4.5</v>
      </c>
      <c r="H110" t="n">
        <v>1</v>
      </c>
      <c r="I110" t="n">
        <v>0</v>
      </c>
      <c r="J110" t="n">
        <v>1</v>
      </c>
      <c r="K110" t="n">
        <v>2</v>
      </c>
      <c r="L110" t="n">
        <v>0</v>
      </c>
      <c r="M110" t="n">
        <v>0</v>
      </c>
      <c r="N110" t="n">
        <v>0</v>
      </c>
      <c r="O110" t="n">
        <v>3</v>
      </c>
      <c r="P110" t="n">
        <v>2</v>
      </c>
      <c r="Q110" t="n">
        <v>3</v>
      </c>
      <c r="R110" s="2" t="inlineStr">
        <is>
          <t>Knärot
Ulltickeporing
Lunglav</t>
        </is>
      </c>
      <c r="S110">
        <f>HYPERLINK("https://klasma.github.io/Logging_2309/artfynd/A 44869-2022 artfynd.xlsx", "A 44869-2022")</f>
        <v/>
      </c>
      <c r="T110">
        <f>HYPERLINK("https://klasma.github.io/Logging_2309/kartor/A 44869-2022 karta.png", "A 44869-2022")</f>
        <v/>
      </c>
      <c r="U110">
        <f>HYPERLINK("https://klasma.github.io/Logging_2309/knärot/A 44869-2022 karta knärot.png", "A 44869-2022")</f>
        <v/>
      </c>
      <c r="V110">
        <f>HYPERLINK("https://klasma.github.io/Logging_2309/klagomål/A 44869-2022 FSC-klagomål.docx", "A 44869-2022")</f>
        <v/>
      </c>
      <c r="W110">
        <f>HYPERLINK("https://klasma.github.io/Logging_2309/klagomålsmail/A 44869-2022 FSC-klagomål mail.docx", "A 44869-2022")</f>
        <v/>
      </c>
      <c r="X110">
        <f>HYPERLINK("https://klasma.github.io/Logging_2309/tillsyn/A 44869-2022 tillsynsbegäran.docx", "A 44869-2022")</f>
        <v/>
      </c>
      <c r="Y110">
        <f>HYPERLINK("https://klasma.github.io/Logging_2309/tillsynsmail/A 44869-2022 tillsynsbegäran mail.docx", "A 44869-2022")</f>
        <v/>
      </c>
    </row>
    <row r="111" ht="15" customHeight="1">
      <c r="A111" t="inlineStr">
        <is>
          <t>A 51663-2022</t>
        </is>
      </c>
      <c r="B111" s="1" t="n">
        <v>44867</v>
      </c>
      <c r="C111" s="1" t="n">
        <v>45358</v>
      </c>
      <c r="D111" t="inlineStr">
        <is>
          <t>JÄMTLANDS LÄN</t>
        </is>
      </c>
      <c r="E111" t="inlineStr">
        <is>
          <t>KROKOM</t>
        </is>
      </c>
      <c r="G111" t="n">
        <v>28.5</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HYPERLINK("https://klasma.github.io/Logging_2309/artfynd/A 51663-2022 artfynd.xlsx", "A 51663-2022")</f>
        <v/>
      </c>
      <c r="T111">
        <f>HYPERLINK("https://klasma.github.io/Logging_2309/kartor/A 51663-2022 karta.png", "A 51663-2022")</f>
        <v/>
      </c>
      <c r="V111">
        <f>HYPERLINK("https://klasma.github.io/Logging_2309/klagomål/A 51663-2022 FSC-klagomål.docx", "A 51663-2022")</f>
        <v/>
      </c>
      <c r="W111">
        <f>HYPERLINK("https://klasma.github.io/Logging_2309/klagomålsmail/A 51663-2022 FSC-klagomål mail.docx", "A 51663-2022")</f>
        <v/>
      </c>
      <c r="X111">
        <f>HYPERLINK("https://klasma.github.io/Logging_2309/tillsyn/A 51663-2022 tillsynsbegäran.docx", "A 51663-2022")</f>
        <v/>
      </c>
      <c r="Y111">
        <f>HYPERLINK("https://klasma.github.io/Logging_2309/tillsynsmail/A 51663-2022 tillsynsbegäran mail.docx", "A 51663-2022")</f>
        <v/>
      </c>
      <c r="Z111">
        <f>HYPERLINK("https://klasma.github.io/Logging_2309/fåglar/A 51663-2022 prioriterade fågelarter.docx", "A 51663-2022")</f>
        <v/>
      </c>
    </row>
    <row r="112" ht="15" customHeight="1">
      <c r="A112" t="inlineStr">
        <is>
          <t>A 52264-2022</t>
        </is>
      </c>
      <c r="B112" s="1" t="n">
        <v>44873</v>
      </c>
      <c r="C112" s="1" t="n">
        <v>45358</v>
      </c>
      <c r="D112" t="inlineStr">
        <is>
          <t>JÄMTLANDS LÄN</t>
        </is>
      </c>
      <c r="E112" t="inlineStr">
        <is>
          <t>KROKOM</t>
        </is>
      </c>
      <c r="G112" t="n">
        <v>4.1</v>
      </c>
      <c r="H112" t="n">
        <v>2</v>
      </c>
      <c r="I112" t="n">
        <v>0</v>
      </c>
      <c r="J112" t="n">
        <v>2</v>
      </c>
      <c r="K112" t="n">
        <v>1</v>
      </c>
      <c r="L112" t="n">
        <v>0</v>
      </c>
      <c r="M112" t="n">
        <v>0</v>
      </c>
      <c r="N112" t="n">
        <v>0</v>
      </c>
      <c r="O112" t="n">
        <v>3</v>
      </c>
      <c r="P112" t="n">
        <v>1</v>
      </c>
      <c r="Q112" t="n">
        <v>3</v>
      </c>
      <c r="R112" s="2" t="inlineStr">
        <is>
          <t>Knärot
Tretåig hackspett
Ullticka</t>
        </is>
      </c>
      <c r="S112">
        <f>HYPERLINK("https://klasma.github.io/Logging_2309/artfynd/A 52264-2022 artfynd.xlsx", "A 52264-2022")</f>
        <v/>
      </c>
      <c r="T112">
        <f>HYPERLINK("https://klasma.github.io/Logging_2309/kartor/A 52264-2022 karta.png", "A 52264-2022")</f>
        <v/>
      </c>
      <c r="U112">
        <f>HYPERLINK("https://klasma.github.io/Logging_2309/knärot/A 52264-2022 karta knärot.png", "A 52264-2022")</f>
        <v/>
      </c>
      <c r="V112">
        <f>HYPERLINK("https://klasma.github.io/Logging_2309/klagomål/A 52264-2022 FSC-klagomål.docx", "A 52264-2022")</f>
        <v/>
      </c>
      <c r="W112">
        <f>HYPERLINK("https://klasma.github.io/Logging_2309/klagomålsmail/A 52264-2022 FSC-klagomål mail.docx", "A 52264-2022")</f>
        <v/>
      </c>
      <c r="X112">
        <f>HYPERLINK("https://klasma.github.io/Logging_2309/tillsyn/A 52264-2022 tillsynsbegäran.docx", "A 52264-2022")</f>
        <v/>
      </c>
      <c r="Y112">
        <f>HYPERLINK("https://klasma.github.io/Logging_2309/tillsynsmail/A 52264-2022 tillsynsbegäran mail.docx", "A 52264-2022")</f>
        <v/>
      </c>
      <c r="Z112">
        <f>HYPERLINK("https://klasma.github.io/Logging_2309/fåglar/A 52264-2022 prioriterade fågelarter.docx", "A 52264-2022")</f>
        <v/>
      </c>
    </row>
    <row r="113" ht="15" customHeight="1">
      <c r="A113" t="inlineStr">
        <is>
          <t>A 46013-2023</t>
        </is>
      </c>
      <c r="B113" s="1" t="n">
        <v>45196</v>
      </c>
      <c r="C113" s="1" t="n">
        <v>45358</v>
      </c>
      <c r="D113" t="inlineStr">
        <is>
          <t>JÄMTLANDS LÄN</t>
        </is>
      </c>
      <c r="E113" t="inlineStr">
        <is>
          <t>KROKOM</t>
        </is>
      </c>
      <c r="G113" t="n">
        <v>8.1</v>
      </c>
      <c r="H113" t="n">
        <v>1</v>
      </c>
      <c r="I113" t="n">
        <v>2</v>
      </c>
      <c r="J113" t="n">
        <v>0</v>
      </c>
      <c r="K113" t="n">
        <v>0</v>
      </c>
      <c r="L113" t="n">
        <v>0</v>
      </c>
      <c r="M113" t="n">
        <v>0</v>
      </c>
      <c r="N113" t="n">
        <v>0</v>
      </c>
      <c r="O113" t="n">
        <v>0</v>
      </c>
      <c r="P113" t="n">
        <v>0</v>
      </c>
      <c r="Q113" t="n">
        <v>3</v>
      </c>
      <c r="R113" s="2" t="inlineStr">
        <is>
          <t>Svavelriska
Underviol
Blåsippa</t>
        </is>
      </c>
      <c r="S113">
        <f>HYPERLINK("https://klasma.github.io/Logging_2309/artfynd/A 46013-2023 artfynd.xlsx", "A 46013-2023")</f>
        <v/>
      </c>
      <c r="T113">
        <f>HYPERLINK("https://klasma.github.io/Logging_2309/kartor/A 46013-2023 karta.png", "A 46013-2023")</f>
        <v/>
      </c>
      <c r="V113">
        <f>HYPERLINK("https://klasma.github.io/Logging_2309/klagomål/A 46013-2023 FSC-klagomål.docx", "A 46013-2023")</f>
        <v/>
      </c>
      <c r="W113">
        <f>HYPERLINK("https://klasma.github.io/Logging_2309/klagomålsmail/A 46013-2023 FSC-klagomål mail.docx", "A 46013-2023")</f>
        <v/>
      </c>
      <c r="X113">
        <f>HYPERLINK("https://klasma.github.io/Logging_2309/tillsyn/A 46013-2023 tillsynsbegäran.docx", "A 46013-2023")</f>
        <v/>
      </c>
      <c r="Y113">
        <f>HYPERLINK("https://klasma.github.io/Logging_2309/tillsynsmail/A 46013-2023 tillsynsbegäran mail.docx", "A 46013-2023")</f>
        <v/>
      </c>
    </row>
    <row r="114" ht="15" customHeight="1">
      <c r="A114" t="inlineStr">
        <is>
          <t>A 54494-2023</t>
        </is>
      </c>
      <c r="B114" s="1" t="n">
        <v>45233</v>
      </c>
      <c r="C114" s="1" t="n">
        <v>45358</v>
      </c>
      <c r="D114" t="inlineStr">
        <is>
          <t>JÄMTLANDS LÄN</t>
        </is>
      </c>
      <c r="E114" t="inlineStr">
        <is>
          <t>KROKOM</t>
        </is>
      </c>
      <c r="G114" t="n">
        <v>6.2</v>
      </c>
      <c r="H114" t="n">
        <v>1</v>
      </c>
      <c r="I114" t="n">
        <v>2</v>
      </c>
      <c r="J114" t="n">
        <v>0</v>
      </c>
      <c r="K114" t="n">
        <v>0</v>
      </c>
      <c r="L114" t="n">
        <v>0</v>
      </c>
      <c r="M114" t="n">
        <v>0</v>
      </c>
      <c r="N114" t="n">
        <v>0</v>
      </c>
      <c r="O114" t="n">
        <v>0</v>
      </c>
      <c r="P114" t="n">
        <v>0</v>
      </c>
      <c r="Q114" t="n">
        <v>3</v>
      </c>
      <c r="R114" s="2" t="inlineStr">
        <is>
          <t>Finbräken
Tibast
Blåsippa</t>
        </is>
      </c>
      <c r="S114">
        <f>HYPERLINK("https://klasma.github.io/Logging_2309/artfynd/A 54494-2023 artfynd.xlsx", "A 54494-2023")</f>
        <v/>
      </c>
      <c r="T114">
        <f>HYPERLINK("https://klasma.github.io/Logging_2309/kartor/A 54494-2023 karta.png", "A 54494-2023")</f>
        <v/>
      </c>
      <c r="V114">
        <f>HYPERLINK("https://klasma.github.io/Logging_2309/klagomål/A 54494-2023 FSC-klagomål.docx", "A 54494-2023")</f>
        <v/>
      </c>
      <c r="W114">
        <f>HYPERLINK("https://klasma.github.io/Logging_2309/klagomålsmail/A 54494-2023 FSC-klagomål mail.docx", "A 54494-2023")</f>
        <v/>
      </c>
      <c r="X114">
        <f>HYPERLINK("https://klasma.github.io/Logging_2309/tillsyn/A 54494-2023 tillsynsbegäran.docx", "A 54494-2023")</f>
        <v/>
      </c>
      <c r="Y114">
        <f>HYPERLINK("https://klasma.github.io/Logging_2309/tillsynsmail/A 54494-2023 tillsynsbegäran mail.docx", "A 54494-2023")</f>
        <v/>
      </c>
    </row>
    <row r="115" ht="15" customHeight="1">
      <c r="A115" t="inlineStr">
        <is>
          <t>A 2592-2024</t>
        </is>
      </c>
      <c r="B115" s="1" t="n">
        <v>45313</v>
      </c>
      <c r="C115" s="1" t="n">
        <v>45358</v>
      </c>
      <c r="D115" t="inlineStr">
        <is>
          <t>JÄMTLANDS LÄN</t>
        </is>
      </c>
      <c r="E115" t="inlineStr">
        <is>
          <t>KROKOM</t>
        </is>
      </c>
      <c r="G115" t="n">
        <v>28.5</v>
      </c>
      <c r="H115" t="n">
        <v>2</v>
      </c>
      <c r="I115" t="n">
        <v>0</v>
      </c>
      <c r="J115" t="n">
        <v>2</v>
      </c>
      <c r="K115" t="n">
        <v>1</v>
      </c>
      <c r="L115" t="n">
        <v>0</v>
      </c>
      <c r="M115" t="n">
        <v>0</v>
      </c>
      <c r="N115" t="n">
        <v>0</v>
      </c>
      <c r="O115" t="n">
        <v>3</v>
      </c>
      <c r="P115" t="n">
        <v>1</v>
      </c>
      <c r="Q115" t="n">
        <v>3</v>
      </c>
      <c r="R115" s="2" t="inlineStr">
        <is>
          <t>Doftticka
Granticka
Tretåig hackspett</t>
        </is>
      </c>
      <c r="S115">
        <f>HYPERLINK("https://klasma.github.io/Logging_2309/artfynd/A 2592-2024 artfynd.xlsx", "A 2592-2024")</f>
        <v/>
      </c>
      <c r="T115">
        <f>HYPERLINK("https://klasma.github.io/Logging_2309/kartor/A 2592-2024 karta.png", "A 2592-2024")</f>
        <v/>
      </c>
      <c r="V115">
        <f>HYPERLINK("https://klasma.github.io/Logging_2309/klagomål/A 2592-2024 FSC-klagomål.docx", "A 2592-2024")</f>
        <v/>
      </c>
      <c r="W115">
        <f>HYPERLINK("https://klasma.github.io/Logging_2309/klagomålsmail/A 2592-2024 FSC-klagomål mail.docx", "A 2592-2024")</f>
        <v/>
      </c>
      <c r="X115">
        <f>HYPERLINK("https://klasma.github.io/Logging_2309/tillsyn/A 2592-2024 tillsynsbegäran.docx", "A 2592-2024")</f>
        <v/>
      </c>
      <c r="Y115">
        <f>HYPERLINK("https://klasma.github.io/Logging_2309/tillsynsmail/A 2592-2024 tillsynsbegäran mail.docx", "A 2592-2024")</f>
        <v/>
      </c>
      <c r="Z115">
        <f>HYPERLINK("https://klasma.github.io/Logging_2309/fåglar/A 2592-2024 prioriterade fågelarter.docx", "A 2592-2024")</f>
        <v/>
      </c>
    </row>
    <row r="116" ht="15" customHeight="1">
      <c r="A116" t="inlineStr">
        <is>
          <t>A 42165-2018</t>
        </is>
      </c>
      <c r="B116" s="1" t="n">
        <v>43353</v>
      </c>
      <c r="C116" s="1" t="n">
        <v>45358</v>
      </c>
      <c r="D116" t="inlineStr">
        <is>
          <t>JÄMTLANDS LÄN</t>
        </is>
      </c>
      <c r="E116" t="inlineStr">
        <is>
          <t>KROKOM</t>
        </is>
      </c>
      <c r="G116" t="n">
        <v>2.9</v>
      </c>
      <c r="H116" t="n">
        <v>2</v>
      </c>
      <c r="I116" t="n">
        <v>0</v>
      </c>
      <c r="J116" t="n">
        <v>1</v>
      </c>
      <c r="K116" t="n">
        <v>0</v>
      </c>
      <c r="L116" t="n">
        <v>0</v>
      </c>
      <c r="M116" t="n">
        <v>0</v>
      </c>
      <c r="N116" t="n">
        <v>0</v>
      </c>
      <c r="O116" t="n">
        <v>1</v>
      </c>
      <c r="P116" t="n">
        <v>0</v>
      </c>
      <c r="Q116" t="n">
        <v>2</v>
      </c>
      <c r="R116" s="2" t="inlineStr">
        <is>
          <t>Buskskvätta
Törnskata</t>
        </is>
      </c>
      <c r="S116">
        <f>HYPERLINK("https://klasma.github.io/Logging_2309/artfynd/A 42165-2018 artfynd.xlsx", "A 42165-2018")</f>
        <v/>
      </c>
      <c r="T116">
        <f>HYPERLINK("https://klasma.github.io/Logging_2309/kartor/A 42165-2018 karta.png", "A 42165-2018")</f>
        <v/>
      </c>
      <c r="V116">
        <f>HYPERLINK("https://klasma.github.io/Logging_2309/klagomål/A 42165-2018 FSC-klagomål.docx", "A 42165-2018")</f>
        <v/>
      </c>
      <c r="W116">
        <f>HYPERLINK("https://klasma.github.io/Logging_2309/klagomålsmail/A 42165-2018 FSC-klagomål mail.docx", "A 42165-2018")</f>
        <v/>
      </c>
      <c r="X116">
        <f>HYPERLINK("https://klasma.github.io/Logging_2309/tillsyn/A 42165-2018 tillsynsbegäran.docx", "A 42165-2018")</f>
        <v/>
      </c>
      <c r="Y116">
        <f>HYPERLINK("https://klasma.github.io/Logging_2309/tillsynsmail/A 42165-2018 tillsynsbegäran mail.docx", "A 42165-2018")</f>
        <v/>
      </c>
      <c r="Z116">
        <f>HYPERLINK("https://klasma.github.io/Logging_2309/fåglar/A 42165-2018 prioriterade fågelarter.docx", "A 42165-2018")</f>
        <v/>
      </c>
    </row>
    <row r="117" ht="15" customHeight="1">
      <c r="A117" t="inlineStr">
        <is>
          <t>A 45382-2018</t>
        </is>
      </c>
      <c r="B117" s="1" t="n">
        <v>43362</v>
      </c>
      <c r="C117" s="1" t="n">
        <v>45358</v>
      </c>
      <c r="D117" t="inlineStr">
        <is>
          <t>JÄMTLANDS LÄN</t>
        </is>
      </c>
      <c r="E117" t="inlineStr">
        <is>
          <t>KROKOM</t>
        </is>
      </c>
      <c r="G117" t="n">
        <v>8.199999999999999</v>
      </c>
      <c r="H117" t="n">
        <v>0</v>
      </c>
      <c r="I117" t="n">
        <v>1</v>
      </c>
      <c r="J117" t="n">
        <v>1</v>
      </c>
      <c r="K117" t="n">
        <v>0</v>
      </c>
      <c r="L117" t="n">
        <v>0</v>
      </c>
      <c r="M117" t="n">
        <v>0</v>
      </c>
      <c r="N117" t="n">
        <v>0</v>
      </c>
      <c r="O117" t="n">
        <v>1</v>
      </c>
      <c r="P117" t="n">
        <v>0</v>
      </c>
      <c r="Q117" t="n">
        <v>2</v>
      </c>
      <c r="R117" s="2" t="inlineStr">
        <is>
          <t>Gammelgransskål
Stuplav</t>
        </is>
      </c>
      <c r="S117">
        <f>HYPERLINK("https://klasma.github.io/Logging_2309/artfynd/A 45382-2018 artfynd.xlsx", "A 45382-2018")</f>
        <v/>
      </c>
      <c r="T117">
        <f>HYPERLINK("https://klasma.github.io/Logging_2309/kartor/A 45382-2018 karta.png", "A 45382-2018")</f>
        <v/>
      </c>
      <c r="V117">
        <f>HYPERLINK("https://klasma.github.io/Logging_2309/klagomål/A 45382-2018 FSC-klagomål.docx", "A 45382-2018")</f>
        <v/>
      </c>
      <c r="W117">
        <f>HYPERLINK("https://klasma.github.io/Logging_2309/klagomålsmail/A 45382-2018 FSC-klagomål mail.docx", "A 45382-2018")</f>
        <v/>
      </c>
      <c r="X117">
        <f>HYPERLINK("https://klasma.github.io/Logging_2309/tillsyn/A 45382-2018 tillsynsbegäran.docx", "A 45382-2018")</f>
        <v/>
      </c>
      <c r="Y117">
        <f>HYPERLINK("https://klasma.github.io/Logging_2309/tillsynsmail/A 45382-2018 tillsynsbegäran mail.docx", "A 45382-2018")</f>
        <v/>
      </c>
    </row>
    <row r="118" ht="15" customHeight="1">
      <c r="A118" t="inlineStr">
        <is>
          <t>A 65468-2018</t>
        </is>
      </c>
      <c r="B118" s="1" t="n">
        <v>43433</v>
      </c>
      <c r="C118" s="1" t="n">
        <v>45358</v>
      </c>
      <c r="D118" t="inlineStr">
        <is>
          <t>JÄMTLANDS LÄN</t>
        </is>
      </c>
      <c r="E118" t="inlineStr">
        <is>
          <t>KROKOM</t>
        </is>
      </c>
      <c r="G118" t="n">
        <v>1.5</v>
      </c>
      <c r="H118" t="n">
        <v>2</v>
      </c>
      <c r="I118" t="n">
        <v>0</v>
      </c>
      <c r="J118" t="n">
        <v>0</v>
      </c>
      <c r="K118" t="n">
        <v>1</v>
      </c>
      <c r="L118" t="n">
        <v>0</v>
      </c>
      <c r="M118" t="n">
        <v>0</v>
      </c>
      <c r="N118" t="n">
        <v>0</v>
      </c>
      <c r="O118" t="n">
        <v>1</v>
      </c>
      <c r="P118" t="n">
        <v>1</v>
      </c>
      <c r="Q118" t="n">
        <v>2</v>
      </c>
      <c r="R118" s="2" t="inlineStr">
        <is>
          <t>Knärot
Blåsippa</t>
        </is>
      </c>
      <c r="S118">
        <f>HYPERLINK("https://klasma.github.io/Logging_2309/artfynd/A 65468-2018 artfynd.xlsx", "A 65468-2018")</f>
        <v/>
      </c>
      <c r="T118">
        <f>HYPERLINK("https://klasma.github.io/Logging_2309/kartor/A 65468-2018 karta.png", "A 65468-2018")</f>
        <v/>
      </c>
      <c r="U118">
        <f>HYPERLINK("https://klasma.github.io/Logging_2309/knärot/A 65468-2018 karta knärot.png", "A 65468-2018")</f>
        <v/>
      </c>
      <c r="V118">
        <f>HYPERLINK("https://klasma.github.io/Logging_2309/klagomål/A 65468-2018 FSC-klagomål.docx", "A 65468-2018")</f>
        <v/>
      </c>
      <c r="W118">
        <f>HYPERLINK("https://klasma.github.io/Logging_2309/klagomålsmail/A 65468-2018 FSC-klagomål mail.docx", "A 65468-2018")</f>
        <v/>
      </c>
      <c r="X118">
        <f>HYPERLINK("https://klasma.github.io/Logging_2309/tillsyn/A 65468-2018 tillsynsbegäran.docx", "A 65468-2018")</f>
        <v/>
      </c>
      <c r="Y118">
        <f>HYPERLINK("https://klasma.github.io/Logging_2309/tillsynsmail/A 65468-2018 tillsynsbegäran mail.docx", "A 65468-2018")</f>
        <v/>
      </c>
    </row>
    <row r="119" ht="15" customHeight="1">
      <c r="A119" t="inlineStr">
        <is>
          <t>A 8909-2019</t>
        </is>
      </c>
      <c r="B119" s="1" t="n">
        <v>43503</v>
      </c>
      <c r="C119" s="1" t="n">
        <v>45358</v>
      </c>
      <c r="D119" t="inlineStr">
        <is>
          <t>JÄMTLANDS LÄN</t>
        </is>
      </c>
      <c r="E119" t="inlineStr">
        <is>
          <t>KROKOM</t>
        </is>
      </c>
      <c r="F119" t="inlineStr">
        <is>
          <t>Övriga Aktiebolag</t>
        </is>
      </c>
      <c r="G119" t="n">
        <v>22.7</v>
      </c>
      <c r="H119" t="n">
        <v>0</v>
      </c>
      <c r="I119" t="n">
        <v>1</v>
      </c>
      <c r="J119" t="n">
        <v>1</v>
      </c>
      <c r="K119" t="n">
        <v>0</v>
      </c>
      <c r="L119" t="n">
        <v>0</v>
      </c>
      <c r="M119" t="n">
        <v>0</v>
      </c>
      <c r="N119" t="n">
        <v>0</v>
      </c>
      <c r="O119" t="n">
        <v>1</v>
      </c>
      <c r="P119" t="n">
        <v>0</v>
      </c>
      <c r="Q119" t="n">
        <v>2</v>
      </c>
      <c r="R119" s="2" t="inlineStr">
        <is>
          <t>Granticka
Luddlav</t>
        </is>
      </c>
      <c r="S119">
        <f>HYPERLINK("https://klasma.github.io/Logging_2309/artfynd/A 8909-2019 artfynd.xlsx", "A 8909-2019")</f>
        <v/>
      </c>
      <c r="T119">
        <f>HYPERLINK("https://klasma.github.io/Logging_2309/kartor/A 8909-2019 karta.png", "A 8909-2019")</f>
        <v/>
      </c>
      <c r="V119">
        <f>HYPERLINK("https://klasma.github.io/Logging_2309/klagomål/A 8909-2019 FSC-klagomål.docx", "A 8909-2019")</f>
        <v/>
      </c>
      <c r="W119">
        <f>HYPERLINK("https://klasma.github.io/Logging_2309/klagomålsmail/A 8909-2019 FSC-klagomål mail.docx", "A 8909-2019")</f>
        <v/>
      </c>
      <c r="X119">
        <f>HYPERLINK("https://klasma.github.io/Logging_2309/tillsyn/A 8909-2019 tillsynsbegäran.docx", "A 8909-2019")</f>
        <v/>
      </c>
      <c r="Y119">
        <f>HYPERLINK("https://klasma.github.io/Logging_2309/tillsynsmail/A 8909-2019 tillsynsbegäran mail.docx", "A 8909-2019")</f>
        <v/>
      </c>
    </row>
    <row r="120" ht="15" customHeight="1">
      <c r="A120" t="inlineStr">
        <is>
          <t>A 25930-2019</t>
        </is>
      </c>
      <c r="B120" s="1" t="n">
        <v>43608</v>
      </c>
      <c r="C120" s="1" t="n">
        <v>45358</v>
      </c>
      <c r="D120" t="inlineStr">
        <is>
          <t>JÄMTLANDS LÄN</t>
        </is>
      </c>
      <c r="E120" t="inlineStr">
        <is>
          <t>KROKOM</t>
        </is>
      </c>
      <c r="F120" t="inlineStr">
        <is>
          <t>Övriga Aktiebolag</t>
        </is>
      </c>
      <c r="G120" t="n">
        <v>34.6</v>
      </c>
      <c r="H120" t="n">
        <v>0</v>
      </c>
      <c r="I120" t="n">
        <v>2</v>
      </c>
      <c r="J120" t="n">
        <v>0</v>
      </c>
      <c r="K120" t="n">
        <v>0</v>
      </c>
      <c r="L120" t="n">
        <v>0</v>
      </c>
      <c r="M120" t="n">
        <v>0</v>
      </c>
      <c r="N120" t="n">
        <v>0</v>
      </c>
      <c r="O120" t="n">
        <v>0</v>
      </c>
      <c r="P120" t="n">
        <v>0</v>
      </c>
      <c r="Q120" t="n">
        <v>2</v>
      </c>
      <c r="R120" s="2" t="inlineStr">
        <is>
          <t>Finbräken
Kransrams</t>
        </is>
      </c>
      <c r="S120">
        <f>HYPERLINK("https://klasma.github.io/Logging_2309/artfynd/A 25930-2019 artfynd.xlsx", "A 25930-2019")</f>
        <v/>
      </c>
      <c r="T120">
        <f>HYPERLINK("https://klasma.github.io/Logging_2309/kartor/A 25930-2019 karta.png", "A 25930-2019")</f>
        <v/>
      </c>
      <c r="V120">
        <f>HYPERLINK("https://klasma.github.io/Logging_2309/klagomål/A 25930-2019 FSC-klagomål.docx", "A 25930-2019")</f>
        <v/>
      </c>
      <c r="W120">
        <f>HYPERLINK("https://klasma.github.io/Logging_2309/klagomålsmail/A 25930-2019 FSC-klagomål mail.docx", "A 25930-2019")</f>
        <v/>
      </c>
      <c r="X120">
        <f>HYPERLINK("https://klasma.github.io/Logging_2309/tillsyn/A 25930-2019 tillsynsbegäran.docx", "A 25930-2019")</f>
        <v/>
      </c>
      <c r="Y120">
        <f>HYPERLINK("https://klasma.github.io/Logging_2309/tillsynsmail/A 25930-2019 tillsynsbegäran mail.docx", "A 25930-2019")</f>
        <v/>
      </c>
    </row>
    <row r="121" ht="15" customHeight="1">
      <c r="A121" t="inlineStr">
        <is>
          <t>A 37877-2019</t>
        </is>
      </c>
      <c r="B121" s="1" t="n">
        <v>43682</v>
      </c>
      <c r="C121" s="1" t="n">
        <v>45358</v>
      </c>
      <c r="D121" t="inlineStr">
        <is>
          <t>JÄMTLANDS LÄN</t>
        </is>
      </c>
      <c r="E121" t="inlineStr">
        <is>
          <t>KROKOM</t>
        </is>
      </c>
      <c r="F121" t="inlineStr">
        <is>
          <t>SCA</t>
        </is>
      </c>
      <c r="G121" t="n">
        <v>4.1</v>
      </c>
      <c r="H121" t="n">
        <v>0</v>
      </c>
      <c r="I121" t="n">
        <v>1</v>
      </c>
      <c r="J121" t="n">
        <v>1</v>
      </c>
      <c r="K121" t="n">
        <v>0</v>
      </c>
      <c r="L121" t="n">
        <v>0</v>
      </c>
      <c r="M121" t="n">
        <v>0</v>
      </c>
      <c r="N121" t="n">
        <v>0</v>
      </c>
      <c r="O121" t="n">
        <v>1</v>
      </c>
      <c r="P121" t="n">
        <v>0</v>
      </c>
      <c r="Q121" t="n">
        <v>2</v>
      </c>
      <c r="R121" s="2" t="inlineStr">
        <is>
          <t>Skrovellav
Luddlav</t>
        </is>
      </c>
      <c r="S121">
        <f>HYPERLINK("https://klasma.github.io/Logging_2309/artfynd/A 37877-2019 artfynd.xlsx", "A 37877-2019")</f>
        <v/>
      </c>
      <c r="T121">
        <f>HYPERLINK("https://klasma.github.io/Logging_2309/kartor/A 37877-2019 karta.png", "A 37877-2019")</f>
        <v/>
      </c>
      <c r="V121">
        <f>HYPERLINK("https://klasma.github.io/Logging_2309/klagomål/A 37877-2019 FSC-klagomål.docx", "A 37877-2019")</f>
        <v/>
      </c>
      <c r="W121">
        <f>HYPERLINK("https://klasma.github.io/Logging_2309/klagomålsmail/A 37877-2019 FSC-klagomål mail.docx", "A 37877-2019")</f>
        <v/>
      </c>
      <c r="X121">
        <f>HYPERLINK("https://klasma.github.io/Logging_2309/tillsyn/A 37877-2019 tillsynsbegäran.docx", "A 37877-2019")</f>
        <v/>
      </c>
      <c r="Y121">
        <f>HYPERLINK("https://klasma.github.io/Logging_2309/tillsynsmail/A 37877-2019 tillsynsbegäran mail.docx", "A 37877-2019")</f>
        <v/>
      </c>
    </row>
    <row r="122" ht="15" customHeight="1">
      <c r="A122" t="inlineStr">
        <is>
          <t>A 67215-2019</t>
        </is>
      </c>
      <c r="B122" s="1" t="n">
        <v>43811</v>
      </c>
      <c r="C122" s="1" t="n">
        <v>45358</v>
      </c>
      <c r="D122" t="inlineStr">
        <is>
          <t>JÄMTLANDS LÄN</t>
        </is>
      </c>
      <c r="E122" t="inlineStr">
        <is>
          <t>KROKOM</t>
        </is>
      </c>
      <c r="G122" t="n">
        <v>6.7</v>
      </c>
      <c r="H122" t="n">
        <v>0</v>
      </c>
      <c r="I122" t="n">
        <v>1</v>
      </c>
      <c r="J122" t="n">
        <v>0</v>
      </c>
      <c r="K122" t="n">
        <v>1</v>
      </c>
      <c r="L122" t="n">
        <v>0</v>
      </c>
      <c r="M122" t="n">
        <v>0</v>
      </c>
      <c r="N122" t="n">
        <v>0</v>
      </c>
      <c r="O122" t="n">
        <v>1</v>
      </c>
      <c r="P122" t="n">
        <v>1</v>
      </c>
      <c r="Q122" t="n">
        <v>2</v>
      </c>
      <c r="R122" s="2" t="inlineStr">
        <is>
          <t>Blåfotad fagerspindling
Svavelriska</t>
        </is>
      </c>
      <c r="S122">
        <f>HYPERLINK("https://klasma.github.io/Logging_2309/artfynd/A 67215-2019 artfynd.xlsx", "A 67215-2019")</f>
        <v/>
      </c>
      <c r="T122">
        <f>HYPERLINK("https://klasma.github.io/Logging_2309/kartor/A 67215-2019 karta.png", "A 67215-2019")</f>
        <v/>
      </c>
      <c r="V122">
        <f>HYPERLINK("https://klasma.github.io/Logging_2309/klagomål/A 67215-2019 FSC-klagomål.docx", "A 67215-2019")</f>
        <v/>
      </c>
      <c r="W122">
        <f>HYPERLINK("https://klasma.github.io/Logging_2309/klagomålsmail/A 67215-2019 FSC-klagomål mail.docx", "A 67215-2019")</f>
        <v/>
      </c>
      <c r="X122">
        <f>HYPERLINK("https://klasma.github.io/Logging_2309/tillsyn/A 67215-2019 tillsynsbegäran.docx", "A 67215-2019")</f>
        <v/>
      </c>
      <c r="Y122">
        <f>HYPERLINK("https://klasma.github.io/Logging_2309/tillsynsmail/A 67215-2019 tillsynsbegäran mail.docx", "A 67215-2019")</f>
        <v/>
      </c>
    </row>
    <row r="123" ht="15" customHeight="1">
      <c r="A123" t="inlineStr">
        <is>
          <t>A 68075-2019</t>
        </is>
      </c>
      <c r="B123" s="1" t="n">
        <v>43816</v>
      </c>
      <c r="C123" s="1" t="n">
        <v>45358</v>
      </c>
      <c r="D123" t="inlineStr">
        <is>
          <t>JÄMTLANDS LÄN</t>
        </is>
      </c>
      <c r="E123" t="inlineStr">
        <is>
          <t>KROKOM</t>
        </is>
      </c>
      <c r="F123" t="inlineStr">
        <is>
          <t>SCA</t>
        </is>
      </c>
      <c r="G123" t="n">
        <v>11.3</v>
      </c>
      <c r="H123" t="n">
        <v>0</v>
      </c>
      <c r="I123" t="n">
        <v>0</v>
      </c>
      <c r="J123" t="n">
        <v>2</v>
      </c>
      <c r="K123" t="n">
        <v>0</v>
      </c>
      <c r="L123" t="n">
        <v>0</v>
      </c>
      <c r="M123" t="n">
        <v>0</v>
      </c>
      <c r="N123" t="n">
        <v>0</v>
      </c>
      <c r="O123" t="n">
        <v>2</v>
      </c>
      <c r="P123" t="n">
        <v>0</v>
      </c>
      <c r="Q123" t="n">
        <v>2</v>
      </c>
      <c r="R123" s="2" t="inlineStr">
        <is>
          <t>Garnlav
Lunglav</t>
        </is>
      </c>
      <c r="S123">
        <f>HYPERLINK("https://klasma.github.io/Logging_2309/artfynd/A 68075-2019 artfynd.xlsx", "A 68075-2019")</f>
        <v/>
      </c>
      <c r="T123">
        <f>HYPERLINK("https://klasma.github.io/Logging_2309/kartor/A 68075-2019 karta.png", "A 68075-2019")</f>
        <v/>
      </c>
      <c r="V123">
        <f>HYPERLINK("https://klasma.github.io/Logging_2309/klagomål/A 68075-2019 FSC-klagomål.docx", "A 68075-2019")</f>
        <v/>
      </c>
      <c r="W123">
        <f>HYPERLINK("https://klasma.github.io/Logging_2309/klagomålsmail/A 68075-2019 FSC-klagomål mail.docx", "A 68075-2019")</f>
        <v/>
      </c>
      <c r="X123">
        <f>HYPERLINK("https://klasma.github.io/Logging_2309/tillsyn/A 68075-2019 tillsynsbegäran.docx", "A 68075-2019")</f>
        <v/>
      </c>
      <c r="Y123">
        <f>HYPERLINK("https://klasma.github.io/Logging_2309/tillsynsmail/A 68075-2019 tillsynsbegäran mail.docx", "A 68075-2019")</f>
        <v/>
      </c>
    </row>
    <row r="124" ht="15" customHeight="1">
      <c r="A124" t="inlineStr">
        <is>
          <t>A 54387-2020</t>
        </is>
      </c>
      <c r="B124" s="1" t="n">
        <v>44123</v>
      </c>
      <c r="C124" s="1" t="n">
        <v>45358</v>
      </c>
      <c r="D124" t="inlineStr">
        <is>
          <t>JÄMTLANDS LÄN</t>
        </is>
      </c>
      <c r="E124" t="inlineStr">
        <is>
          <t>KROKOM</t>
        </is>
      </c>
      <c r="G124" t="n">
        <v>4.3</v>
      </c>
      <c r="H124" t="n">
        <v>1</v>
      </c>
      <c r="I124" t="n">
        <v>1</v>
      </c>
      <c r="J124" t="n">
        <v>0</v>
      </c>
      <c r="K124" t="n">
        <v>0</v>
      </c>
      <c r="L124" t="n">
        <v>1</v>
      </c>
      <c r="M124" t="n">
        <v>0</v>
      </c>
      <c r="N124" t="n">
        <v>0</v>
      </c>
      <c r="O124" t="n">
        <v>1</v>
      </c>
      <c r="P124" t="n">
        <v>1</v>
      </c>
      <c r="Q124" t="n">
        <v>2</v>
      </c>
      <c r="R124" s="2" t="inlineStr">
        <is>
          <t>Violett guldvinge
Luddlav</t>
        </is>
      </c>
      <c r="S124">
        <f>HYPERLINK("https://klasma.github.io/Logging_2309/artfynd/A 54387-2020 artfynd.xlsx", "A 54387-2020")</f>
        <v/>
      </c>
      <c r="T124">
        <f>HYPERLINK("https://klasma.github.io/Logging_2309/kartor/A 54387-2020 karta.png", "A 54387-2020")</f>
        <v/>
      </c>
      <c r="V124">
        <f>HYPERLINK("https://klasma.github.io/Logging_2309/klagomål/A 54387-2020 FSC-klagomål.docx", "A 54387-2020")</f>
        <v/>
      </c>
      <c r="W124">
        <f>HYPERLINK("https://klasma.github.io/Logging_2309/klagomålsmail/A 54387-2020 FSC-klagomål mail.docx", "A 54387-2020")</f>
        <v/>
      </c>
      <c r="X124">
        <f>HYPERLINK("https://klasma.github.io/Logging_2309/tillsyn/A 54387-2020 tillsynsbegäran.docx", "A 54387-2020")</f>
        <v/>
      </c>
      <c r="Y124">
        <f>HYPERLINK("https://klasma.github.io/Logging_2309/tillsynsmail/A 54387-2020 tillsynsbegäran mail.docx", "A 54387-2020")</f>
        <v/>
      </c>
    </row>
    <row r="125" ht="15" customHeight="1">
      <c r="A125" t="inlineStr">
        <is>
          <t>A 62641-2020</t>
        </is>
      </c>
      <c r="B125" s="1" t="n">
        <v>44161</v>
      </c>
      <c r="C125" s="1" t="n">
        <v>45358</v>
      </c>
      <c r="D125" t="inlineStr">
        <is>
          <t>JÄMTLANDS LÄN</t>
        </is>
      </c>
      <c r="E125" t="inlineStr">
        <is>
          <t>KROKOM</t>
        </is>
      </c>
      <c r="G125" t="n">
        <v>5.3</v>
      </c>
      <c r="H125" t="n">
        <v>1</v>
      </c>
      <c r="I125" t="n">
        <v>1</v>
      </c>
      <c r="J125" t="n">
        <v>0</v>
      </c>
      <c r="K125" t="n">
        <v>0</v>
      </c>
      <c r="L125" t="n">
        <v>0</v>
      </c>
      <c r="M125" t="n">
        <v>0</v>
      </c>
      <c r="N125" t="n">
        <v>0</v>
      </c>
      <c r="O125" t="n">
        <v>0</v>
      </c>
      <c r="P125" t="n">
        <v>0</v>
      </c>
      <c r="Q125" t="n">
        <v>2</v>
      </c>
      <c r="R125" s="2" t="inlineStr">
        <is>
          <t>Svavelriska
Blåsippa</t>
        </is>
      </c>
      <c r="S125">
        <f>HYPERLINK("https://klasma.github.io/Logging_2309/artfynd/A 62641-2020 artfynd.xlsx", "A 62641-2020")</f>
        <v/>
      </c>
      <c r="T125">
        <f>HYPERLINK("https://klasma.github.io/Logging_2309/kartor/A 62641-2020 karta.png", "A 62641-2020")</f>
        <v/>
      </c>
      <c r="V125">
        <f>HYPERLINK("https://klasma.github.io/Logging_2309/klagomål/A 62641-2020 FSC-klagomål.docx", "A 62641-2020")</f>
        <v/>
      </c>
      <c r="W125">
        <f>HYPERLINK("https://klasma.github.io/Logging_2309/klagomålsmail/A 62641-2020 FSC-klagomål mail.docx", "A 62641-2020")</f>
        <v/>
      </c>
      <c r="X125">
        <f>HYPERLINK("https://klasma.github.io/Logging_2309/tillsyn/A 62641-2020 tillsynsbegäran.docx", "A 62641-2020")</f>
        <v/>
      </c>
      <c r="Y125">
        <f>HYPERLINK("https://klasma.github.io/Logging_2309/tillsynsmail/A 62641-2020 tillsynsbegäran mail.docx", "A 62641-2020")</f>
        <v/>
      </c>
    </row>
    <row r="126" ht="15" customHeight="1">
      <c r="A126" t="inlineStr">
        <is>
          <t>A 1698-2021</t>
        </is>
      </c>
      <c r="B126" s="1" t="n">
        <v>44209</v>
      </c>
      <c r="C126" s="1" t="n">
        <v>45358</v>
      </c>
      <c r="D126" t="inlineStr">
        <is>
          <t>JÄMTLANDS LÄN</t>
        </is>
      </c>
      <c r="E126" t="inlineStr">
        <is>
          <t>KROKOM</t>
        </is>
      </c>
      <c r="G126" t="n">
        <v>21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HYPERLINK("https://klasma.github.io/Logging_2309/artfynd/A 1698-2021 artfynd.xlsx", "A 1698-2021")</f>
        <v/>
      </c>
      <c r="T126">
        <f>HYPERLINK("https://klasma.github.io/Logging_2309/kartor/A 1698-2021 karta.png", "A 1698-2021")</f>
        <v/>
      </c>
      <c r="V126">
        <f>HYPERLINK("https://klasma.github.io/Logging_2309/klagomål/A 1698-2021 FSC-klagomål.docx", "A 1698-2021")</f>
        <v/>
      </c>
      <c r="W126">
        <f>HYPERLINK("https://klasma.github.io/Logging_2309/klagomålsmail/A 1698-2021 FSC-klagomål mail.docx", "A 1698-2021")</f>
        <v/>
      </c>
      <c r="X126">
        <f>HYPERLINK("https://klasma.github.io/Logging_2309/tillsyn/A 1698-2021 tillsynsbegäran.docx", "A 1698-2021")</f>
        <v/>
      </c>
      <c r="Y126">
        <f>HYPERLINK("https://klasma.github.io/Logging_2309/tillsynsmail/A 1698-2021 tillsynsbegäran mail.docx", "A 1698-2021")</f>
        <v/>
      </c>
      <c r="Z126">
        <f>HYPERLINK("https://klasma.github.io/Logging_2309/fåglar/A 1698-2021 prioriterade fågelarter.docx", "A 1698-2021")</f>
        <v/>
      </c>
    </row>
    <row r="127" ht="15" customHeight="1">
      <c r="A127" t="inlineStr">
        <is>
          <t>A 14589-2021</t>
        </is>
      </c>
      <c r="B127" s="1" t="n">
        <v>44279</v>
      </c>
      <c r="C127" s="1" t="n">
        <v>45358</v>
      </c>
      <c r="D127" t="inlineStr">
        <is>
          <t>JÄMTLANDS LÄN</t>
        </is>
      </c>
      <c r="E127" t="inlineStr">
        <is>
          <t>KROKOM</t>
        </is>
      </c>
      <c r="G127" t="n">
        <v>8.800000000000001</v>
      </c>
      <c r="H127" t="n">
        <v>2</v>
      </c>
      <c r="I127" t="n">
        <v>0</v>
      </c>
      <c r="J127" t="n">
        <v>1</v>
      </c>
      <c r="K127" t="n">
        <v>0</v>
      </c>
      <c r="L127" t="n">
        <v>0</v>
      </c>
      <c r="M127" t="n">
        <v>0</v>
      </c>
      <c r="N127" t="n">
        <v>0</v>
      </c>
      <c r="O127" t="n">
        <v>1</v>
      </c>
      <c r="P127" t="n">
        <v>0</v>
      </c>
      <c r="Q127" t="n">
        <v>2</v>
      </c>
      <c r="R127" s="2" t="inlineStr">
        <is>
          <t>Utter
Fläcknycklar</t>
        </is>
      </c>
      <c r="S127">
        <f>HYPERLINK("https://klasma.github.io/Logging_2309/artfynd/A 14589-2021 artfynd.xlsx", "A 14589-2021")</f>
        <v/>
      </c>
      <c r="T127">
        <f>HYPERLINK("https://klasma.github.io/Logging_2309/kartor/A 14589-2021 karta.png", "A 14589-2021")</f>
        <v/>
      </c>
      <c r="V127">
        <f>HYPERLINK("https://klasma.github.io/Logging_2309/klagomål/A 14589-2021 FSC-klagomål.docx", "A 14589-2021")</f>
        <v/>
      </c>
      <c r="W127">
        <f>HYPERLINK("https://klasma.github.io/Logging_2309/klagomålsmail/A 14589-2021 FSC-klagomål mail.docx", "A 14589-2021")</f>
        <v/>
      </c>
      <c r="X127">
        <f>HYPERLINK("https://klasma.github.io/Logging_2309/tillsyn/A 14589-2021 tillsynsbegäran.docx", "A 14589-2021")</f>
        <v/>
      </c>
      <c r="Y127">
        <f>HYPERLINK("https://klasma.github.io/Logging_2309/tillsynsmail/A 14589-2021 tillsynsbegäran mail.docx", "A 14589-2021")</f>
        <v/>
      </c>
    </row>
    <row r="128" ht="15" customHeight="1">
      <c r="A128" t="inlineStr">
        <is>
          <t>A 20981-2021</t>
        </is>
      </c>
      <c r="B128" s="1" t="n">
        <v>44316</v>
      </c>
      <c r="C128" s="1" t="n">
        <v>45358</v>
      </c>
      <c r="D128" t="inlineStr">
        <is>
          <t>JÄMTLANDS LÄN</t>
        </is>
      </c>
      <c r="E128" t="inlineStr">
        <is>
          <t>KROKOM</t>
        </is>
      </c>
      <c r="G128" t="n">
        <v>27.4</v>
      </c>
      <c r="H128" t="n">
        <v>0</v>
      </c>
      <c r="I128" t="n">
        <v>1</v>
      </c>
      <c r="J128" t="n">
        <v>1</v>
      </c>
      <c r="K128" t="n">
        <v>0</v>
      </c>
      <c r="L128" t="n">
        <v>0</v>
      </c>
      <c r="M128" t="n">
        <v>0</v>
      </c>
      <c r="N128" t="n">
        <v>0</v>
      </c>
      <c r="O128" t="n">
        <v>1</v>
      </c>
      <c r="P128" t="n">
        <v>0</v>
      </c>
      <c r="Q128" t="n">
        <v>2</v>
      </c>
      <c r="R128" s="2" t="inlineStr">
        <is>
          <t>Harticka
Trådticka</t>
        </is>
      </c>
      <c r="S128">
        <f>HYPERLINK("https://klasma.github.io/Logging_2309/artfynd/A 20981-2021 artfynd.xlsx", "A 20981-2021")</f>
        <v/>
      </c>
      <c r="T128">
        <f>HYPERLINK("https://klasma.github.io/Logging_2309/kartor/A 20981-2021 karta.png", "A 20981-2021")</f>
        <v/>
      </c>
      <c r="V128">
        <f>HYPERLINK("https://klasma.github.io/Logging_2309/klagomål/A 20981-2021 FSC-klagomål.docx", "A 20981-2021")</f>
        <v/>
      </c>
      <c r="W128">
        <f>HYPERLINK("https://klasma.github.io/Logging_2309/klagomålsmail/A 20981-2021 FSC-klagomål mail.docx", "A 20981-2021")</f>
        <v/>
      </c>
      <c r="X128">
        <f>HYPERLINK("https://klasma.github.io/Logging_2309/tillsyn/A 20981-2021 tillsynsbegäran.docx", "A 20981-2021")</f>
        <v/>
      </c>
      <c r="Y128">
        <f>HYPERLINK("https://klasma.github.io/Logging_2309/tillsynsmail/A 20981-2021 tillsynsbegäran mail.docx", "A 20981-2021")</f>
        <v/>
      </c>
    </row>
    <row r="129" ht="15" customHeight="1">
      <c r="A129" t="inlineStr">
        <is>
          <t>A 28151-2021</t>
        </is>
      </c>
      <c r="B129" s="1" t="n">
        <v>44355</v>
      </c>
      <c r="C129" s="1" t="n">
        <v>45358</v>
      </c>
      <c r="D129" t="inlineStr">
        <is>
          <t>JÄMTLANDS LÄN</t>
        </is>
      </c>
      <c r="E129" t="inlineStr">
        <is>
          <t>KROKOM</t>
        </is>
      </c>
      <c r="G129" t="n">
        <v>19.6</v>
      </c>
      <c r="H129" t="n">
        <v>0</v>
      </c>
      <c r="I129" t="n">
        <v>0</v>
      </c>
      <c r="J129" t="n">
        <v>2</v>
      </c>
      <c r="K129" t="n">
        <v>0</v>
      </c>
      <c r="L129" t="n">
        <v>0</v>
      </c>
      <c r="M129" t="n">
        <v>0</v>
      </c>
      <c r="N129" t="n">
        <v>0</v>
      </c>
      <c r="O129" t="n">
        <v>2</v>
      </c>
      <c r="P129" t="n">
        <v>0</v>
      </c>
      <c r="Q129" t="n">
        <v>2</v>
      </c>
      <c r="R129" s="2" t="inlineStr">
        <is>
          <t>Granticka
Lunglav</t>
        </is>
      </c>
      <c r="S129">
        <f>HYPERLINK("https://klasma.github.io/Logging_2309/artfynd/A 28151-2021 artfynd.xlsx", "A 28151-2021")</f>
        <v/>
      </c>
      <c r="T129">
        <f>HYPERLINK("https://klasma.github.io/Logging_2309/kartor/A 28151-2021 karta.png", "A 28151-2021")</f>
        <v/>
      </c>
      <c r="V129">
        <f>HYPERLINK("https://klasma.github.io/Logging_2309/klagomål/A 28151-2021 FSC-klagomål.docx", "A 28151-2021")</f>
        <v/>
      </c>
      <c r="W129">
        <f>HYPERLINK("https://klasma.github.io/Logging_2309/klagomålsmail/A 28151-2021 FSC-klagomål mail.docx", "A 28151-2021")</f>
        <v/>
      </c>
      <c r="X129">
        <f>HYPERLINK("https://klasma.github.io/Logging_2309/tillsyn/A 28151-2021 tillsynsbegäran.docx", "A 28151-2021")</f>
        <v/>
      </c>
      <c r="Y129">
        <f>HYPERLINK("https://klasma.github.io/Logging_2309/tillsynsmail/A 28151-2021 tillsynsbegäran mail.docx", "A 28151-2021")</f>
        <v/>
      </c>
    </row>
    <row r="130" ht="15" customHeight="1">
      <c r="A130" t="inlineStr">
        <is>
          <t>A 33874-2021</t>
        </is>
      </c>
      <c r="B130" s="1" t="n">
        <v>44378</v>
      </c>
      <c r="C130" s="1" t="n">
        <v>45358</v>
      </c>
      <c r="D130" t="inlineStr">
        <is>
          <t>JÄMTLANDS LÄN</t>
        </is>
      </c>
      <c r="E130" t="inlineStr">
        <is>
          <t>KROKOM</t>
        </is>
      </c>
      <c r="G130" t="n">
        <v>5.9</v>
      </c>
      <c r="H130" t="n">
        <v>1</v>
      </c>
      <c r="I130" t="n">
        <v>2</v>
      </c>
      <c r="J130" t="n">
        <v>0</v>
      </c>
      <c r="K130" t="n">
        <v>0</v>
      </c>
      <c r="L130" t="n">
        <v>0</v>
      </c>
      <c r="M130" t="n">
        <v>0</v>
      </c>
      <c r="N130" t="n">
        <v>0</v>
      </c>
      <c r="O130" t="n">
        <v>0</v>
      </c>
      <c r="P130" t="n">
        <v>0</v>
      </c>
      <c r="Q130" t="n">
        <v>2</v>
      </c>
      <c r="R130" s="2" t="inlineStr">
        <is>
          <t>Kransrams
Tvåblad</t>
        </is>
      </c>
      <c r="S130">
        <f>HYPERLINK("https://klasma.github.io/Logging_2309/artfynd/A 33874-2021 artfynd.xlsx", "A 33874-2021")</f>
        <v/>
      </c>
      <c r="T130">
        <f>HYPERLINK("https://klasma.github.io/Logging_2309/kartor/A 33874-2021 karta.png", "A 33874-2021")</f>
        <v/>
      </c>
      <c r="V130">
        <f>HYPERLINK("https://klasma.github.io/Logging_2309/klagomål/A 33874-2021 FSC-klagomål.docx", "A 33874-2021")</f>
        <v/>
      </c>
      <c r="W130">
        <f>HYPERLINK("https://klasma.github.io/Logging_2309/klagomålsmail/A 33874-2021 FSC-klagomål mail.docx", "A 33874-2021")</f>
        <v/>
      </c>
      <c r="X130">
        <f>HYPERLINK("https://klasma.github.io/Logging_2309/tillsyn/A 33874-2021 tillsynsbegäran.docx", "A 33874-2021")</f>
        <v/>
      </c>
      <c r="Y130">
        <f>HYPERLINK("https://klasma.github.io/Logging_2309/tillsynsmail/A 33874-2021 tillsynsbegäran mail.docx", "A 33874-2021")</f>
        <v/>
      </c>
    </row>
    <row r="131" ht="15" customHeight="1">
      <c r="A131" t="inlineStr">
        <is>
          <t>A 67700-2021</t>
        </is>
      </c>
      <c r="B131" s="1" t="n">
        <v>44524</v>
      </c>
      <c r="C131" s="1" t="n">
        <v>45358</v>
      </c>
      <c r="D131" t="inlineStr">
        <is>
          <t>JÄMTLANDS LÄN</t>
        </is>
      </c>
      <c r="E131" t="inlineStr">
        <is>
          <t>KROKOM</t>
        </is>
      </c>
      <c r="F131" t="inlineStr">
        <is>
          <t>SCA</t>
        </is>
      </c>
      <c r="G131" t="n">
        <v>1.3</v>
      </c>
      <c r="H131" t="n">
        <v>1</v>
      </c>
      <c r="I131" t="n">
        <v>0</v>
      </c>
      <c r="J131" t="n">
        <v>1</v>
      </c>
      <c r="K131" t="n">
        <v>0</v>
      </c>
      <c r="L131" t="n">
        <v>0</v>
      </c>
      <c r="M131" t="n">
        <v>0</v>
      </c>
      <c r="N131" t="n">
        <v>0</v>
      </c>
      <c r="O131" t="n">
        <v>1</v>
      </c>
      <c r="P131" t="n">
        <v>0</v>
      </c>
      <c r="Q131" t="n">
        <v>2</v>
      </c>
      <c r="R131" s="2" t="inlineStr">
        <is>
          <t>Lunglav
Blåsippa</t>
        </is>
      </c>
      <c r="S131">
        <f>HYPERLINK("https://klasma.github.io/Logging_2309/artfynd/A 67700-2021 artfynd.xlsx", "A 67700-2021")</f>
        <v/>
      </c>
      <c r="T131">
        <f>HYPERLINK("https://klasma.github.io/Logging_2309/kartor/A 67700-2021 karta.png", "A 67700-2021")</f>
        <v/>
      </c>
      <c r="V131">
        <f>HYPERLINK("https://klasma.github.io/Logging_2309/klagomål/A 67700-2021 FSC-klagomål.docx", "A 67700-2021")</f>
        <v/>
      </c>
      <c r="W131">
        <f>HYPERLINK("https://klasma.github.io/Logging_2309/klagomålsmail/A 67700-2021 FSC-klagomål mail.docx", "A 67700-2021")</f>
        <v/>
      </c>
      <c r="X131">
        <f>HYPERLINK("https://klasma.github.io/Logging_2309/tillsyn/A 67700-2021 tillsynsbegäran.docx", "A 67700-2021")</f>
        <v/>
      </c>
      <c r="Y131">
        <f>HYPERLINK("https://klasma.github.io/Logging_2309/tillsynsmail/A 67700-2021 tillsynsbegäran mail.docx", "A 67700-2021")</f>
        <v/>
      </c>
    </row>
    <row r="132" ht="15" customHeight="1">
      <c r="A132" t="inlineStr">
        <is>
          <t>A 71571-2021</t>
        </is>
      </c>
      <c r="B132" s="1" t="n">
        <v>44540</v>
      </c>
      <c r="C132" s="1" t="n">
        <v>45358</v>
      </c>
      <c r="D132" t="inlineStr">
        <is>
          <t>JÄMTLANDS LÄN</t>
        </is>
      </c>
      <c r="E132" t="inlineStr">
        <is>
          <t>KROKOM</t>
        </is>
      </c>
      <c r="G132" t="n">
        <v>0.7</v>
      </c>
      <c r="H132" t="n">
        <v>0</v>
      </c>
      <c r="I132" t="n">
        <v>1</v>
      </c>
      <c r="J132" t="n">
        <v>1</v>
      </c>
      <c r="K132" t="n">
        <v>0</v>
      </c>
      <c r="L132" t="n">
        <v>0</v>
      </c>
      <c r="M132" t="n">
        <v>0</v>
      </c>
      <c r="N132" t="n">
        <v>0</v>
      </c>
      <c r="O132" t="n">
        <v>1</v>
      </c>
      <c r="P132" t="n">
        <v>0</v>
      </c>
      <c r="Q132" t="n">
        <v>2</v>
      </c>
      <c r="R132" s="2" t="inlineStr">
        <is>
          <t>Skrovellav
Kryddspindling</t>
        </is>
      </c>
      <c r="S132">
        <f>HYPERLINK("https://klasma.github.io/Logging_2309/artfynd/A 71571-2021 artfynd.xlsx", "A 71571-2021")</f>
        <v/>
      </c>
      <c r="T132">
        <f>HYPERLINK("https://klasma.github.io/Logging_2309/kartor/A 71571-2021 karta.png", "A 71571-2021")</f>
        <v/>
      </c>
      <c r="V132">
        <f>HYPERLINK("https://klasma.github.io/Logging_2309/klagomål/A 71571-2021 FSC-klagomål.docx", "A 71571-2021")</f>
        <v/>
      </c>
      <c r="W132">
        <f>HYPERLINK("https://klasma.github.io/Logging_2309/klagomålsmail/A 71571-2021 FSC-klagomål mail.docx", "A 71571-2021")</f>
        <v/>
      </c>
      <c r="X132">
        <f>HYPERLINK("https://klasma.github.io/Logging_2309/tillsyn/A 71571-2021 tillsynsbegäran.docx", "A 71571-2021")</f>
        <v/>
      </c>
      <c r="Y132">
        <f>HYPERLINK("https://klasma.github.io/Logging_2309/tillsynsmail/A 71571-2021 tillsynsbegäran mail.docx", "A 71571-2021")</f>
        <v/>
      </c>
    </row>
    <row r="133" ht="15" customHeight="1">
      <c r="A133" t="inlineStr">
        <is>
          <t>A 30060-2022</t>
        </is>
      </c>
      <c r="B133" s="1" t="n">
        <v>44757</v>
      </c>
      <c r="C133" s="1" t="n">
        <v>45358</v>
      </c>
      <c r="D133" t="inlineStr">
        <is>
          <t>JÄMTLANDS LÄN</t>
        </is>
      </c>
      <c r="E133" t="inlineStr">
        <is>
          <t>KROKOM</t>
        </is>
      </c>
      <c r="G133" t="n">
        <v>0.6</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HYPERLINK("https://klasma.github.io/Logging_2309/artfynd/A 30060-2022 artfynd.xlsx", "A 30060-2022")</f>
        <v/>
      </c>
      <c r="T133">
        <f>HYPERLINK("https://klasma.github.io/Logging_2309/kartor/A 30060-2022 karta.png", "A 30060-2022")</f>
        <v/>
      </c>
      <c r="V133">
        <f>HYPERLINK("https://klasma.github.io/Logging_2309/klagomål/A 30060-2022 FSC-klagomål.docx", "A 30060-2022")</f>
        <v/>
      </c>
      <c r="W133">
        <f>HYPERLINK("https://klasma.github.io/Logging_2309/klagomålsmail/A 30060-2022 FSC-klagomål mail.docx", "A 30060-2022")</f>
        <v/>
      </c>
      <c r="X133">
        <f>HYPERLINK("https://klasma.github.io/Logging_2309/tillsyn/A 30060-2022 tillsynsbegäran.docx", "A 30060-2022")</f>
        <v/>
      </c>
      <c r="Y133">
        <f>HYPERLINK("https://klasma.github.io/Logging_2309/tillsynsmail/A 30060-2022 tillsynsbegäran mail.docx", "A 30060-2022")</f>
        <v/>
      </c>
      <c r="Z133">
        <f>HYPERLINK("https://klasma.github.io/Logging_2309/fåglar/A 30060-2022 prioriterade fågelarter.docx", "A 30060-2022")</f>
        <v/>
      </c>
    </row>
    <row r="134" ht="15" customHeight="1">
      <c r="A134" t="inlineStr">
        <is>
          <t>A 54189-2022</t>
        </is>
      </c>
      <c r="B134" s="1" t="n">
        <v>44879</v>
      </c>
      <c r="C134" s="1" t="n">
        <v>45358</v>
      </c>
      <c r="D134" t="inlineStr">
        <is>
          <t>JÄMTLANDS LÄN</t>
        </is>
      </c>
      <c r="E134" t="inlineStr">
        <is>
          <t>KROKOM</t>
        </is>
      </c>
      <c r="G134" t="n">
        <v>24.1</v>
      </c>
      <c r="H134" t="n">
        <v>0</v>
      </c>
      <c r="I134" t="n">
        <v>0</v>
      </c>
      <c r="J134" t="n">
        <v>1</v>
      </c>
      <c r="K134" t="n">
        <v>1</v>
      </c>
      <c r="L134" t="n">
        <v>0</v>
      </c>
      <c r="M134" t="n">
        <v>0</v>
      </c>
      <c r="N134" t="n">
        <v>0</v>
      </c>
      <c r="O134" t="n">
        <v>2</v>
      </c>
      <c r="P134" t="n">
        <v>1</v>
      </c>
      <c r="Q134" t="n">
        <v>2</v>
      </c>
      <c r="R134" s="2" t="inlineStr">
        <is>
          <t>Ulltickeporing
Ullticka</t>
        </is>
      </c>
      <c r="S134">
        <f>HYPERLINK("https://klasma.github.io/Logging_2309/artfynd/A 54189-2022 artfynd.xlsx", "A 54189-2022")</f>
        <v/>
      </c>
      <c r="T134">
        <f>HYPERLINK("https://klasma.github.io/Logging_2309/kartor/A 54189-2022 karta.png", "A 54189-2022")</f>
        <v/>
      </c>
      <c r="V134">
        <f>HYPERLINK("https://klasma.github.io/Logging_2309/klagomål/A 54189-2022 FSC-klagomål.docx", "A 54189-2022")</f>
        <v/>
      </c>
      <c r="W134">
        <f>HYPERLINK("https://klasma.github.io/Logging_2309/klagomålsmail/A 54189-2022 FSC-klagomål mail.docx", "A 54189-2022")</f>
        <v/>
      </c>
      <c r="X134">
        <f>HYPERLINK("https://klasma.github.io/Logging_2309/tillsyn/A 54189-2022 tillsynsbegäran.docx", "A 54189-2022")</f>
        <v/>
      </c>
      <c r="Y134">
        <f>HYPERLINK("https://klasma.github.io/Logging_2309/tillsynsmail/A 54189-2022 tillsynsbegäran mail.docx", "A 54189-2022")</f>
        <v/>
      </c>
    </row>
    <row r="135" ht="15" customHeight="1">
      <c r="A135" t="inlineStr">
        <is>
          <t>A 52021-2023</t>
        </is>
      </c>
      <c r="B135" s="1" t="n">
        <v>45223</v>
      </c>
      <c r="C135" s="1" t="n">
        <v>45358</v>
      </c>
      <c r="D135" t="inlineStr">
        <is>
          <t>JÄMTLANDS LÄN</t>
        </is>
      </c>
      <c r="E135" t="inlineStr">
        <is>
          <t>KROKOM</t>
        </is>
      </c>
      <c r="F135" t="inlineStr">
        <is>
          <t>Övriga Aktiebolag</t>
        </is>
      </c>
      <c r="G135" t="n">
        <v>1.5</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HYPERLINK("https://klasma.github.io/Logging_2309/artfynd/A 52021-2023 artfynd.xlsx", "A 52021-2023")</f>
        <v/>
      </c>
      <c r="T135">
        <f>HYPERLINK("https://klasma.github.io/Logging_2309/kartor/A 52021-2023 karta.png", "A 52021-2023")</f>
        <v/>
      </c>
      <c r="V135">
        <f>HYPERLINK("https://klasma.github.io/Logging_2309/klagomål/A 52021-2023 FSC-klagomål.docx", "A 52021-2023")</f>
        <v/>
      </c>
      <c r="W135">
        <f>HYPERLINK("https://klasma.github.io/Logging_2309/klagomålsmail/A 52021-2023 FSC-klagomål mail.docx", "A 52021-2023")</f>
        <v/>
      </c>
      <c r="X135">
        <f>HYPERLINK("https://klasma.github.io/Logging_2309/tillsyn/A 52021-2023 tillsynsbegäran.docx", "A 52021-2023")</f>
        <v/>
      </c>
      <c r="Y135">
        <f>HYPERLINK("https://klasma.github.io/Logging_2309/tillsynsmail/A 52021-2023 tillsynsbegäran mail.docx", "A 52021-2023")</f>
        <v/>
      </c>
      <c r="Z135">
        <f>HYPERLINK("https://klasma.github.io/Logging_2309/fåglar/A 52021-2023 prioriterade fågelarter.docx", "A 52021-2023")</f>
        <v/>
      </c>
    </row>
    <row r="136" ht="15" customHeight="1">
      <c r="A136" t="inlineStr">
        <is>
          <t>A 56476-2023</t>
        </is>
      </c>
      <c r="B136" s="1" t="n">
        <v>45243</v>
      </c>
      <c r="C136" s="1" t="n">
        <v>45358</v>
      </c>
      <c r="D136" t="inlineStr">
        <is>
          <t>JÄMTLANDS LÄN</t>
        </is>
      </c>
      <c r="E136" t="inlineStr">
        <is>
          <t>KROKOM</t>
        </is>
      </c>
      <c r="G136" t="n">
        <v>19.8</v>
      </c>
      <c r="H136" t="n">
        <v>0</v>
      </c>
      <c r="I136" t="n">
        <v>0</v>
      </c>
      <c r="J136" t="n">
        <v>2</v>
      </c>
      <c r="K136" t="n">
        <v>0</v>
      </c>
      <c r="L136" t="n">
        <v>0</v>
      </c>
      <c r="M136" t="n">
        <v>0</v>
      </c>
      <c r="N136" t="n">
        <v>0</v>
      </c>
      <c r="O136" t="n">
        <v>2</v>
      </c>
      <c r="P136" t="n">
        <v>0</v>
      </c>
      <c r="Q136" t="n">
        <v>2</v>
      </c>
      <c r="R136" s="2" t="inlineStr">
        <is>
          <t>Gammelgransskål
Gränsticka</t>
        </is>
      </c>
      <c r="S136">
        <f>HYPERLINK("https://klasma.github.io/Logging_2309/artfynd/A 56476-2023 artfynd.xlsx", "A 56476-2023")</f>
        <v/>
      </c>
      <c r="T136">
        <f>HYPERLINK("https://klasma.github.io/Logging_2309/kartor/A 56476-2023 karta.png", "A 56476-2023")</f>
        <v/>
      </c>
      <c r="V136">
        <f>HYPERLINK("https://klasma.github.io/Logging_2309/klagomål/A 56476-2023 FSC-klagomål.docx", "A 56476-2023")</f>
        <v/>
      </c>
      <c r="W136">
        <f>HYPERLINK("https://klasma.github.io/Logging_2309/klagomålsmail/A 56476-2023 FSC-klagomål mail.docx", "A 56476-2023")</f>
        <v/>
      </c>
      <c r="X136">
        <f>HYPERLINK("https://klasma.github.io/Logging_2309/tillsyn/A 56476-2023 tillsynsbegäran.docx", "A 56476-2023")</f>
        <v/>
      </c>
      <c r="Y136">
        <f>HYPERLINK("https://klasma.github.io/Logging_2309/tillsynsmail/A 56476-2023 tillsynsbegäran mail.docx", "A 56476-2023")</f>
        <v/>
      </c>
    </row>
    <row r="137" ht="15" customHeight="1">
      <c r="A137" t="inlineStr">
        <is>
          <t>A 35917-2018</t>
        </is>
      </c>
      <c r="B137" s="1" t="n">
        <v>43327</v>
      </c>
      <c r="C137" s="1" t="n">
        <v>45358</v>
      </c>
      <c r="D137" t="inlineStr">
        <is>
          <t>JÄMTLANDS LÄN</t>
        </is>
      </c>
      <c r="E137" t="inlineStr">
        <is>
          <t>KROKOM</t>
        </is>
      </c>
      <c r="G137" t="n">
        <v>11.2</v>
      </c>
      <c r="H137" t="n">
        <v>1</v>
      </c>
      <c r="I137" t="n">
        <v>0</v>
      </c>
      <c r="J137" t="n">
        <v>1</v>
      </c>
      <c r="K137" t="n">
        <v>0</v>
      </c>
      <c r="L137" t="n">
        <v>0</v>
      </c>
      <c r="M137" t="n">
        <v>0</v>
      </c>
      <c r="N137" t="n">
        <v>0</v>
      </c>
      <c r="O137" t="n">
        <v>1</v>
      </c>
      <c r="P137" t="n">
        <v>0</v>
      </c>
      <c r="Q137" t="n">
        <v>1</v>
      </c>
      <c r="R137" s="2" t="inlineStr">
        <is>
          <t>Tretåig hackspett</t>
        </is>
      </c>
      <c r="S137">
        <f>HYPERLINK("https://klasma.github.io/Logging_2309/artfynd/A 35917-2018 artfynd.xlsx", "A 35917-2018")</f>
        <v/>
      </c>
      <c r="T137">
        <f>HYPERLINK("https://klasma.github.io/Logging_2309/kartor/A 35917-2018 karta.png", "A 35917-2018")</f>
        <v/>
      </c>
      <c r="V137">
        <f>HYPERLINK("https://klasma.github.io/Logging_2309/klagomål/A 35917-2018 FSC-klagomål.docx", "A 35917-2018")</f>
        <v/>
      </c>
      <c r="W137">
        <f>HYPERLINK("https://klasma.github.io/Logging_2309/klagomålsmail/A 35917-2018 FSC-klagomål mail.docx", "A 35917-2018")</f>
        <v/>
      </c>
      <c r="X137">
        <f>HYPERLINK("https://klasma.github.io/Logging_2309/tillsyn/A 35917-2018 tillsynsbegäran.docx", "A 35917-2018")</f>
        <v/>
      </c>
      <c r="Y137">
        <f>HYPERLINK("https://klasma.github.io/Logging_2309/tillsynsmail/A 35917-2018 tillsynsbegäran mail.docx", "A 35917-2018")</f>
        <v/>
      </c>
      <c r="Z137">
        <f>HYPERLINK("https://klasma.github.io/Logging_2309/fåglar/A 35917-2018 prioriterade fågelarter.docx", "A 35917-2018")</f>
        <v/>
      </c>
    </row>
    <row r="138" ht="15" customHeight="1">
      <c r="A138" t="inlineStr">
        <is>
          <t>A 61187-2018</t>
        </is>
      </c>
      <c r="B138" s="1" t="n">
        <v>43412</v>
      </c>
      <c r="C138" s="1" t="n">
        <v>45358</v>
      </c>
      <c r="D138" t="inlineStr">
        <is>
          <t>JÄMTLANDS LÄN</t>
        </is>
      </c>
      <c r="E138" t="inlineStr">
        <is>
          <t>KROKOM</t>
        </is>
      </c>
      <c r="G138" t="n">
        <v>2</v>
      </c>
      <c r="H138" t="n">
        <v>1</v>
      </c>
      <c r="I138" t="n">
        <v>0</v>
      </c>
      <c r="J138" t="n">
        <v>0</v>
      </c>
      <c r="K138" t="n">
        <v>0</v>
      </c>
      <c r="L138" t="n">
        <v>0</v>
      </c>
      <c r="M138" t="n">
        <v>0</v>
      </c>
      <c r="N138" t="n">
        <v>0</v>
      </c>
      <c r="O138" t="n">
        <v>0</v>
      </c>
      <c r="P138" t="n">
        <v>0</v>
      </c>
      <c r="Q138" t="n">
        <v>1</v>
      </c>
      <c r="R138" s="2" t="inlineStr">
        <is>
          <t>Fläcknycklar</t>
        </is>
      </c>
      <c r="S138">
        <f>HYPERLINK("https://klasma.github.io/Logging_2309/artfynd/A 61187-2018 artfynd.xlsx", "A 61187-2018")</f>
        <v/>
      </c>
      <c r="T138">
        <f>HYPERLINK("https://klasma.github.io/Logging_2309/kartor/A 61187-2018 karta.png", "A 61187-2018")</f>
        <v/>
      </c>
      <c r="V138">
        <f>HYPERLINK("https://klasma.github.io/Logging_2309/klagomål/A 61187-2018 FSC-klagomål.docx", "A 61187-2018")</f>
        <v/>
      </c>
      <c r="W138">
        <f>HYPERLINK("https://klasma.github.io/Logging_2309/klagomålsmail/A 61187-2018 FSC-klagomål mail.docx", "A 61187-2018")</f>
        <v/>
      </c>
      <c r="X138">
        <f>HYPERLINK("https://klasma.github.io/Logging_2309/tillsyn/A 61187-2018 tillsynsbegäran.docx", "A 61187-2018")</f>
        <v/>
      </c>
      <c r="Y138">
        <f>HYPERLINK("https://klasma.github.io/Logging_2309/tillsynsmail/A 61187-2018 tillsynsbegäran mail.docx", "A 61187-2018")</f>
        <v/>
      </c>
    </row>
    <row r="139" ht="15" customHeight="1">
      <c r="A139" t="inlineStr">
        <is>
          <t>A 9736-2019</t>
        </is>
      </c>
      <c r="B139" s="1" t="n">
        <v>43508</v>
      </c>
      <c r="C139" s="1" t="n">
        <v>45358</v>
      </c>
      <c r="D139" t="inlineStr">
        <is>
          <t>JÄMTLANDS LÄN</t>
        </is>
      </c>
      <c r="E139" t="inlineStr">
        <is>
          <t>KROKOM</t>
        </is>
      </c>
      <c r="G139" t="n">
        <v>1</v>
      </c>
      <c r="H139" t="n">
        <v>0</v>
      </c>
      <c r="I139" t="n">
        <v>1</v>
      </c>
      <c r="J139" t="n">
        <v>0</v>
      </c>
      <c r="K139" t="n">
        <v>0</v>
      </c>
      <c r="L139" t="n">
        <v>0</v>
      </c>
      <c r="M139" t="n">
        <v>0</v>
      </c>
      <c r="N139" t="n">
        <v>0</v>
      </c>
      <c r="O139" t="n">
        <v>0</v>
      </c>
      <c r="P139" t="n">
        <v>0</v>
      </c>
      <c r="Q139" t="n">
        <v>1</v>
      </c>
      <c r="R139" s="2" t="inlineStr">
        <is>
          <t>Barkkornlav</t>
        </is>
      </c>
      <c r="S139">
        <f>HYPERLINK("https://klasma.github.io/Logging_2309/artfynd/A 9736-2019 artfynd.xlsx", "A 9736-2019")</f>
        <v/>
      </c>
      <c r="T139">
        <f>HYPERLINK("https://klasma.github.io/Logging_2309/kartor/A 9736-2019 karta.png", "A 9736-2019")</f>
        <v/>
      </c>
      <c r="V139">
        <f>HYPERLINK("https://klasma.github.io/Logging_2309/klagomål/A 9736-2019 FSC-klagomål.docx", "A 9736-2019")</f>
        <v/>
      </c>
      <c r="W139">
        <f>HYPERLINK("https://klasma.github.io/Logging_2309/klagomålsmail/A 9736-2019 FSC-klagomål mail.docx", "A 9736-2019")</f>
        <v/>
      </c>
      <c r="X139">
        <f>HYPERLINK("https://klasma.github.io/Logging_2309/tillsyn/A 9736-2019 tillsynsbegäran.docx", "A 9736-2019")</f>
        <v/>
      </c>
      <c r="Y139">
        <f>HYPERLINK("https://klasma.github.io/Logging_2309/tillsynsmail/A 9736-2019 tillsynsbegäran mail.docx", "A 9736-2019")</f>
        <v/>
      </c>
    </row>
    <row r="140" ht="15" customHeight="1">
      <c r="A140" t="inlineStr">
        <is>
          <t>A 30819-2019</t>
        </is>
      </c>
      <c r="B140" s="1" t="n">
        <v>43636</v>
      </c>
      <c r="C140" s="1" t="n">
        <v>45358</v>
      </c>
      <c r="D140" t="inlineStr">
        <is>
          <t>JÄMTLANDS LÄN</t>
        </is>
      </c>
      <c r="E140" t="inlineStr">
        <is>
          <t>KROKOM</t>
        </is>
      </c>
      <c r="G140" t="n">
        <v>18.8</v>
      </c>
      <c r="H140" t="n">
        <v>0</v>
      </c>
      <c r="I140" t="n">
        <v>1</v>
      </c>
      <c r="J140" t="n">
        <v>0</v>
      </c>
      <c r="K140" t="n">
        <v>0</v>
      </c>
      <c r="L140" t="n">
        <v>0</v>
      </c>
      <c r="M140" t="n">
        <v>0</v>
      </c>
      <c r="N140" t="n">
        <v>0</v>
      </c>
      <c r="O140" t="n">
        <v>0</v>
      </c>
      <c r="P140" t="n">
        <v>0</v>
      </c>
      <c r="Q140" t="n">
        <v>1</v>
      </c>
      <c r="R140" s="2" t="inlineStr">
        <is>
          <t>Ögonpyrola</t>
        </is>
      </c>
      <c r="S140">
        <f>HYPERLINK("https://klasma.github.io/Logging_2309/artfynd/A 30819-2019 artfynd.xlsx", "A 30819-2019")</f>
        <v/>
      </c>
      <c r="T140">
        <f>HYPERLINK("https://klasma.github.io/Logging_2309/kartor/A 30819-2019 karta.png", "A 30819-2019")</f>
        <v/>
      </c>
      <c r="V140">
        <f>HYPERLINK("https://klasma.github.io/Logging_2309/klagomål/A 30819-2019 FSC-klagomål.docx", "A 30819-2019")</f>
        <v/>
      </c>
      <c r="W140">
        <f>HYPERLINK("https://klasma.github.io/Logging_2309/klagomålsmail/A 30819-2019 FSC-klagomål mail.docx", "A 30819-2019")</f>
        <v/>
      </c>
      <c r="X140">
        <f>HYPERLINK("https://klasma.github.io/Logging_2309/tillsyn/A 30819-2019 tillsynsbegäran.docx", "A 30819-2019")</f>
        <v/>
      </c>
      <c r="Y140">
        <f>HYPERLINK("https://klasma.github.io/Logging_2309/tillsynsmail/A 30819-2019 tillsynsbegäran mail.docx", "A 30819-2019")</f>
        <v/>
      </c>
    </row>
    <row r="141" ht="15" customHeight="1">
      <c r="A141" t="inlineStr">
        <is>
          <t>A 31910-2019</t>
        </is>
      </c>
      <c r="B141" s="1" t="n">
        <v>43642</v>
      </c>
      <c r="C141" s="1" t="n">
        <v>45358</v>
      </c>
      <c r="D141" t="inlineStr">
        <is>
          <t>JÄMTLANDS LÄN</t>
        </is>
      </c>
      <c r="E141" t="inlineStr">
        <is>
          <t>KROKOM</t>
        </is>
      </c>
      <c r="G141" t="n">
        <v>5</v>
      </c>
      <c r="H141" t="n">
        <v>0</v>
      </c>
      <c r="I141" t="n">
        <v>0</v>
      </c>
      <c r="J141" t="n">
        <v>1</v>
      </c>
      <c r="K141" t="n">
        <v>0</v>
      </c>
      <c r="L141" t="n">
        <v>0</v>
      </c>
      <c r="M141" t="n">
        <v>0</v>
      </c>
      <c r="N141" t="n">
        <v>0</v>
      </c>
      <c r="O141" t="n">
        <v>1</v>
      </c>
      <c r="P141" t="n">
        <v>0</v>
      </c>
      <c r="Q141" t="n">
        <v>1</v>
      </c>
      <c r="R141" s="2" t="inlineStr">
        <is>
          <t>Lunglav</t>
        </is>
      </c>
      <c r="S141">
        <f>HYPERLINK("https://klasma.github.io/Logging_2309/artfynd/A 31910-2019 artfynd.xlsx", "A 31910-2019")</f>
        <v/>
      </c>
      <c r="T141">
        <f>HYPERLINK("https://klasma.github.io/Logging_2309/kartor/A 31910-2019 karta.png", "A 31910-2019")</f>
        <v/>
      </c>
      <c r="V141">
        <f>HYPERLINK("https://klasma.github.io/Logging_2309/klagomål/A 31910-2019 FSC-klagomål.docx", "A 31910-2019")</f>
        <v/>
      </c>
      <c r="W141">
        <f>HYPERLINK("https://klasma.github.io/Logging_2309/klagomålsmail/A 31910-2019 FSC-klagomål mail.docx", "A 31910-2019")</f>
        <v/>
      </c>
      <c r="X141">
        <f>HYPERLINK("https://klasma.github.io/Logging_2309/tillsyn/A 31910-2019 tillsynsbegäran.docx", "A 31910-2019")</f>
        <v/>
      </c>
      <c r="Y141">
        <f>HYPERLINK("https://klasma.github.io/Logging_2309/tillsynsmail/A 31910-2019 tillsynsbegäran mail.docx", "A 31910-2019")</f>
        <v/>
      </c>
    </row>
    <row r="142" ht="15" customHeight="1">
      <c r="A142" t="inlineStr">
        <is>
          <t>A 42629-2019</t>
        </is>
      </c>
      <c r="B142" s="1" t="n">
        <v>43704</v>
      </c>
      <c r="C142" s="1" t="n">
        <v>45358</v>
      </c>
      <c r="D142" t="inlineStr">
        <is>
          <t>JÄMTLANDS LÄN</t>
        </is>
      </c>
      <c r="E142" t="inlineStr">
        <is>
          <t>KROKOM</t>
        </is>
      </c>
      <c r="G142" t="n">
        <v>7.5</v>
      </c>
      <c r="H142" t="n">
        <v>0</v>
      </c>
      <c r="I142" t="n">
        <v>0</v>
      </c>
      <c r="J142" t="n">
        <v>1</v>
      </c>
      <c r="K142" t="n">
        <v>0</v>
      </c>
      <c r="L142" t="n">
        <v>0</v>
      </c>
      <c r="M142" t="n">
        <v>0</v>
      </c>
      <c r="N142" t="n">
        <v>0</v>
      </c>
      <c r="O142" t="n">
        <v>1</v>
      </c>
      <c r="P142" t="n">
        <v>0</v>
      </c>
      <c r="Q142" t="n">
        <v>1</v>
      </c>
      <c r="R142" s="2" t="inlineStr">
        <is>
          <t>Brunklöver</t>
        </is>
      </c>
      <c r="S142">
        <f>HYPERLINK("https://klasma.github.io/Logging_2309/artfynd/A 42629-2019 artfynd.xlsx", "A 42629-2019")</f>
        <v/>
      </c>
      <c r="T142">
        <f>HYPERLINK("https://klasma.github.io/Logging_2309/kartor/A 42629-2019 karta.png", "A 42629-2019")</f>
        <v/>
      </c>
      <c r="V142">
        <f>HYPERLINK("https://klasma.github.io/Logging_2309/klagomål/A 42629-2019 FSC-klagomål.docx", "A 42629-2019")</f>
        <v/>
      </c>
      <c r="W142">
        <f>HYPERLINK("https://klasma.github.io/Logging_2309/klagomålsmail/A 42629-2019 FSC-klagomål mail.docx", "A 42629-2019")</f>
        <v/>
      </c>
      <c r="X142">
        <f>HYPERLINK("https://klasma.github.io/Logging_2309/tillsyn/A 42629-2019 tillsynsbegäran.docx", "A 42629-2019")</f>
        <v/>
      </c>
      <c r="Y142">
        <f>HYPERLINK("https://klasma.github.io/Logging_2309/tillsynsmail/A 42629-2019 tillsynsbegäran mail.docx", "A 42629-2019")</f>
        <v/>
      </c>
    </row>
    <row r="143" ht="15" customHeight="1">
      <c r="A143" t="inlineStr">
        <is>
          <t>A 50132-2019</t>
        </is>
      </c>
      <c r="B143" s="1" t="n">
        <v>43734</v>
      </c>
      <c r="C143" s="1" t="n">
        <v>45358</v>
      </c>
      <c r="D143" t="inlineStr">
        <is>
          <t>JÄMTLANDS LÄN</t>
        </is>
      </c>
      <c r="E143" t="inlineStr">
        <is>
          <t>KROKOM</t>
        </is>
      </c>
      <c r="G143" t="n">
        <v>1.8</v>
      </c>
      <c r="H143" t="n">
        <v>0</v>
      </c>
      <c r="I143" t="n">
        <v>0</v>
      </c>
      <c r="J143" t="n">
        <v>1</v>
      </c>
      <c r="K143" t="n">
        <v>0</v>
      </c>
      <c r="L143" t="n">
        <v>0</v>
      </c>
      <c r="M143" t="n">
        <v>0</v>
      </c>
      <c r="N143" t="n">
        <v>0</v>
      </c>
      <c r="O143" t="n">
        <v>1</v>
      </c>
      <c r="P143" t="n">
        <v>0</v>
      </c>
      <c r="Q143" t="n">
        <v>1</v>
      </c>
      <c r="R143" s="2" t="inlineStr">
        <is>
          <t>Vitgrynig nållav</t>
        </is>
      </c>
      <c r="S143">
        <f>HYPERLINK("https://klasma.github.io/Logging_2309/artfynd/A 50132-2019 artfynd.xlsx", "A 50132-2019")</f>
        <v/>
      </c>
      <c r="T143">
        <f>HYPERLINK("https://klasma.github.io/Logging_2309/kartor/A 50132-2019 karta.png", "A 50132-2019")</f>
        <v/>
      </c>
      <c r="V143">
        <f>HYPERLINK("https://klasma.github.io/Logging_2309/klagomål/A 50132-2019 FSC-klagomål.docx", "A 50132-2019")</f>
        <v/>
      </c>
      <c r="W143">
        <f>HYPERLINK("https://klasma.github.io/Logging_2309/klagomålsmail/A 50132-2019 FSC-klagomål mail.docx", "A 50132-2019")</f>
        <v/>
      </c>
      <c r="X143">
        <f>HYPERLINK("https://klasma.github.io/Logging_2309/tillsyn/A 50132-2019 tillsynsbegäran.docx", "A 50132-2019")</f>
        <v/>
      </c>
      <c r="Y143">
        <f>HYPERLINK("https://klasma.github.io/Logging_2309/tillsynsmail/A 50132-2019 tillsynsbegäran mail.docx", "A 50132-2019")</f>
        <v/>
      </c>
    </row>
    <row r="144" ht="15" customHeight="1">
      <c r="A144" t="inlineStr">
        <is>
          <t>A 61347-2019</t>
        </is>
      </c>
      <c r="B144" s="1" t="n">
        <v>43783</v>
      </c>
      <c r="C144" s="1" t="n">
        <v>45358</v>
      </c>
      <c r="D144" t="inlineStr">
        <is>
          <t>JÄMTLANDS LÄN</t>
        </is>
      </c>
      <c r="E144" t="inlineStr">
        <is>
          <t>KROKOM</t>
        </is>
      </c>
      <c r="F144" t="inlineStr">
        <is>
          <t>Allmännings- och besparingsskogar</t>
        </is>
      </c>
      <c r="G144" t="n">
        <v>20.7</v>
      </c>
      <c r="H144" t="n">
        <v>1</v>
      </c>
      <c r="I144" t="n">
        <v>0</v>
      </c>
      <c r="J144" t="n">
        <v>0</v>
      </c>
      <c r="K144" t="n">
        <v>1</v>
      </c>
      <c r="L144" t="n">
        <v>0</v>
      </c>
      <c r="M144" t="n">
        <v>0</v>
      </c>
      <c r="N144" t="n">
        <v>0</v>
      </c>
      <c r="O144" t="n">
        <v>1</v>
      </c>
      <c r="P144" t="n">
        <v>1</v>
      </c>
      <c r="Q144" t="n">
        <v>1</v>
      </c>
      <c r="R144" s="2" t="inlineStr">
        <is>
          <t>Knärot</t>
        </is>
      </c>
      <c r="S144">
        <f>HYPERLINK("https://klasma.github.io/Logging_2309/artfynd/A 61347-2019 artfynd.xlsx", "A 61347-2019")</f>
        <v/>
      </c>
      <c r="T144">
        <f>HYPERLINK("https://klasma.github.io/Logging_2309/kartor/A 61347-2019 karta.png", "A 61347-2019")</f>
        <v/>
      </c>
      <c r="U144">
        <f>HYPERLINK("https://klasma.github.io/Logging_2309/knärot/A 61347-2019 karta knärot.png", "A 61347-2019")</f>
        <v/>
      </c>
      <c r="V144">
        <f>HYPERLINK("https://klasma.github.io/Logging_2309/klagomål/A 61347-2019 FSC-klagomål.docx", "A 61347-2019")</f>
        <v/>
      </c>
      <c r="W144">
        <f>HYPERLINK("https://klasma.github.io/Logging_2309/klagomålsmail/A 61347-2019 FSC-klagomål mail.docx", "A 61347-2019")</f>
        <v/>
      </c>
      <c r="X144">
        <f>HYPERLINK("https://klasma.github.io/Logging_2309/tillsyn/A 61347-2019 tillsynsbegäran.docx", "A 61347-2019")</f>
        <v/>
      </c>
      <c r="Y144">
        <f>HYPERLINK("https://klasma.github.io/Logging_2309/tillsynsmail/A 61347-2019 tillsynsbegäran mail.docx", "A 61347-2019")</f>
        <v/>
      </c>
    </row>
    <row r="145" ht="15" customHeight="1">
      <c r="A145" t="inlineStr">
        <is>
          <t>A 67827-2019</t>
        </is>
      </c>
      <c r="B145" s="1" t="n">
        <v>43815</v>
      </c>
      <c r="C145" s="1" t="n">
        <v>45358</v>
      </c>
      <c r="D145" t="inlineStr">
        <is>
          <t>JÄMTLANDS LÄN</t>
        </is>
      </c>
      <c r="E145" t="inlineStr">
        <is>
          <t>KROKOM</t>
        </is>
      </c>
      <c r="F145" t="inlineStr">
        <is>
          <t>SCA</t>
        </is>
      </c>
      <c r="G145" t="n">
        <v>2.9</v>
      </c>
      <c r="H145" t="n">
        <v>0</v>
      </c>
      <c r="I145" t="n">
        <v>0</v>
      </c>
      <c r="J145" t="n">
        <v>1</v>
      </c>
      <c r="K145" t="n">
        <v>0</v>
      </c>
      <c r="L145" t="n">
        <v>0</v>
      </c>
      <c r="M145" t="n">
        <v>0</v>
      </c>
      <c r="N145" t="n">
        <v>0</v>
      </c>
      <c r="O145" t="n">
        <v>1</v>
      </c>
      <c r="P145" t="n">
        <v>0</v>
      </c>
      <c r="Q145" t="n">
        <v>1</v>
      </c>
      <c r="R145" s="2" t="inlineStr">
        <is>
          <t>Garnlav</t>
        </is>
      </c>
      <c r="S145">
        <f>HYPERLINK("https://klasma.github.io/Logging_2309/artfynd/A 67827-2019 artfynd.xlsx", "A 67827-2019")</f>
        <v/>
      </c>
      <c r="T145">
        <f>HYPERLINK("https://klasma.github.io/Logging_2309/kartor/A 67827-2019 karta.png", "A 67827-2019")</f>
        <v/>
      </c>
      <c r="V145">
        <f>HYPERLINK("https://klasma.github.io/Logging_2309/klagomål/A 67827-2019 FSC-klagomål.docx", "A 67827-2019")</f>
        <v/>
      </c>
      <c r="W145">
        <f>HYPERLINK("https://klasma.github.io/Logging_2309/klagomålsmail/A 67827-2019 FSC-klagomål mail.docx", "A 67827-2019")</f>
        <v/>
      </c>
      <c r="X145">
        <f>HYPERLINK("https://klasma.github.io/Logging_2309/tillsyn/A 67827-2019 tillsynsbegäran.docx", "A 67827-2019")</f>
        <v/>
      </c>
      <c r="Y145">
        <f>HYPERLINK("https://klasma.github.io/Logging_2309/tillsynsmail/A 67827-2019 tillsynsbegäran mail.docx", "A 67827-2019")</f>
        <v/>
      </c>
    </row>
    <row r="146" ht="15" customHeight="1">
      <c r="A146" t="inlineStr">
        <is>
          <t>A 4626-2020</t>
        </is>
      </c>
      <c r="B146" s="1" t="n">
        <v>43858</v>
      </c>
      <c r="C146" s="1" t="n">
        <v>45358</v>
      </c>
      <c r="D146" t="inlineStr">
        <is>
          <t>JÄMTLANDS LÄN</t>
        </is>
      </c>
      <c r="E146" t="inlineStr">
        <is>
          <t>KROKOM</t>
        </is>
      </c>
      <c r="G146" t="n">
        <v>12.2</v>
      </c>
      <c r="H146" t="n">
        <v>0</v>
      </c>
      <c r="I146" t="n">
        <v>0</v>
      </c>
      <c r="J146" t="n">
        <v>1</v>
      </c>
      <c r="K146" t="n">
        <v>0</v>
      </c>
      <c r="L146" t="n">
        <v>0</v>
      </c>
      <c r="M146" t="n">
        <v>0</v>
      </c>
      <c r="N146" t="n">
        <v>0</v>
      </c>
      <c r="O146" t="n">
        <v>1</v>
      </c>
      <c r="P146" t="n">
        <v>0</v>
      </c>
      <c r="Q146" t="n">
        <v>1</v>
      </c>
      <c r="R146" s="2" t="inlineStr">
        <is>
          <t>Gränsticka</t>
        </is>
      </c>
      <c r="S146">
        <f>HYPERLINK("https://klasma.github.io/Logging_2309/artfynd/A 4626-2020 artfynd.xlsx", "A 4626-2020")</f>
        <v/>
      </c>
      <c r="T146">
        <f>HYPERLINK("https://klasma.github.io/Logging_2309/kartor/A 4626-2020 karta.png", "A 4626-2020")</f>
        <v/>
      </c>
      <c r="V146">
        <f>HYPERLINK("https://klasma.github.io/Logging_2309/klagomål/A 4626-2020 FSC-klagomål.docx", "A 4626-2020")</f>
        <v/>
      </c>
      <c r="W146">
        <f>HYPERLINK("https://klasma.github.io/Logging_2309/klagomålsmail/A 4626-2020 FSC-klagomål mail.docx", "A 4626-2020")</f>
        <v/>
      </c>
      <c r="X146">
        <f>HYPERLINK("https://klasma.github.io/Logging_2309/tillsyn/A 4626-2020 tillsynsbegäran.docx", "A 4626-2020")</f>
        <v/>
      </c>
      <c r="Y146">
        <f>HYPERLINK("https://klasma.github.io/Logging_2309/tillsynsmail/A 4626-2020 tillsynsbegäran mail.docx", "A 4626-2020")</f>
        <v/>
      </c>
    </row>
    <row r="147" ht="15" customHeight="1">
      <c r="A147" t="inlineStr">
        <is>
          <t>A 7950-2020</t>
        </is>
      </c>
      <c r="B147" s="1" t="n">
        <v>43873</v>
      </c>
      <c r="C147" s="1" t="n">
        <v>45358</v>
      </c>
      <c r="D147" t="inlineStr">
        <is>
          <t>JÄMTLANDS LÄN</t>
        </is>
      </c>
      <c r="E147" t="inlineStr">
        <is>
          <t>KROKOM</t>
        </is>
      </c>
      <c r="G147" t="n">
        <v>0.2</v>
      </c>
      <c r="H147" t="n">
        <v>0</v>
      </c>
      <c r="I147" t="n">
        <v>0</v>
      </c>
      <c r="J147" t="n">
        <v>1</v>
      </c>
      <c r="K147" t="n">
        <v>0</v>
      </c>
      <c r="L147" t="n">
        <v>0</v>
      </c>
      <c r="M147" t="n">
        <v>0</v>
      </c>
      <c r="N147" t="n">
        <v>0</v>
      </c>
      <c r="O147" t="n">
        <v>1</v>
      </c>
      <c r="P147" t="n">
        <v>0</v>
      </c>
      <c r="Q147" t="n">
        <v>1</v>
      </c>
      <c r="R147" s="2" t="inlineStr">
        <is>
          <t>Månlåsbräken</t>
        </is>
      </c>
      <c r="S147">
        <f>HYPERLINK("https://klasma.github.io/Logging_2309/artfynd/A 7950-2020 artfynd.xlsx", "A 7950-2020")</f>
        <v/>
      </c>
      <c r="T147">
        <f>HYPERLINK("https://klasma.github.io/Logging_2309/kartor/A 7950-2020 karta.png", "A 7950-2020")</f>
        <v/>
      </c>
      <c r="V147">
        <f>HYPERLINK("https://klasma.github.io/Logging_2309/klagomål/A 7950-2020 FSC-klagomål.docx", "A 7950-2020")</f>
        <v/>
      </c>
      <c r="W147">
        <f>HYPERLINK("https://klasma.github.io/Logging_2309/klagomålsmail/A 7950-2020 FSC-klagomål mail.docx", "A 7950-2020")</f>
        <v/>
      </c>
      <c r="X147">
        <f>HYPERLINK("https://klasma.github.io/Logging_2309/tillsyn/A 7950-2020 tillsynsbegäran.docx", "A 7950-2020")</f>
        <v/>
      </c>
      <c r="Y147">
        <f>HYPERLINK("https://klasma.github.io/Logging_2309/tillsynsmail/A 7950-2020 tillsynsbegäran mail.docx", "A 7950-2020")</f>
        <v/>
      </c>
    </row>
    <row r="148" ht="15" customHeight="1">
      <c r="A148" t="inlineStr">
        <is>
          <t>A 8934-2020</t>
        </is>
      </c>
      <c r="B148" s="1" t="n">
        <v>43878</v>
      </c>
      <c r="C148" s="1" t="n">
        <v>45358</v>
      </c>
      <c r="D148" t="inlineStr">
        <is>
          <t>JÄMTLANDS LÄN</t>
        </is>
      </c>
      <c r="E148" t="inlineStr">
        <is>
          <t>KROKOM</t>
        </is>
      </c>
      <c r="F148" t="inlineStr">
        <is>
          <t>SCA</t>
        </is>
      </c>
      <c r="G148" t="n">
        <v>2.5</v>
      </c>
      <c r="H148" t="n">
        <v>0</v>
      </c>
      <c r="I148" t="n">
        <v>0</v>
      </c>
      <c r="J148" t="n">
        <v>1</v>
      </c>
      <c r="K148" t="n">
        <v>0</v>
      </c>
      <c r="L148" t="n">
        <v>0</v>
      </c>
      <c r="M148" t="n">
        <v>0</v>
      </c>
      <c r="N148" t="n">
        <v>0</v>
      </c>
      <c r="O148" t="n">
        <v>1</v>
      </c>
      <c r="P148" t="n">
        <v>0</v>
      </c>
      <c r="Q148" t="n">
        <v>1</v>
      </c>
      <c r="R148" s="2" t="inlineStr">
        <is>
          <t>Doftskinn</t>
        </is>
      </c>
      <c r="S148">
        <f>HYPERLINK("https://klasma.github.io/Logging_2309/artfynd/A 8934-2020 artfynd.xlsx", "A 8934-2020")</f>
        <v/>
      </c>
      <c r="T148">
        <f>HYPERLINK("https://klasma.github.io/Logging_2309/kartor/A 8934-2020 karta.png", "A 8934-2020")</f>
        <v/>
      </c>
      <c r="V148">
        <f>HYPERLINK("https://klasma.github.io/Logging_2309/klagomål/A 8934-2020 FSC-klagomål.docx", "A 8934-2020")</f>
        <v/>
      </c>
      <c r="W148">
        <f>HYPERLINK("https://klasma.github.io/Logging_2309/klagomålsmail/A 8934-2020 FSC-klagomål mail.docx", "A 8934-2020")</f>
        <v/>
      </c>
      <c r="X148">
        <f>HYPERLINK("https://klasma.github.io/Logging_2309/tillsyn/A 8934-2020 tillsynsbegäran.docx", "A 8934-2020")</f>
        <v/>
      </c>
      <c r="Y148">
        <f>HYPERLINK("https://klasma.github.io/Logging_2309/tillsynsmail/A 8934-2020 tillsynsbegäran mail.docx", "A 8934-2020")</f>
        <v/>
      </c>
    </row>
    <row r="149" ht="15" customHeight="1">
      <c r="A149" t="inlineStr">
        <is>
          <t>A 18776-2020</t>
        </is>
      </c>
      <c r="B149" s="1" t="n">
        <v>43930</v>
      </c>
      <c r="C149" s="1" t="n">
        <v>45358</v>
      </c>
      <c r="D149" t="inlineStr">
        <is>
          <t>JÄMTLANDS LÄN</t>
        </is>
      </c>
      <c r="E149" t="inlineStr">
        <is>
          <t>KROKOM</t>
        </is>
      </c>
      <c r="G149" t="n">
        <v>5.3</v>
      </c>
      <c r="H149" t="n">
        <v>0</v>
      </c>
      <c r="I149" t="n">
        <v>0</v>
      </c>
      <c r="J149" t="n">
        <v>0</v>
      </c>
      <c r="K149" t="n">
        <v>0</v>
      </c>
      <c r="L149" t="n">
        <v>1</v>
      </c>
      <c r="M149" t="n">
        <v>0</v>
      </c>
      <c r="N149" t="n">
        <v>0</v>
      </c>
      <c r="O149" t="n">
        <v>1</v>
      </c>
      <c r="P149" t="n">
        <v>1</v>
      </c>
      <c r="Q149" t="n">
        <v>1</v>
      </c>
      <c r="R149" s="2" t="inlineStr">
        <is>
          <t>Bredgentiana</t>
        </is>
      </c>
      <c r="S149">
        <f>HYPERLINK("https://klasma.github.io/Logging_2309/artfynd/A 18776-2020 artfynd.xlsx", "A 18776-2020")</f>
        <v/>
      </c>
      <c r="T149">
        <f>HYPERLINK("https://klasma.github.io/Logging_2309/kartor/A 18776-2020 karta.png", "A 18776-2020")</f>
        <v/>
      </c>
      <c r="V149">
        <f>HYPERLINK("https://klasma.github.io/Logging_2309/klagomål/A 18776-2020 FSC-klagomål.docx", "A 18776-2020")</f>
        <v/>
      </c>
      <c r="W149">
        <f>HYPERLINK("https://klasma.github.io/Logging_2309/klagomålsmail/A 18776-2020 FSC-klagomål mail.docx", "A 18776-2020")</f>
        <v/>
      </c>
      <c r="X149">
        <f>HYPERLINK("https://klasma.github.io/Logging_2309/tillsyn/A 18776-2020 tillsynsbegäran.docx", "A 18776-2020")</f>
        <v/>
      </c>
      <c r="Y149">
        <f>HYPERLINK("https://klasma.github.io/Logging_2309/tillsynsmail/A 18776-2020 tillsynsbegäran mail.docx", "A 18776-2020")</f>
        <v/>
      </c>
    </row>
    <row r="150" ht="15" customHeight="1">
      <c r="A150" t="inlineStr">
        <is>
          <t>A 21547-2020</t>
        </is>
      </c>
      <c r="B150" s="1" t="n">
        <v>43956</v>
      </c>
      <c r="C150" s="1" t="n">
        <v>45358</v>
      </c>
      <c r="D150" t="inlineStr">
        <is>
          <t>JÄMTLANDS LÄN</t>
        </is>
      </c>
      <c r="E150" t="inlineStr">
        <is>
          <t>KROKOM</t>
        </is>
      </c>
      <c r="G150" t="n">
        <v>18.4</v>
      </c>
      <c r="H150" t="n">
        <v>0</v>
      </c>
      <c r="I150" t="n">
        <v>0</v>
      </c>
      <c r="J150" t="n">
        <v>1</v>
      </c>
      <c r="K150" t="n">
        <v>0</v>
      </c>
      <c r="L150" t="n">
        <v>0</v>
      </c>
      <c r="M150" t="n">
        <v>0</v>
      </c>
      <c r="N150" t="n">
        <v>0</v>
      </c>
      <c r="O150" t="n">
        <v>1</v>
      </c>
      <c r="P150" t="n">
        <v>0</v>
      </c>
      <c r="Q150" t="n">
        <v>1</v>
      </c>
      <c r="R150" s="2" t="inlineStr">
        <is>
          <t>Gränsticka</t>
        </is>
      </c>
      <c r="S150">
        <f>HYPERLINK("https://klasma.github.io/Logging_2309/artfynd/A 21547-2020 artfynd.xlsx", "A 21547-2020")</f>
        <v/>
      </c>
      <c r="T150">
        <f>HYPERLINK("https://klasma.github.io/Logging_2309/kartor/A 21547-2020 karta.png", "A 21547-2020")</f>
        <v/>
      </c>
      <c r="V150">
        <f>HYPERLINK("https://klasma.github.io/Logging_2309/klagomål/A 21547-2020 FSC-klagomål.docx", "A 21547-2020")</f>
        <v/>
      </c>
      <c r="W150">
        <f>HYPERLINK("https://klasma.github.io/Logging_2309/klagomålsmail/A 21547-2020 FSC-klagomål mail.docx", "A 21547-2020")</f>
        <v/>
      </c>
      <c r="X150">
        <f>HYPERLINK("https://klasma.github.io/Logging_2309/tillsyn/A 21547-2020 tillsynsbegäran.docx", "A 21547-2020")</f>
        <v/>
      </c>
      <c r="Y150">
        <f>HYPERLINK("https://klasma.github.io/Logging_2309/tillsynsmail/A 21547-2020 tillsynsbegäran mail.docx", "A 21547-2020")</f>
        <v/>
      </c>
    </row>
    <row r="151" ht="15" customHeight="1">
      <c r="A151" t="inlineStr">
        <is>
          <t>A 39569-2020</t>
        </is>
      </c>
      <c r="B151" s="1" t="n">
        <v>44064</v>
      </c>
      <c r="C151" s="1" t="n">
        <v>45358</v>
      </c>
      <c r="D151" t="inlineStr">
        <is>
          <t>JÄMTLANDS LÄN</t>
        </is>
      </c>
      <c r="E151" t="inlineStr">
        <is>
          <t>KROKOM</t>
        </is>
      </c>
      <c r="G151" t="n">
        <v>1.4</v>
      </c>
      <c r="H151" t="n">
        <v>0</v>
      </c>
      <c r="I151" t="n">
        <v>0</v>
      </c>
      <c r="J151" t="n">
        <v>1</v>
      </c>
      <c r="K151" t="n">
        <v>0</v>
      </c>
      <c r="L151" t="n">
        <v>0</v>
      </c>
      <c r="M151" t="n">
        <v>0</v>
      </c>
      <c r="N151" t="n">
        <v>0</v>
      </c>
      <c r="O151" t="n">
        <v>1</v>
      </c>
      <c r="P151" t="n">
        <v>0</v>
      </c>
      <c r="Q151" t="n">
        <v>1</v>
      </c>
      <c r="R151" s="2" t="inlineStr">
        <is>
          <t>Gränsticka</t>
        </is>
      </c>
      <c r="S151">
        <f>HYPERLINK("https://klasma.github.io/Logging_2309/artfynd/A 39569-2020 artfynd.xlsx", "A 39569-2020")</f>
        <v/>
      </c>
      <c r="T151">
        <f>HYPERLINK("https://klasma.github.io/Logging_2309/kartor/A 39569-2020 karta.png", "A 39569-2020")</f>
        <v/>
      </c>
      <c r="V151">
        <f>HYPERLINK("https://klasma.github.io/Logging_2309/klagomål/A 39569-2020 FSC-klagomål.docx", "A 39569-2020")</f>
        <v/>
      </c>
      <c r="W151">
        <f>HYPERLINK("https://klasma.github.io/Logging_2309/klagomålsmail/A 39569-2020 FSC-klagomål mail.docx", "A 39569-2020")</f>
        <v/>
      </c>
      <c r="X151">
        <f>HYPERLINK("https://klasma.github.io/Logging_2309/tillsyn/A 39569-2020 tillsynsbegäran.docx", "A 39569-2020")</f>
        <v/>
      </c>
      <c r="Y151">
        <f>HYPERLINK("https://klasma.github.io/Logging_2309/tillsynsmail/A 39569-2020 tillsynsbegäran mail.docx", "A 39569-2020")</f>
        <v/>
      </c>
    </row>
    <row r="152" ht="15" customHeight="1">
      <c r="A152" t="inlineStr">
        <is>
          <t>A 42493-2020</t>
        </is>
      </c>
      <c r="B152" s="1" t="n">
        <v>44075</v>
      </c>
      <c r="C152" s="1" t="n">
        <v>45358</v>
      </c>
      <c r="D152" t="inlineStr">
        <is>
          <t>JÄMTLANDS LÄN</t>
        </is>
      </c>
      <c r="E152" t="inlineStr">
        <is>
          <t>KROKOM</t>
        </is>
      </c>
      <c r="G152" t="n">
        <v>20.6</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42493-2020 artfynd.xlsx", "A 42493-2020")</f>
        <v/>
      </c>
      <c r="T152">
        <f>HYPERLINK("https://klasma.github.io/Logging_2309/kartor/A 42493-2020 karta.png", "A 42493-2020")</f>
        <v/>
      </c>
      <c r="V152">
        <f>HYPERLINK("https://klasma.github.io/Logging_2309/klagomål/A 42493-2020 FSC-klagomål.docx", "A 42493-2020")</f>
        <v/>
      </c>
      <c r="W152">
        <f>HYPERLINK("https://klasma.github.io/Logging_2309/klagomålsmail/A 42493-2020 FSC-klagomål mail.docx", "A 42493-2020")</f>
        <v/>
      </c>
      <c r="X152">
        <f>HYPERLINK("https://klasma.github.io/Logging_2309/tillsyn/A 42493-2020 tillsynsbegäran.docx", "A 42493-2020")</f>
        <v/>
      </c>
      <c r="Y152">
        <f>HYPERLINK("https://klasma.github.io/Logging_2309/tillsynsmail/A 42493-2020 tillsynsbegäran mail.docx", "A 42493-2020")</f>
        <v/>
      </c>
      <c r="Z152">
        <f>HYPERLINK("https://klasma.github.io/Logging_2309/fåglar/A 42493-2020 prioriterade fågelarter.docx", "A 42493-2020")</f>
        <v/>
      </c>
    </row>
    <row r="153" ht="15" customHeight="1">
      <c r="A153" t="inlineStr">
        <is>
          <t>A 45626-2020</t>
        </is>
      </c>
      <c r="B153" s="1" t="n">
        <v>44090</v>
      </c>
      <c r="C153" s="1" t="n">
        <v>45358</v>
      </c>
      <c r="D153" t="inlineStr">
        <is>
          <t>JÄMTLANDS LÄN</t>
        </is>
      </c>
      <c r="E153" t="inlineStr">
        <is>
          <t>KROKOM</t>
        </is>
      </c>
      <c r="G153" t="n">
        <v>1</v>
      </c>
      <c r="H153" t="n">
        <v>0</v>
      </c>
      <c r="I153" t="n">
        <v>0</v>
      </c>
      <c r="J153" t="n">
        <v>1</v>
      </c>
      <c r="K153" t="n">
        <v>0</v>
      </c>
      <c r="L153" t="n">
        <v>0</v>
      </c>
      <c r="M153" t="n">
        <v>0</v>
      </c>
      <c r="N153" t="n">
        <v>0</v>
      </c>
      <c r="O153" t="n">
        <v>1</v>
      </c>
      <c r="P153" t="n">
        <v>0</v>
      </c>
      <c r="Q153" t="n">
        <v>1</v>
      </c>
      <c r="R153" s="2" t="inlineStr">
        <is>
          <t>Dofttaggsvamp</t>
        </is>
      </c>
      <c r="S153">
        <f>HYPERLINK("https://klasma.github.io/Logging_2309/artfynd/A 45626-2020 artfynd.xlsx", "A 45626-2020")</f>
        <v/>
      </c>
      <c r="T153">
        <f>HYPERLINK("https://klasma.github.io/Logging_2309/kartor/A 45626-2020 karta.png", "A 45626-2020")</f>
        <v/>
      </c>
      <c r="V153">
        <f>HYPERLINK("https://klasma.github.io/Logging_2309/klagomål/A 45626-2020 FSC-klagomål.docx", "A 45626-2020")</f>
        <v/>
      </c>
      <c r="W153">
        <f>HYPERLINK("https://klasma.github.io/Logging_2309/klagomålsmail/A 45626-2020 FSC-klagomål mail.docx", "A 45626-2020")</f>
        <v/>
      </c>
      <c r="X153">
        <f>HYPERLINK("https://klasma.github.io/Logging_2309/tillsyn/A 45626-2020 tillsynsbegäran.docx", "A 45626-2020")</f>
        <v/>
      </c>
      <c r="Y153">
        <f>HYPERLINK("https://klasma.github.io/Logging_2309/tillsynsmail/A 45626-2020 tillsynsbegäran mail.docx", "A 45626-2020")</f>
        <v/>
      </c>
    </row>
    <row r="154" ht="15" customHeight="1">
      <c r="A154" t="inlineStr">
        <is>
          <t>A 47459-2020</t>
        </is>
      </c>
      <c r="B154" s="1" t="n">
        <v>44097</v>
      </c>
      <c r="C154" s="1" t="n">
        <v>45358</v>
      </c>
      <c r="D154" t="inlineStr">
        <is>
          <t>JÄMTLANDS LÄN</t>
        </is>
      </c>
      <c r="E154" t="inlineStr">
        <is>
          <t>KROKOM</t>
        </is>
      </c>
      <c r="F154" t="inlineStr">
        <is>
          <t>SCA</t>
        </is>
      </c>
      <c r="G154" t="n">
        <v>1.7</v>
      </c>
      <c r="H154" t="n">
        <v>0</v>
      </c>
      <c r="I154" t="n">
        <v>0</v>
      </c>
      <c r="J154" t="n">
        <v>1</v>
      </c>
      <c r="K154" t="n">
        <v>0</v>
      </c>
      <c r="L154" t="n">
        <v>0</v>
      </c>
      <c r="M154" t="n">
        <v>0</v>
      </c>
      <c r="N154" t="n">
        <v>0</v>
      </c>
      <c r="O154" t="n">
        <v>1</v>
      </c>
      <c r="P154" t="n">
        <v>0</v>
      </c>
      <c r="Q154" t="n">
        <v>1</v>
      </c>
      <c r="R154" s="2" t="inlineStr">
        <is>
          <t>Skrovellav</t>
        </is>
      </c>
      <c r="S154">
        <f>HYPERLINK("https://klasma.github.io/Logging_2309/artfynd/A 47459-2020 artfynd.xlsx", "A 47459-2020")</f>
        <v/>
      </c>
      <c r="T154">
        <f>HYPERLINK("https://klasma.github.io/Logging_2309/kartor/A 47459-2020 karta.png", "A 47459-2020")</f>
        <v/>
      </c>
      <c r="V154">
        <f>HYPERLINK("https://klasma.github.io/Logging_2309/klagomål/A 47459-2020 FSC-klagomål.docx", "A 47459-2020")</f>
        <v/>
      </c>
      <c r="W154">
        <f>HYPERLINK("https://klasma.github.io/Logging_2309/klagomålsmail/A 47459-2020 FSC-klagomål mail.docx", "A 47459-2020")</f>
        <v/>
      </c>
      <c r="X154">
        <f>HYPERLINK("https://klasma.github.io/Logging_2309/tillsyn/A 47459-2020 tillsynsbegäran.docx", "A 47459-2020")</f>
        <v/>
      </c>
      <c r="Y154">
        <f>HYPERLINK("https://klasma.github.io/Logging_2309/tillsynsmail/A 47459-2020 tillsynsbegäran mail.docx", "A 47459-2020")</f>
        <v/>
      </c>
    </row>
    <row r="155" ht="15" customHeight="1">
      <c r="A155" t="inlineStr">
        <is>
          <t>A 48863-2020</t>
        </is>
      </c>
      <c r="B155" s="1" t="n">
        <v>44099</v>
      </c>
      <c r="C155" s="1" t="n">
        <v>45358</v>
      </c>
      <c r="D155" t="inlineStr">
        <is>
          <t>JÄMTLANDS LÄN</t>
        </is>
      </c>
      <c r="E155" t="inlineStr">
        <is>
          <t>KROKOM</t>
        </is>
      </c>
      <c r="F155" t="inlineStr">
        <is>
          <t>SCA</t>
        </is>
      </c>
      <c r="G155" t="n">
        <v>7.2</v>
      </c>
      <c r="H155" t="n">
        <v>0</v>
      </c>
      <c r="I155" t="n">
        <v>0</v>
      </c>
      <c r="J155" t="n">
        <v>0</v>
      </c>
      <c r="K155" t="n">
        <v>1</v>
      </c>
      <c r="L155" t="n">
        <v>0</v>
      </c>
      <c r="M155" t="n">
        <v>0</v>
      </c>
      <c r="N155" t="n">
        <v>0</v>
      </c>
      <c r="O155" t="n">
        <v>1</v>
      </c>
      <c r="P155" t="n">
        <v>1</v>
      </c>
      <c r="Q155" t="n">
        <v>1</v>
      </c>
      <c r="R155" s="2" t="inlineStr">
        <is>
          <t>Fläckporing</t>
        </is>
      </c>
      <c r="S155">
        <f>HYPERLINK("https://klasma.github.io/Logging_2309/artfynd/A 48863-2020 artfynd.xlsx", "A 48863-2020")</f>
        <v/>
      </c>
      <c r="T155">
        <f>HYPERLINK("https://klasma.github.io/Logging_2309/kartor/A 48863-2020 karta.png", "A 48863-2020")</f>
        <v/>
      </c>
      <c r="V155">
        <f>HYPERLINK("https://klasma.github.io/Logging_2309/klagomål/A 48863-2020 FSC-klagomål.docx", "A 48863-2020")</f>
        <v/>
      </c>
      <c r="W155">
        <f>HYPERLINK("https://klasma.github.io/Logging_2309/klagomålsmail/A 48863-2020 FSC-klagomål mail.docx", "A 48863-2020")</f>
        <v/>
      </c>
      <c r="X155">
        <f>HYPERLINK("https://klasma.github.io/Logging_2309/tillsyn/A 48863-2020 tillsynsbegäran.docx", "A 48863-2020")</f>
        <v/>
      </c>
      <c r="Y155">
        <f>HYPERLINK("https://klasma.github.io/Logging_2309/tillsynsmail/A 48863-2020 tillsynsbegäran mail.docx", "A 48863-2020")</f>
        <v/>
      </c>
    </row>
    <row r="156" ht="15" customHeight="1">
      <c r="A156" t="inlineStr">
        <is>
          <t>A 56202-2020</t>
        </is>
      </c>
      <c r="B156" s="1" t="n">
        <v>44133</v>
      </c>
      <c r="C156" s="1" t="n">
        <v>45358</v>
      </c>
      <c r="D156" t="inlineStr">
        <is>
          <t>JÄMTLANDS LÄN</t>
        </is>
      </c>
      <c r="E156" t="inlineStr">
        <is>
          <t>KROKOM</t>
        </is>
      </c>
      <c r="G156" t="n">
        <v>0.2</v>
      </c>
      <c r="H156" t="n">
        <v>1</v>
      </c>
      <c r="I156" t="n">
        <v>0</v>
      </c>
      <c r="J156" t="n">
        <v>1</v>
      </c>
      <c r="K156" t="n">
        <v>0</v>
      </c>
      <c r="L156" t="n">
        <v>0</v>
      </c>
      <c r="M156" t="n">
        <v>0</v>
      </c>
      <c r="N156" t="n">
        <v>0</v>
      </c>
      <c r="O156" t="n">
        <v>1</v>
      </c>
      <c r="P156" t="n">
        <v>0</v>
      </c>
      <c r="Q156" t="n">
        <v>1</v>
      </c>
      <c r="R156" s="2" t="inlineStr">
        <is>
          <t>Tretåig hackspett</t>
        </is>
      </c>
      <c r="S156">
        <f>HYPERLINK("https://klasma.github.io/Logging_2309/artfynd/A 56202-2020 artfynd.xlsx", "A 56202-2020")</f>
        <v/>
      </c>
      <c r="T156">
        <f>HYPERLINK("https://klasma.github.io/Logging_2309/kartor/A 56202-2020 karta.png", "A 56202-2020")</f>
        <v/>
      </c>
      <c r="V156">
        <f>HYPERLINK("https://klasma.github.io/Logging_2309/klagomål/A 56202-2020 FSC-klagomål.docx", "A 56202-2020")</f>
        <v/>
      </c>
      <c r="W156">
        <f>HYPERLINK("https://klasma.github.io/Logging_2309/klagomålsmail/A 56202-2020 FSC-klagomål mail.docx", "A 56202-2020")</f>
        <v/>
      </c>
      <c r="X156">
        <f>HYPERLINK("https://klasma.github.io/Logging_2309/tillsyn/A 56202-2020 tillsynsbegäran.docx", "A 56202-2020")</f>
        <v/>
      </c>
      <c r="Y156">
        <f>HYPERLINK("https://klasma.github.io/Logging_2309/tillsynsmail/A 56202-2020 tillsynsbegäran mail.docx", "A 56202-2020")</f>
        <v/>
      </c>
      <c r="Z156">
        <f>HYPERLINK("https://klasma.github.io/Logging_2309/fåglar/A 56202-2020 prioriterade fågelarter.docx", "A 56202-2020")</f>
        <v/>
      </c>
    </row>
    <row r="157" ht="15" customHeight="1">
      <c r="A157" t="inlineStr">
        <is>
          <t>A 61054-2020</t>
        </is>
      </c>
      <c r="B157" s="1" t="n">
        <v>44154</v>
      </c>
      <c r="C157" s="1" t="n">
        <v>45358</v>
      </c>
      <c r="D157" t="inlineStr">
        <is>
          <t>JÄMTLANDS LÄN</t>
        </is>
      </c>
      <c r="E157" t="inlineStr">
        <is>
          <t>KROKOM</t>
        </is>
      </c>
      <c r="F157" t="inlineStr">
        <is>
          <t>Övriga Aktiebolag</t>
        </is>
      </c>
      <c r="G157" t="n">
        <v>1.2</v>
      </c>
      <c r="H157" t="n">
        <v>1</v>
      </c>
      <c r="I157" t="n">
        <v>1</v>
      </c>
      <c r="J157" t="n">
        <v>0</v>
      </c>
      <c r="K157" t="n">
        <v>0</v>
      </c>
      <c r="L157" t="n">
        <v>0</v>
      </c>
      <c r="M157" t="n">
        <v>0</v>
      </c>
      <c r="N157" t="n">
        <v>0</v>
      </c>
      <c r="O157" t="n">
        <v>0</v>
      </c>
      <c r="P157" t="n">
        <v>0</v>
      </c>
      <c r="Q157" t="n">
        <v>1</v>
      </c>
      <c r="R157" s="2" t="inlineStr">
        <is>
          <t>Korallrot</t>
        </is>
      </c>
      <c r="S157">
        <f>HYPERLINK("https://klasma.github.io/Logging_2309/artfynd/A 61054-2020 artfynd.xlsx", "A 61054-2020")</f>
        <v/>
      </c>
      <c r="T157">
        <f>HYPERLINK("https://klasma.github.io/Logging_2309/kartor/A 61054-2020 karta.png", "A 61054-2020")</f>
        <v/>
      </c>
      <c r="V157">
        <f>HYPERLINK("https://klasma.github.io/Logging_2309/klagomål/A 61054-2020 FSC-klagomål.docx", "A 61054-2020")</f>
        <v/>
      </c>
      <c r="W157">
        <f>HYPERLINK("https://klasma.github.io/Logging_2309/klagomålsmail/A 61054-2020 FSC-klagomål mail.docx", "A 61054-2020")</f>
        <v/>
      </c>
      <c r="X157">
        <f>HYPERLINK("https://klasma.github.io/Logging_2309/tillsyn/A 61054-2020 tillsynsbegäran.docx", "A 61054-2020")</f>
        <v/>
      </c>
      <c r="Y157">
        <f>HYPERLINK("https://klasma.github.io/Logging_2309/tillsynsmail/A 61054-2020 tillsynsbegäran mail.docx", "A 61054-2020")</f>
        <v/>
      </c>
    </row>
    <row r="158" ht="15" customHeight="1">
      <c r="A158" t="inlineStr">
        <is>
          <t>A 1112-2021</t>
        </is>
      </c>
      <c r="B158" s="1" t="n">
        <v>44207</v>
      </c>
      <c r="C158" s="1" t="n">
        <v>45358</v>
      </c>
      <c r="D158" t="inlineStr">
        <is>
          <t>JÄMTLANDS LÄN</t>
        </is>
      </c>
      <c r="E158" t="inlineStr">
        <is>
          <t>KROKOM</t>
        </is>
      </c>
      <c r="F158" t="inlineStr">
        <is>
          <t>Övriga Aktiebolag</t>
        </is>
      </c>
      <c r="G158" t="n">
        <v>90.7</v>
      </c>
      <c r="H158" t="n">
        <v>0</v>
      </c>
      <c r="I158" t="n">
        <v>1</v>
      </c>
      <c r="J158" t="n">
        <v>0</v>
      </c>
      <c r="K158" t="n">
        <v>0</v>
      </c>
      <c r="L158" t="n">
        <v>0</v>
      </c>
      <c r="M158" t="n">
        <v>0</v>
      </c>
      <c r="N158" t="n">
        <v>0</v>
      </c>
      <c r="O158" t="n">
        <v>0</v>
      </c>
      <c r="P158" t="n">
        <v>0</v>
      </c>
      <c r="Q158" t="n">
        <v>1</v>
      </c>
      <c r="R158" s="2" t="inlineStr">
        <is>
          <t>Kambräken</t>
        </is>
      </c>
      <c r="S158">
        <f>HYPERLINK("https://klasma.github.io/Logging_2309/artfynd/A 1112-2021 artfynd.xlsx", "A 1112-2021")</f>
        <v/>
      </c>
      <c r="T158">
        <f>HYPERLINK("https://klasma.github.io/Logging_2309/kartor/A 1112-2021 karta.png", "A 1112-2021")</f>
        <v/>
      </c>
      <c r="V158">
        <f>HYPERLINK("https://klasma.github.io/Logging_2309/klagomål/A 1112-2021 FSC-klagomål.docx", "A 1112-2021")</f>
        <v/>
      </c>
      <c r="W158">
        <f>HYPERLINK("https://klasma.github.io/Logging_2309/klagomålsmail/A 1112-2021 FSC-klagomål mail.docx", "A 1112-2021")</f>
        <v/>
      </c>
      <c r="X158">
        <f>HYPERLINK("https://klasma.github.io/Logging_2309/tillsyn/A 1112-2021 tillsynsbegäran.docx", "A 1112-2021")</f>
        <v/>
      </c>
      <c r="Y158">
        <f>HYPERLINK("https://klasma.github.io/Logging_2309/tillsynsmail/A 1112-2021 tillsynsbegäran mail.docx", "A 1112-2021")</f>
        <v/>
      </c>
    </row>
    <row r="159" ht="15" customHeight="1">
      <c r="A159" t="inlineStr">
        <is>
          <t>A 5527-2021</t>
        </is>
      </c>
      <c r="B159" s="1" t="n">
        <v>44230</v>
      </c>
      <c r="C159" s="1" t="n">
        <v>45358</v>
      </c>
      <c r="D159" t="inlineStr">
        <is>
          <t>JÄMTLANDS LÄN</t>
        </is>
      </c>
      <c r="E159" t="inlineStr">
        <is>
          <t>KROKOM</t>
        </is>
      </c>
      <c r="G159" t="n">
        <v>17.8</v>
      </c>
      <c r="H159" t="n">
        <v>1</v>
      </c>
      <c r="I159" t="n">
        <v>1</v>
      </c>
      <c r="J159" t="n">
        <v>0</v>
      </c>
      <c r="K159" t="n">
        <v>0</v>
      </c>
      <c r="L159" t="n">
        <v>0</v>
      </c>
      <c r="M159" t="n">
        <v>0</v>
      </c>
      <c r="N159" t="n">
        <v>0</v>
      </c>
      <c r="O159" t="n">
        <v>0</v>
      </c>
      <c r="P159" t="n">
        <v>0</v>
      </c>
      <c r="Q159" t="n">
        <v>1</v>
      </c>
      <c r="R159" s="2" t="inlineStr">
        <is>
          <t>Guckusko</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row>
    <row r="160" ht="15" customHeight="1">
      <c r="A160" t="inlineStr">
        <is>
          <t>A 11780-2021</t>
        </is>
      </c>
      <c r="B160" s="1" t="n">
        <v>44265</v>
      </c>
      <c r="C160" s="1" t="n">
        <v>45358</v>
      </c>
      <c r="D160" t="inlineStr">
        <is>
          <t>JÄMTLANDS LÄN</t>
        </is>
      </c>
      <c r="E160" t="inlineStr">
        <is>
          <t>KROKOM</t>
        </is>
      </c>
      <c r="G160" t="n">
        <v>1.3</v>
      </c>
      <c r="H160" t="n">
        <v>1</v>
      </c>
      <c r="I160" t="n">
        <v>0</v>
      </c>
      <c r="J160" t="n">
        <v>1</v>
      </c>
      <c r="K160" t="n">
        <v>0</v>
      </c>
      <c r="L160" t="n">
        <v>0</v>
      </c>
      <c r="M160" t="n">
        <v>0</v>
      </c>
      <c r="N160" t="n">
        <v>0</v>
      </c>
      <c r="O160" t="n">
        <v>1</v>
      </c>
      <c r="P160" t="n">
        <v>0</v>
      </c>
      <c r="Q160" t="n">
        <v>1</v>
      </c>
      <c r="R160" s="2" t="inlineStr">
        <is>
          <t>Tretåig hackspett</t>
        </is>
      </c>
      <c r="S160">
        <f>HYPERLINK("https://klasma.github.io/Logging_2309/artfynd/A 11780-2021 artfynd.xlsx", "A 11780-2021")</f>
        <v/>
      </c>
      <c r="T160">
        <f>HYPERLINK("https://klasma.github.io/Logging_2309/kartor/A 11780-2021 karta.png", "A 11780-2021")</f>
        <v/>
      </c>
      <c r="V160">
        <f>HYPERLINK("https://klasma.github.io/Logging_2309/klagomål/A 11780-2021 FSC-klagomål.docx", "A 11780-2021")</f>
        <v/>
      </c>
      <c r="W160">
        <f>HYPERLINK("https://klasma.github.io/Logging_2309/klagomålsmail/A 11780-2021 FSC-klagomål mail.docx", "A 11780-2021")</f>
        <v/>
      </c>
      <c r="X160">
        <f>HYPERLINK("https://klasma.github.io/Logging_2309/tillsyn/A 11780-2021 tillsynsbegäran.docx", "A 11780-2021")</f>
        <v/>
      </c>
      <c r="Y160">
        <f>HYPERLINK("https://klasma.github.io/Logging_2309/tillsynsmail/A 11780-2021 tillsynsbegäran mail.docx", "A 11780-2021")</f>
        <v/>
      </c>
      <c r="Z160">
        <f>HYPERLINK("https://klasma.github.io/Logging_2309/fåglar/A 11780-2021 prioriterade fågelarter.docx", "A 11780-2021")</f>
        <v/>
      </c>
    </row>
    <row r="161" ht="15" customHeight="1">
      <c r="A161" t="inlineStr">
        <is>
          <t>A 19282-2021</t>
        </is>
      </c>
      <c r="B161" s="1" t="n">
        <v>44308</v>
      </c>
      <c r="C161" s="1" t="n">
        <v>45358</v>
      </c>
      <c r="D161" t="inlineStr">
        <is>
          <t>JÄMTLANDS LÄN</t>
        </is>
      </c>
      <c r="E161" t="inlineStr">
        <is>
          <t>KROKOM</t>
        </is>
      </c>
      <c r="G161" t="n">
        <v>2</v>
      </c>
      <c r="H161" t="n">
        <v>0</v>
      </c>
      <c r="I161" t="n">
        <v>0</v>
      </c>
      <c r="J161" t="n">
        <v>1</v>
      </c>
      <c r="K161" t="n">
        <v>0</v>
      </c>
      <c r="L161" t="n">
        <v>0</v>
      </c>
      <c r="M161" t="n">
        <v>0</v>
      </c>
      <c r="N161" t="n">
        <v>0</v>
      </c>
      <c r="O161" t="n">
        <v>1</v>
      </c>
      <c r="P161" t="n">
        <v>0</v>
      </c>
      <c r="Q161" t="n">
        <v>1</v>
      </c>
      <c r="R161" s="2" t="inlineStr">
        <is>
          <t>Garnlav</t>
        </is>
      </c>
      <c r="S161">
        <f>HYPERLINK("https://klasma.github.io/Logging_2309/artfynd/A 19282-2021 artfynd.xlsx", "A 19282-2021")</f>
        <v/>
      </c>
      <c r="T161">
        <f>HYPERLINK("https://klasma.github.io/Logging_2309/kartor/A 19282-2021 karta.png", "A 19282-2021")</f>
        <v/>
      </c>
      <c r="V161">
        <f>HYPERLINK("https://klasma.github.io/Logging_2309/klagomål/A 19282-2021 FSC-klagomål.docx", "A 19282-2021")</f>
        <v/>
      </c>
      <c r="W161">
        <f>HYPERLINK("https://klasma.github.io/Logging_2309/klagomålsmail/A 19282-2021 FSC-klagomål mail.docx", "A 19282-2021")</f>
        <v/>
      </c>
      <c r="X161">
        <f>HYPERLINK("https://klasma.github.io/Logging_2309/tillsyn/A 19282-2021 tillsynsbegäran.docx", "A 19282-2021")</f>
        <v/>
      </c>
      <c r="Y161">
        <f>HYPERLINK("https://klasma.github.io/Logging_2309/tillsynsmail/A 19282-2021 tillsynsbegäran mail.docx", "A 19282-2021")</f>
        <v/>
      </c>
    </row>
    <row r="162" ht="15" customHeight="1">
      <c r="A162" t="inlineStr">
        <is>
          <t>A 46787-2021</t>
        </is>
      </c>
      <c r="B162" s="1" t="n">
        <v>44445</v>
      </c>
      <c r="C162" s="1" t="n">
        <v>45358</v>
      </c>
      <c r="D162" t="inlineStr">
        <is>
          <t>JÄMTLANDS LÄN</t>
        </is>
      </c>
      <c r="E162" t="inlineStr">
        <is>
          <t>KROKOM</t>
        </is>
      </c>
      <c r="F162" t="inlineStr">
        <is>
          <t>SCA</t>
        </is>
      </c>
      <c r="G162" t="n">
        <v>4.6</v>
      </c>
      <c r="H162" t="n">
        <v>0</v>
      </c>
      <c r="I162" t="n">
        <v>0</v>
      </c>
      <c r="J162" t="n">
        <v>1</v>
      </c>
      <c r="K162" t="n">
        <v>0</v>
      </c>
      <c r="L162" t="n">
        <v>0</v>
      </c>
      <c r="M162" t="n">
        <v>0</v>
      </c>
      <c r="N162" t="n">
        <v>0</v>
      </c>
      <c r="O162" t="n">
        <v>1</v>
      </c>
      <c r="P162" t="n">
        <v>0</v>
      </c>
      <c r="Q162" t="n">
        <v>1</v>
      </c>
      <c r="R162" s="2" t="inlineStr">
        <is>
          <t>Gammelgransskål</t>
        </is>
      </c>
      <c r="S162">
        <f>HYPERLINK("https://klasma.github.io/Logging_2309/artfynd/A 46787-2021 artfynd.xlsx", "A 46787-2021")</f>
        <v/>
      </c>
      <c r="T162">
        <f>HYPERLINK("https://klasma.github.io/Logging_2309/kartor/A 46787-2021 karta.png", "A 46787-2021")</f>
        <v/>
      </c>
      <c r="V162">
        <f>HYPERLINK("https://klasma.github.io/Logging_2309/klagomål/A 46787-2021 FSC-klagomål.docx", "A 46787-2021")</f>
        <v/>
      </c>
      <c r="W162">
        <f>HYPERLINK("https://klasma.github.io/Logging_2309/klagomålsmail/A 46787-2021 FSC-klagomål mail.docx", "A 46787-2021")</f>
        <v/>
      </c>
      <c r="X162">
        <f>HYPERLINK("https://klasma.github.io/Logging_2309/tillsyn/A 46787-2021 tillsynsbegäran.docx", "A 46787-2021")</f>
        <v/>
      </c>
      <c r="Y162">
        <f>HYPERLINK("https://klasma.github.io/Logging_2309/tillsynsmail/A 46787-2021 tillsynsbegäran mail.docx", "A 46787-2021")</f>
        <v/>
      </c>
    </row>
    <row r="163" ht="15" customHeight="1">
      <c r="A163" t="inlineStr">
        <is>
          <t>A 46785-2021</t>
        </is>
      </c>
      <c r="B163" s="1" t="n">
        <v>44445</v>
      </c>
      <c r="C163" s="1" t="n">
        <v>45358</v>
      </c>
      <c r="D163" t="inlineStr">
        <is>
          <t>JÄMTLANDS LÄN</t>
        </is>
      </c>
      <c r="E163" t="inlineStr">
        <is>
          <t>KROKOM</t>
        </is>
      </c>
      <c r="F163" t="inlineStr">
        <is>
          <t>SCA</t>
        </is>
      </c>
      <c r="G163" t="n">
        <v>1.5</v>
      </c>
      <c r="H163" t="n">
        <v>0</v>
      </c>
      <c r="I163" t="n">
        <v>0</v>
      </c>
      <c r="J163" t="n">
        <v>1</v>
      </c>
      <c r="K163" t="n">
        <v>0</v>
      </c>
      <c r="L163" t="n">
        <v>0</v>
      </c>
      <c r="M163" t="n">
        <v>0</v>
      </c>
      <c r="N163" t="n">
        <v>0</v>
      </c>
      <c r="O163" t="n">
        <v>1</v>
      </c>
      <c r="P163" t="n">
        <v>0</v>
      </c>
      <c r="Q163" t="n">
        <v>1</v>
      </c>
      <c r="R163" s="2" t="inlineStr">
        <is>
          <t>Harticka</t>
        </is>
      </c>
      <c r="S163">
        <f>HYPERLINK("https://klasma.github.io/Logging_2309/artfynd/A 46785-2021 artfynd.xlsx", "A 46785-2021")</f>
        <v/>
      </c>
      <c r="T163">
        <f>HYPERLINK("https://klasma.github.io/Logging_2309/kartor/A 46785-2021 karta.png", "A 46785-2021")</f>
        <v/>
      </c>
      <c r="V163">
        <f>HYPERLINK("https://klasma.github.io/Logging_2309/klagomål/A 46785-2021 FSC-klagomål.docx", "A 46785-2021")</f>
        <v/>
      </c>
      <c r="W163">
        <f>HYPERLINK("https://klasma.github.io/Logging_2309/klagomålsmail/A 46785-2021 FSC-klagomål mail.docx", "A 46785-2021")</f>
        <v/>
      </c>
      <c r="X163">
        <f>HYPERLINK("https://klasma.github.io/Logging_2309/tillsyn/A 46785-2021 tillsynsbegäran.docx", "A 46785-2021")</f>
        <v/>
      </c>
      <c r="Y163">
        <f>HYPERLINK("https://klasma.github.io/Logging_2309/tillsynsmail/A 46785-2021 tillsynsbegäran mail.docx", "A 46785-2021")</f>
        <v/>
      </c>
    </row>
    <row r="164" ht="15" customHeight="1">
      <c r="A164" t="inlineStr">
        <is>
          <t>A 54547-2021</t>
        </is>
      </c>
      <c r="B164" s="1" t="n">
        <v>44473</v>
      </c>
      <c r="C164" s="1" t="n">
        <v>45358</v>
      </c>
      <c r="D164" t="inlineStr">
        <is>
          <t>JÄMTLANDS LÄN</t>
        </is>
      </c>
      <c r="E164" t="inlineStr">
        <is>
          <t>KROKOM</t>
        </is>
      </c>
      <c r="G164" t="n">
        <v>8</v>
      </c>
      <c r="H164" t="n">
        <v>0</v>
      </c>
      <c r="I164" t="n">
        <v>0</v>
      </c>
      <c r="J164" t="n">
        <v>1</v>
      </c>
      <c r="K164" t="n">
        <v>0</v>
      </c>
      <c r="L164" t="n">
        <v>0</v>
      </c>
      <c r="M164" t="n">
        <v>0</v>
      </c>
      <c r="N164" t="n">
        <v>0</v>
      </c>
      <c r="O164" t="n">
        <v>1</v>
      </c>
      <c r="P164" t="n">
        <v>0</v>
      </c>
      <c r="Q164" t="n">
        <v>1</v>
      </c>
      <c r="R164" s="2" t="inlineStr">
        <is>
          <t>Luddfingersvamp</t>
        </is>
      </c>
      <c r="S164">
        <f>HYPERLINK("https://klasma.github.io/Logging_2309/artfynd/A 54547-2021 artfynd.xlsx", "A 54547-2021")</f>
        <v/>
      </c>
      <c r="T164">
        <f>HYPERLINK("https://klasma.github.io/Logging_2309/kartor/A 54547-2021 karta.png", "A 54547-2021")</f>
        <v/>
      </c>
      <c r="V164">
        <f>HYPERLINK("https://klasma.github.io/Logging_2309/klagomål/A 54547-2021 FSC-klagomål.docx", "A 54547-2021")</f>
        <v/>
      </c>
      <c r="W164">
        <f>HYPERLINK("https://klasma.github.io/Logging_2309/klagomålsmail/A 54547-2021 FSC-klagomål mail.docx", "A 54547-2021")</f>
        <v/>
      </c>
      <c r="X164">
        <f>HYPERLINK("https://klasma.github.io/Logging_2309/tillsyn/A 54547-2021 tillsynsbegäran.docx", "A 54547-2021")</f>
        <v/>
      </c>
      <c r="Y164">
        <f>HYPERLINK("https://klasma.github.io/Logging_2309/tillsynsmail/A 54547-2021 tillsynsbegäran mail.docx", "A 54547-2021")</f>
        <v/>
      </c>
    </row>
    <row r="165" ht="15" customHeight="1">
      <c r="A165" t="inlineStr">
        <is>
          <t>A 60006-2021</t>
        </is>
      </c>
      <c r="B165" s="1" t="n">
        <v>44494</v>
      </c>
      <c r="C165" s="1" t="n">
        <v>45358</v>
      </c>
      <c r="D165" t="inlineStr">
        <is>
          <t>JÄMTLANDS LÄN</t>
        </is>
      </c>
      <c r="E165" t="inlineStr">
        <is>
          <t>KROKOM</t>
        </is>
      </c>
      <c r="F165" t="inlineStr">
        <is>
          <t>SCA</t>
        </is>
      </c>
      <c r="G165" t="n">
        <v>7.5</v>
      </c>
      <c r="H165" t="n">
        <v>0</v>
      </c>
      <c r="I165" t="n">
        <v>0</v>
      </c>
      <c r="J165" t="n">
        <v>1</v>
      </c>
      <c r="K165" t="n">
        <v>0</v>
      </c>
      <c r="L165" t="n">
        <v>0</v>
      </c>
      <c r="M165" t="n">
        <v>0</v>
      </c>
      <c r="N165" t="n">
        <v>0</v>
      </c>
      <c r="O165" t="n">
        <v>1</v>
      </c>
      <c r="P165" t="n">
        <v>0</v>
      </c>
      <c r="Q165" t="n">
        <v>1</v>
      </c>
      <c r="R165" s="2" t="inlineStr">
        <is>
          <t>Flattoppad klubbsvamp</t>
        </is>
      </c>
      <c r="S165">
        <f>HYPERLINK("https://klasma.github.io/Logging_2309/artfynd/A 60006-2021 artfynd.xlsx", "A 60006-2021")</f>
        <v/>
      </c>
      <c r="T165">
        <f>HYPERLINK("https://klasma.github.io/Logging_2309/kartor/A 60006-2021 karta.png", "A 60006-2021")</f>
        <v/>
      </c>
      <c r="V165">
        <f>HYPERLINK("https://klasma.github.io/Logging_2309/klagomål/A 60006-2021 FSC-klagomål.docx", "A 60006-2021")</f>
        <v/>
      </c>
      <c r="W165">
        <f>HYPERLINK("https://klasma.github.io/Logging_2309/klagomålsmail/A 60006-2021 FSC-klagomål mail.docx", "A 60006-2021")</f>
        <v/>
      </c>
      <c r="X165">
        <f>HYPERLINK("https://klasma.github.io/Logging_2309/tillsyn/A 60006-2021 tillsynsbegäran.docx", "A 60006-2021")</f>
        <v/>
      </c>
      <c r="Y165">
        <f>HYPERLINK("https://klasma.github.io/Logging_2309/tillsynsmail/A 60006-2021 tillsynsbegäran mail.docx", "A 60006-2021")</f>
        <v/>
      </c>
    </row>
    <row r="166" ht="15" customHeight="1">
      <c r="A166" t="inlineStr">
        <is>
          <t>A 64301-2021</t>
        </is>
      </c>
      <c r="B166" s="1" t="n">
        <v>44510</v>
      </c>
      <c r="C166" s="1" t="n">
        <v>45358</v>
      </c>
      <c r="D166" t="inlineStr">
        <is>
          <t>JÄMTLANDS LÄN</t>
        </is>
      </c>
      <c r="E166" t="inlineStr">
        <is>
          <t>KROKOM</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64301-2021 artfynd.xlsx", "A 64301-2021")</f>
        <v/>
      </c>
      <c r="T166">
        <f>HYPERLINK("https://klasma.github.io/Logging_2309/kartor/A 64301-2021 karta.png", "A 64301-2021")</f>
        <v/>
      </c>
      <c r="V166">
        <f>HYPERLINK("https://klasma.github.io/Logging_2309/klagomål/A 64301-2021 FSC-klagomål.docx", "A 64301-2021")</f>
        <v/>
      </c>
      <c r="W166">
        <f>HYPERLINK("https://klasma.github.io/Logging_2309/klagomålsmail/A 64301-2021 FSC-klagomål mail.docx", "A 64301-2021")</f>
        <v/>
      </c>
      <c r="X166">
        <f>HYPERLINK("https://klasma.github.io/Logging_2309/tillsyn/A 64301-2021 tillsynsbegäran.docx", "A 64301-2021")</f>
        <v/>
      </c>
      <c r="Y166">
        <f>HYPERLINK("https://klasma.github.io/Logging_2309/tillsynsmail/A 64301-2021 tillsynsbegäran mail.docx", "A 64301-2021")</f>
        <v/>
      </c>
      <c r="Z166">
        <f>HYPERLINK("https://klasma.github.io/Logging_2309/fåglar/A 64301-2021 prioriterade fågelarter.docx", "A 64301-2021")</f>
        <v/>
      </c>
    </row>
    <row r="167" ht="15" customHeight="1">
      <c r="A167" t="inlineStr">
        <is>
          <t>A 64951-2021</t>
        </is>
      </c>
      <c r="B167" s="1" t="n">
        <v>44512</v>
      </c>
      <c r="C167" s="1" t="n">
        <v>45358</v>
      </c>
      <c r="D167" t="inlineStr">
        <is>
          <t>JÄMTLANDS LÄN</t>
        </is>
      </c>
      <c r="E167" t="inlineStr">
        <is>
          <t>KROKOM</t>
        </is>
      </c>
      <c r="F167" t="inlineStr">
        <is>
          <t>SCA</t>
        </is>
      </c>
      <c r="G167" t="n">
        <v>2.5</v>
      </c>
      <c r="H167" t="n">
        <v>0</v>
      </c>
      <c r="I167" t="n">
        <v>1</v>
      </c>
      <c r="J167" t="n">
        <v>0</v>
      </c>
      <c r="K167" t="n">
        <v>0</v>
      </c>
      <c r="L167" t="n">
        <v>0</v>
      </c>
      <c r="M167" t="n">
        <v>0</v>
      </c>
      <c r="N167" t="n">
        <v>0</v>
      </c>
      <c r="O167" t="n">
        <v>0</v>
      </c>
      <c r="P167" t="n">
        <v>0</v>
      </c>
      <c r="Q167" t="n">
        <v>1</v>
      </c>
      <c r="R167" s="2" t="inlineStr">
        <is>
          <t>Kransrams</t>
        </is>
      </c>
      <c r="S167">
        <f>HYPERLINK("https://klasma.github.io/Logging_2309/artfynd/A 64951-2021 artfynd.xlsx", "A 64951-2021")</f>
        <v/>
      </c>
      <c r="T167">
        <f>HYPERLINK("https://klasma.github.io/Logging_2309/kartor/A 64951-2021 karta.png", "A 64951-2021")</f>
        <v/>
      </c>
      <c r="V167">
        <f>HYPERLINK("https://klasma.github.io/Logging_2309/klagomål/A 64951-2021 FSC-klagomål.docx", "A 64951-2021")</f>
        <v/>
      </c>
      <c r="W167">
        <f>HYPERLINK("https://klasma.github.io/Logging_2309/klagomålsmail/A 64951-2021 FSC-klagomål mail.docx", "A 64951-2021")</f>
        <v/>
      </c>
      <c r="X167">
        <f>HYPERLINK("https://klasma.github.io/Logging_2309/tillsyn/A 64951-2021 tillsynsbegäran.docx", "A 64951-2021")</f>
        <v/>
      </c>
      <c r="Y167">
        <f>HYPERLINK("https://klasma.github.io/Logging_2309/tillsynsmail/A 64951-2021 tillsynsbegäran mail.docx", "A 64951-2021")</f>
        <v/>
      </c>
    </row>
    <row r="168" ht="15" customHeight="1">
      <c r="A168" t="inlineStr">
        <is>
          <t>A 64968-2021</t>
        </is>
      </c>
      <c r="B168" s="1" t="n">
        <v>44512</v>
      </c>
      <c r="C168" s="1" t="n">
        <v>45358</v>
      </c>
      <c r="D168" t="inlineStr">
        <is>
          <t>JÄMTLANDS LÄN</t>
        </is>
      </c>
      <c r="E168" t="inlineStr">
        <is>
          <t>KROKOM</t>
        </is>
      </c>
      <c r="F168" t="inlineStr">
        <is>
          <t>SCA</t>
        </is>
      </c>
      <c r="G168" t="n">
        <v>3.2</v>
      </c>
      <c r="H168" t="n">
        <v>0</v>
      </c>
      <c r="I168" t="n">
        <v>0</v>
      </c>
      <c r="J168" t="n">
        <v>1</v>
      </c>
      <c r="K168" t="n">
        <v>0</v>
      </c>
      <c r="L168" t="n">
        <v>0</v>
      </c>
      <c r="M168" t="n">
        <v>0</v>
      </c>
      <c r="N168" t="n">
        <v>0</v>
      </c>
      <c r="O168" t="n">
        <v>1</v>
      </c>
      <c r="P168" t="n">
        <v>0</v>
      </c>
      <c r="Q168" t="n">
        <v>1</v>
      </c>
      <c r="R168" s="2" t="inlineStr">
        <is>
          <t>Skrovellav</t>
        </is>
      </c>
      <c r="S168">
        <f>HYPERLINK("https://klasma.github.io/Logging_2309/artfynd/A 64968-2021 artfynd.xlsx", "A 64968-2021")</f>
        <v/>
      </c>
      <c r="T168">
        <f>HYPERLINK("https://klasma.github.io/Logging_2309/kartor/A 64968-2021 karta.png", "A 64968-2021")</f>
        <v/>
      </c>
      <c r="V168">
        <f>HYPERLINK("https://klasma.github.io/Logging_2309/klagomål/A 64968-2021 FSC-klagomål.docx", "A 64968-2021")</f>
        <v/>
      </c>
      <c r="W168">
        <f>HYPERLINK("https://klasma.github.io/Logging_2309/klagomålsmail/A 64968-2021 FSC-klagomål mail.docx", "A 64968-2021")</f>
        <v/>
      </c>
      <c r="X168">
        <f>HYPERLINK("https://klasma.github.io/Logging_2309/tillsyn/A 64968-2021 tillsynsbegäran.docx", "A 64968-2021")</f>
        <v/>
      </c>
      <c r="Y168">
        <f>HYPERLINK("https://klasma.github.io/Logging_2309/tillsynsmail/A 64968-2021 tillsynsbegäran mail.docx", "A 64968-2021")</f>
        <v/>
      </c>
    </row>
    <row r="169" ht="15" customHeight="1">
      <c r="A169" t="inlineStr">
        <is>
          <t>A 67701-2021</t>
        </is>
      </c>
      <c r="B169" s="1" t="n">
        <v>44524</v>
      </c>
      <c r="C169" s="1" t="n">
        <v>45358</v>
      </c>
      <c r="D169" t="inlineStr">
        <is>
          <t>JÄMTLANDS LÄN</t>
        </is>
      </c>
      <c r="E169" t="inlineStr">
        <is>
          <t>KROKOM</t>
        </is>
      </c>
      <c r="F169" t="inlineStr">
        <is>
          <t>SCA</t>
        </is>
      </c>
      <c r="G169" t="n">
        <v>3.1</v>
      </c>
      <c r="H169" t="n">
        <v>0</v>
      </c>
      <c r="I169" t="n">
        <v>1</v>
      </c>
      <c r="J169" t="n">
        <v>0</v>
      </c>
      <c r="K169" t="n">
        <v>0</v>
      </c>
      <c r="L169" t="n">
        <v>0</v>
      </c>
      <c r="M169" t="n">
        <v>0</v>
      </c>
      <c r="N169" t="n">
        <v>0</v>
      </c>
      <c r="O169" t="n">
        <v>0</v>
      </c>
      <c r="P169" t="n">
        <v>0</v>
      </c>
      <c r="Q169" t="n">
        <v>1</v>
      </c>
      <c r="R169" s="2" t="inlineStr">
        <is>
          <t>Trådticka</t>
        </is>
      </c>
      <c r="S169">
        <f>HYPERLINK("https://klasma.github.io/Logging_2309/artfynd/A 67701-2021 artfynd.xlsx", "A 67701-2021")</f>
        <v/>
      </c>
      <c r="T169">
        <f>HYPERLINK("https://klasma.github.io/Logging_2309/kartor/A 67701-2021 karta.png", "A 67701-2021")</f>
        <v/>
      </c>
      <c r="V169">
        <f>HYPERLINK("https://klasma.github.io/Logging_2309/klagomål/A 67701-2021 FSC-klagomål.docx", "A 67701-2021")</f>
        <v/>
      </c>
      <c r="W169">
        <f>HYPERLINK("https://klasma.github.io/Logging_2309/klagomålsmail/A 67701-2021 FSC-klagomål mail.docx", "A 67701-2021")</f>
        <v/>
      </c>
      <c r="X169">
        <f>HYPERLINK("https://klasma.github.io/Logging_2309/tillsyn/A 67701-2021 tillsynsbegäran.docx", "A 67701-2021")</f>
        <v/>
      </c>
      <c r="Y169">
        <f>HYPERLINK("https://klasma.github.io/Logging_2309/tillsynsmail/A 67701-2021 tillsynsbegäran mail.docx", "A 67701-2021")</f>
        <v/>
      </c>
    </row>
    <row r="170" ht="15" customHeight="1">
      <c r="A170" t="inlineStr">
        <is>
          <t>A 69137-2021</t>
        </is>
      </c>
      <c r="B170" s="1" t="n">
        <v>44530</v>
      </c>
      <c r="C170" s="1" t="n">
        <v>45358</v>
      </c>
      <c r="D170" t="inlineStr">
        <is>
          <t>JÄMTLANDS LÄN</t>
        </is>
      </c>
      <c r="E170" t="inlineStr">
        <is>
          <t>KROKOM</t>
        </is>
      </c>
      <c r="F170" t="inlineStr">
        <is>
          <t>SCA</t>
        </is>
      </c>
      <c r="G170" t="n">
        <v>30.5</v>
      </c>
      <c r="H170" t="n">
        <v>0</v>
      </c>
      <c r="I170" t="n">
        <v>0</v>
      </c>
      <c r="J170" t="n">
        <v>1</v>
      </c>
      <c r="K170" t="n">
        <v>0</v>
      </c>
      <c r="L170" t="n">
        <v>0</v>
      </c>
      <c r="M170" t="n">
        <v>0</v>
      </c>
      <c r="N170" t="n">
        <v>0</v>
      </c>
      <c r="O170" t="n">
        <v>1</v>
      </c>
      <c r="P170" t="n">
        <v>0</v>
      </c>
      <c r="Q170" t="n">
        <v>1</v>
      </c>
      <c r="R170" s="2" t="inlineStr">
        <is>
          <t>Garnlav</t>
        </is>
      </c>
      <c r="S170">
        <f>HYPERLINK("https://klasma.github.io/Logging_2309/artfynd/A 69137-2021 artfynd.xlsx", "A 69137-2021")</f>
        <v/>
      </c>
      <c r="T170">
        <f>HYPERLINK("https://klasma.github.io/Logging_2309/kartor/A 69137-2021 karta.png", "A 69137-2021")</f>
        <v/>
      </c>
      <c r="V170">
        <f>HYPERLINK("https://klasma.github.io/Logging_2309/klagomål/A 69137-2021 FSC-klagomål.docx", "A 69137-2021")</f>
        <v/>
      </c>
      <c r="W170">
        <f>HYPERLINK("https://klasma.github.io/Logging_2309/klagomålsmail/A 69137-2021 FSC-klagomål mail.docx", "A 69137-2021")</f>
        <v/>
      </c>
      <c r="X170">
        <f>HYPERLINK("https://klasma.github.io/Logging_2309/tillsyn/A 69137-2021 tillsynsbegäran.docx", "A 69137-2021")</f>
        <v/>
      </c>
      <c r="Y170">
        <f>HYPERLINK("https://klasma.github.io/Logging_2309/tillsynsmail/A 69137-2021 tillsynsbegäran mail.docx", "A 69137-2021")</f>
        <v/>
      </c>
    </row>
    <row r="171" ht="15" customHeight="1">
      <c r="A171" t="inlineStr">
        <is>
          <t>A 71575-2021</t>
        </is>
      </c>
      <c r="B171" s="1" t="n">
        <v>44540</v>
      </c>
      <c r="C171" s="1" t="n">
        <v>45358</v>
      </c>
      <c r="D171" t="inlineStr">
        <is>
          <t>JÄMTLANDS LÄN</t>
        </is>
      </c>
      <c r="E171" t="inlineStr">
        <is>
          <t>KROKOM</t>
        </is>
      </c>
      <c r="G171" t="n">
        <v>0.9</v>
      </c>
      <c r="H171" t="n">
        <v>0</v>
      </c>
      <c r="I171" t="n">
        <v>0</v>
      </c>
      <c r="J171" t="n">
        <v>1</v>
      </c>
      <c r="K171" t="n">
        <v>0</v>
      </c>
      <c r="L171" t="n">
        <v>0</v>
      </c>
      <c r="M171" t="n">
        <v>0</v>
      </c>
      <c r="N171" t="n">
        <v>0</v>
      </c>
      <c r="O171" t="n">
        <v>1</v>
      </c>
      <c r="P171" t="n">
        <v>0</v>
      </c>
      <c r="Q171" t="n">
        <v>1</v>
      </c>
      <c r="R171" s="2" t="inlineStr">
        <is>
          <t>Gultoppig fingersvamp</t>
        </is>
      </c>
      <c r="S171">
        <f>HYPERLINK("https://klasma.github.io/Logging_2309/artfynd/A 71575-2021 artfynd.xlsx", "A 71575-2021")</f>
        <v/>
      </c>
      <c r="T171">
        <f>HYPERLINK("https://klasma.github.io/Logging_2309/kartor/A 71575-2021 karta.png", "A 71575-2021")</f>
        <v/>
      </c>
      <c r="V171">
        <f>HYPERLINK("https://klasma.github.io/Logging_2309/klagomål/A 71575-2021 FSC-klagomål.docx", "A 71575-2021")</f>
        <v/>
      </c>
      <c r="W171">
        <f>HYPERLINK("https://klasma.github.io/Logging_2309/klagomålsmail/A 71575-2021 FSC-klagomål mail.docx", "A 71575-2021")</f>
        <v/>
      </c>
      <c r="X171">
        <f>HYPERLINK("https://klasma.github.io/Logging_2309/tillsyn/A 71575-2021 tillsynsbegäran.docx", "A 71575-2021")</f>
        <v/>
      </c>
      <c r="Y171">
        <f>HYPERLINK("https://klasma.github.io/Logging_2309/tillsynsmail/A 71575-2021 tillsynsbegäran mail.docx", "A 71575-2021")</f>
        <v/>
      </c>
    </row>
    <row r="172" ht="15" customHeight="1">
      <c r="A172" t="inlineStr">
        <is>
          <t>A 71574-2021</t>
        </is>
      </c>
      <c r="B172" s="1" t="n">
        <v>44540</v>
      </c>
      <c r="C172" s="1" t="n">
        <v>45358</v>
      </c>
      <c r="D172" t="inlineStr">
        <is>
          <t>JÄMTLANDS LÄN</t>
        </is>
      </c>
      <c r="E172" t="inlineStr">
        <is>
          <t>KROKOM</t>
        </is>
      </c>
      <c r="G172" t="n">
        <v>1.1</v>
      </c>
      <c r="H172" t="n">
        <v>1</v>
      </c>
      <c r="I172" t="n">
        <v>1</v>
      </c>
      <c r="J172" t="n">
        <v>0</v>
      </c>
      <c r="K172" t="n">
        <v>0</v>
      </c>
      <c r="L172" t="n">
        <v>0</v>
      </c>
      <c r="M172" t="n">
        <v>0</v>
      </c>
      <c r="N172" t="n">
        <v>0</v>
      </c>
      <c r="O172" t="n">
        <v>0</v>
      </c>
      <c r="P172" t="n">
        <v>0</v>
      </c>
      <c r="Q172" t="n">
        <v>1</v>
      </c>
      <c r="R172" s="2" t="inlineStr">
        <is>
          <t>Spindelblomster</t>
        </is>
      </c>
      <c r="S172">
        <f>HYPERLINK("https://klasma.github.io/Logging_2309/artfynd/A 71574-2021 artfynd.xlsx", "A 71574-2021")</f>
        <v/>
      </c>
      <c r="T172">
        <f>HYPERLINK("https://klasma.github.io/Logging_2309/kartor/A 71574-2021 karta.png", "A 71574-2021")</f>
        <v/>
      </c>
      <c r="V172">
        <f>HYPERLINK("https://klasma.github.io/Logging_2309/klagomål/A 71574-2021 FSC-klagomål.docx", "A 71574-2021")</f>
        <v/>
      </c>
      <c r="W172">
        <f>HYPERLINK("https://klasma.github.io/Logging_2309/klagomålsmail/A 71574-2021 FSC-klagomål mail.docx", "A 71574-2021")</f>
        <v/>
      </c>
      <c r="X172">
        <f>HYPERLINK("https://klasma.github.io/Logging_2309/tillsyn/A 71574-2021 tillsynsbegäran.docx", "A 71574-2021")</f>
        <v/>
      </c>
      <c r="Y172">
        <f>HYPERLINK("https://klasma.github.io/Logging_2309/tillsynsmail/A 71574-2021 tillsynsbegäran mail.docx", "A 71574-2021")</f>
        <v/>
      </c>
    </row>
    <row r="173" ht="15" customHeight="1">
      <c r="A173" t="inlineStr">
        <is>
          <t>A 806-2022</t>
        </is>
      </c>
      <c r="B173" s="1" t="n">
        <v>44568</v>
      </c>
      <c r="C173" s="1" t="n">
        <v>45358</v>
      </c>
      <c r="D173" t="inlineStr">
        <is>
          <t>JÄMTLANDS LÄN</t>
        </is>
      </c>
      <c r="E173" t="inlineStr">
        <is>
          <t>KROKOM</t>
        </is>
      </c>
      <c r="G173" t="n">
        <v>46.8</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806-2022 artfynd.xlsx", "A 806-2022")</f>
        <v/>
      </c>
      <c r="T173">
        <f>HYPERLINK("https://klasma.github.io/Logging_2309/kartor/A 806-2022 karta.png", "A 806-2022")</f>
        <v/>
      </c>
      <c r="V173">
        <f>HYPERLINK("https://klasma.github.io/Logging_2309/klagomål/A 806-2022 FSC-klagomål.docx", "A 806-2022")</f>
        <v/>
      </c>
      <c r="W173">
        <f>HYPERLINK("https://klasma.github.io/Logging_2309/klagomålsmail/A 806-2022 FSC-klagomål mail.docx", "A 806-2022")</f>
        <v/>
      </c>
      <c r="X173">
        <f>HYPERLINK("https://klasma.github.io/Logging_2309/tillsyn/A 806-2022 tillsynsbegäran.docx", "A 806-2022")</f>
        <v/>
      </c>
      <c r="Y173">
        <f>HYPERLINK("https://klasma.github.io/Logging_2309/tillsynsmail/A 806-2022 tillsynsbegäran mail.docx", "A 806-2022")</f>
        <v/>
      </c>
      <c r="Z173">
        <f>HYPERLINK("https://klasma.github.io/Logging_2309/fåglar/A 806-2022 prioriterade fågelarter.docx", "A 806-2022")</f>
        <v/>
      </c>
    </row>
    <row r="174" ht="15" customHeight="1">
      <c r="A174" t="inlineStr">
        <is>
          <t>A 814-2022</t>
        </is>
      </c>
      <c r="B174" s="1" t="n">
        <v>44568</v>
      </c>
      <c r="C174" s="1" t="n">
        <v>45358</v>
      </c>
      <c r="D174" t="inlineStr">
        <is>
          <t>JÄMTLANDS LÄN</t>
        </is>
      </c>
      <c r="E174" t="inlineStr">
        <is>
          <t>KROKOM</t>
        </is>
      </c>
      <c r="G174" t="n">
        <v>2.6</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814-2022 artfynd.xlsx", "A 814-2022")</f>
        <v/>
      </c>
      <c r="T174">
        <f>HYPERLINK("https://klasma.github.io/Logging_2309/kartor/A 814-2022 karta.png", "A 814-2022")</f>
        <v/>
      </c>
      <c r="V174">
        <f>HYPERLINK("https://klasma.github.io/Logging_2309/klagomål/A 814-2022 FSC-klagomål.docx", "A 814-2022")</f>
        <v/>
      </c>
      <c r="W174">
        <f>HYPERLINK("https://klasma.github.io/Logging_2309/klagomålsmail/A 814-2022 FSC-klagomål mail.docx", "A 814-2022")</f>
        <v/>
      </c>
      <c r="X174">
        <f>HYPERLINK("https://klasma.github.io/Logging_2309/tillsyn/A 814-2022 tillsynsbegäran.docx", "A 814-2022")</f>
        <v/>
      </c>
      <c r="Y174">
        <f>HYPERLINK("https://klasma.github.io/Logging_2309/tillsynsmail/A 814-2022 tillsynsbegäran mail.docx", "A 814-2022")</f>
        <v/>
      </c>
      <c r="Z174">
        <f>HYPERLINK("https://klasma.github.io/Logging_2309/fåglar/A 814-2022 prioriterade fågelarter.docx", "A 814-2022")</f>
        <v/>
      </c>
    </row>
    <row r="175" ht="15" customHeight="1">
      <c r="A175" t="inlineStr">
        <is>
          <t>A 7005-2022</t>
        </is>
      </c>
      <c r="B175" s="1" t="n">
        <v>44603</v>
      </c>
      <c r="C175" s="1" t="n">
        <v>45358</v>
      </c>
      <c r="D175" t="inlineStr">
        <is>
          <t>JÄMTLANDS LÄN</t>
        </is>
      </c>
      <c r="E175" t="inlineStr">
        <is>
          <t>KROKOM</t>
        </is>
      </c>
      <c r="G175" t="n">
        <v>46</v>
      </c>
      <c r="H175" t="n">
        <v>0</v>
      </c>
      <c r="I175" t="n">
        <v>1</v>
      </c>
      <c r="J175" t="n">
        <v>0</v>
      </c>
      <c r="K175" t="n">
        <v>0</v>
      </c>
      <c r="L175" t="n">
        <v>0</v>
      </c>
      <c r="M175" t="n">
        <v>0</v>
      </c>
      <c r="N175" t="n">
        <v>0</v>
      </c>
      <c r="O175" t="n">
        <v>0</v>
      </c>
      <c r="P175" t="n">
        <v>0</v>
      </c>
      <c r="Q175" t="n">
        <v>1</v>
      </c>
      <c r="R175" s="2" t="inlineStr">
        <is>
          <t>Stuplav</t>
        </is>
      </c>
      <c r="S175">
        <f>HYPERLINK("https://klasma.github.io/Logging_2309/artfynd/A 7005-2022 artfynd.xlsx", "A 7005-2022")</f>
        <v/>
      </c>
      <c r="T175">
        <f>HYPERLINK("https://klasma.github.io/Logging_2309/kartor/A 7005-2022 karta.png", "A 7005-2022")</f>
        <v/>
      </c>
      <c r="V175">
        <f>HYPERLINK("https://klasma.github.io/Logging_2309/klagomål/A 7005-2022 FSC-klagomål.docx", "A 7005-2022")</f>
        <v/>
      </c>
      <c r="W175">
        <f>HYPERLINK("https://klasma.github.io/Logging_2309/klagomålsmail/A 7005-2022 FSC-klagomål mail.docx", "A 7005-2022")</f>
        <v/>
      </c>
      <c r="X175">
        <f>HYPERLINK("https://klasma.github.io/Logging_2309/tillsyn/A 7005-2022 tillsynsbegäran.docx", "A 7005-2022")</f>
        <v/>
      </c>
      <c r="Y175">
        <f>HYPERLINK("https://klasma.github.io/Logging_2309/tillsynsmail/A 7005-2022 tillsynsbegäran mail.docx", "A 7005-2022")</f>
        <v/>
      </c>
    </row>
    <row r="176" ht="15" customHeight="1">
      <c r="A176" t="inlineStr">
        <is>
          <t>A 18032-2022</t>
        </is>
      </c>
      <c r="B176" s="1" t="n">
        <v>44683</v>
      </c>
      <c r="C176" s="1" t="n">
        <v>45358</v>
      </c>
      <c r="D176" t="inlineStr">
        <is>
          <t>JÄMTLANDS LÄN</t>
        </is>
      </c>
      <c r="E176" t="inlineStr">
        <is>
          <t>KROKOM</t>
        </is>
      </c>
      <c r="G176" t="n">
        <v>15.8</v>
      </c>
      <c r="H176" t="n">
        <v>0</v>
      </c>
      <c r="I176" t="n">
        <v>0</v>
      </c>
      <c r="J176" t="n">
        <v>1</v>
      </c>
      <c r="K176" t="n">
        <v>0</v>
      </c>
      <c r="L176" t="n">
        <v>0</v>
      </c>
      <c r="M176" t="n">
        <v>0</v>
      </c>
      <c r="N176" t="n">
        <v>0</v>
      </c>
      <c r="O176" t="n">
        <v>1</v>
      </c>
      <c r="P176" t="n">
        <v>0</v>
      </c>
      <c r="Q176" t="n">
        <v>1</v>
      </c>
      <c r="R176" s="2" t="inlineStr">
        <is>
          <t>Brunklöver</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25041-2022</t>
        </is>
      </c>
      <c r="B177" s="1" t="n">
        <v>44728</v>
      </c>
      <c r="C177" s="1" t="n">
        <v>45358</v>
      </c>
      <c r="D177" t="inlineStr">
        <is>
          <t>JÄMTLANDS LÄN</t>
        </is>
      </c>
      <c r="E177" t="inlineStr">
        <is>
          <t>KROKOM</t>
        </is>
      </c>
      <c r="F177" t="inlineStr">
        <is>
          <t>SCA</t>
        </is>
      </c>
      <c r="G177" t="n">
        <v>5.5</v>
      </c>
      <c r="H177" t="n">
        <v>0</v>
      </c>
      <c r="I177" t="n">
        <v>0</v>
      </c>
      <c r="J177" t="n">
        <v>1</v>
      </c>
      <c r="K177" t="n">
        <v>0</v>
      </c>
      <c r="L177" t="n">
        <v>0</v>
      </c>
      <c r="M177" t="n">
        <v>0</v>
      </c>
      <c r="N177" t="n">
        <v>0</v>
      </c>
      <c r="O177" t="n">
        <v>1</v>
      </c>
      <c r="P177" t="n">
        <v>0</v>
      </c>
      <c r="Q177" t="n">
        <v>1</v>
      </c>
      <c r="R177" s="2" t="inlineStr">
        <is>
          <t>Harticka</t>
        </is>
      </c>
      <c r="S177">
        <f>HYPERLINK("https://klasma.github.io/Logging_2309/artfynd/A 25041-2022 artfynd.xlsx", "A 25041-2022")</f>
        <v/>
      </c>
      <c r="T177">
        <f>HYPERLINK("https://klasma.github.io/Logging_2309/kartor/A 25041-2022 karta.png", "A 25041-2022")</f>
        <v/>
      </c>
      <c r="V177">
        <f>HYPERLINK("https://klasma.github.io/Logging_2309/klagomål/A 25041-2022 FSC-klagomål.docx", "A 25041-2022")</f>
        <v/>
      </c>
      <c r="W177">
        <f>HYPERLINK("https://klasma.github.io/Logging_2309/klagomålsmail/A 25041-2022 FSC-klagomål mail.docx", "A 25041-2022")</f>
        <v/>
      </c>
      <c r="X177">
        <f>HYPERLINK("https://klasma.github.io/Logging_2309/tillsyn/A 25041-2022 tillsynsbegäran.docx", "A 25041-2022")</f>
        <v/>
      </c>
      <c r="Y177">
        <f>HYPERLINK("https://klasma.github.io/Logging_2309/tillsynsmail/A 25041-2022 tillsynsbegäran mail.docx", "A 25041-2022")</f>
        <v/>
      </c>
    </row>
    <row r="178" ht="15" customHeight="1">
      <c r="A178" t="inlineStr">
        <is>
          <t>A 27579-2022</t>
        </is>
      </c>
      <c r="B178" s="1" t="n">
        <v>44742</v>
      </c>
      <c r="C178" s="1" t="n">
        <v>45358</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Lunglav</t>
        </is>
      </c>
      <c r="S178">
        <f>HYPERLINK("https://klasma.github.io/Logging_2309/artfynd/A 27579-2022 artfynd.xlsx", "A 27579-2022")</f>
        <v/>
      </c>
      <c r="T178">
        <f>HYPERLINK("https://klasma.github.io/Logging_2309/kartor/A 27579-2022 karta.png", "A 27579-2022")</f>
        <v/>
      </c>
      <c r="V178">
        <f>HYPERLINK("https://klasma.github.io/Logging_2309/klagomål/A 27579-2022 FSC-klagomål.docx", "A 27579-2022")</f>
        <v/>
      </c>
      <c r="W178">
        <f>HYPERLINK("https://klasma.github.io/Logging_2309/klagomålsmail/A 27579-2022 FSC-klagomål mail.docx", "A 27579-2022")</f>
        <v/>
      </c>
      <c r="X178">
        <f>HYPERLINK("https://klasma.github.io/Logging_2309/tillsyn/A 27579-2022 tillsynsbegäran.docx", "A 27579-2022")</f>
        <v/>
      </c>
      <c r="Y178">
        <f>HYPERLINK("https://klasma.github.io/Logging_2309/tillsynsmail/A 27579-2022 tillsynsbegäran mail.docx", "A 27579-2022")</f>
        <v/>
      </c>
    </row>
    <row r="179" ht="15" customHeight="1">
      <c r="A179" t="inlineStr">
        <is>
          <t>A 28490-2022</t>
        </is>
      </c>
      <c r="B179" s="1" t="n">
        <v>44747</v>
      </c>
      <c r="C179" s="1" t="n">
        <v>45358</v>
      </c>
      <c r="D179" t="inlineStr">
        <is>
          <t>JÄMTLANDS LÄN</t>
        </is>
      </c>
      <c r="E179" t="inlineStr">
        <is>
          <t>KROKOM</t>
        </is>
      </c>
      <c r="F179" t="inlineStr">
        <is>
          <t>SCA</t>
        </is>
      </c>
      <c r="G179" t="n">
        <v>57.9</v>
      </c>
      <c r="H179" t="n">
        <v>0</v>
      </c>
      <c r="I179" t="n">
        <v>0</v>
      </c>
      <c r="J179" t="n">
        <v>1</v>
      </c>
      <c r="K179" t="n">
        <v>0</v>
      </c>
      <c r="L179" t="n">
        <v>0</v>
      </c>
      <c r="M179" t="n">
        <v>0</v>
      </c>
      <c r="N179" t="n">
        <v>0</v>
      </c>
      <c r="O179" t="n">
        <v>1</v>
      </c>
      <c r="P179" t="n">
        <v>0</v>
      </c>
      <c r="Q179" t="n">
        <v>1</v>
      </c>
      <c r="R179" s="2" t="inlineStr">
        <is>
          <t>Kolflarnlav</t>
        </is>
      </c>
      <c r="S179">
        <f>HYPERLINK("https://klasma.github.io/Logging_2309/artfynd/A 28490-2022 artfynd.xlsx", "A 28490-2022")</f>
        <v/>
      </c>
      <c r="T179">
        <f>HYPERLINK("https://klasma.github.io/Logging_2309/kartor/A 28490-2022 karta.png", "A 28490-2022")</f>
        <v/>
      </c>
      <c r="V179">
        <f>HYPERLINK("https://klasma.github.io/Logging_2309/klagomål/A 28490-2022 FSC-klagomål.docx", "A 28490-2022")</f>
        <v/>
      </c>
      <c r="W179">
        <f>HYPERLINK("https://klasma.github.io/Logging_2309/klagomålsmail/A 28490-2022 FSC-klagomål mail.docx", "A 28490-2022")</f>
        <v/>
      </c>
      <c r="X179">
        <f>HYPERLINK("https://klasma.github.io/Logging_2309/tillsyn/A 28490-2022 tillsynsbegäran.docx", "A 28490-2022")</f>
        <v/>
      </c>
      <c r="Y179">
        <f>HYPERLINK("https://klasma.github.io/Logging_2309/tillsynsmail/A 28490-2022 tillsynsbegäran mail.docx", "A 28490-2022")</f>
        <v/>
      </c>
    </row>
    <row r="180" ht="15" customHeight="1">
      <c r="A180" t="inlineStr">
        <is>
          <t>A 33316-2022</t>
        </is>
      </c>
      <c r="B180" s="1" t="n">
        <v>44788</v>
      </c>
      <c r="C180" s="1" t="n">
        <v>45358</v>
      </c>
      <c r="D180" t="inlineStr">
        <is>
          <t>JÄMTLANDS LÄN</t>
        </is>
      </c>
      <c r="E180" t="inlineStr">
        <is>
          <t>KROKOM</t>
        </is>
      </c>
      <c r="G180" t="n">
        <v>10.4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33316-2022 artfynd.xlsx", "A 33316-2022")</f>
        <v/>
      </c>
      <c r="T180">
        <f>HYPERLINK("https://klasma.github.io/Logging_2309/kartor/A 33316-2022 karta.png", "A 33316-2022")</f>
        <v/>
      </c>
      <c r="V180">
        <f>HYPERLINK("https://klasma.github.io/Logging_2309/klagomål/A 33316-2022 FSC-klagomål.docx", "A 33316-2022")</f>
        <v/>
      </c>
      <c r="W180">
        <f>HYPERLINK("https://klasma.github.io/Logging_2309/klagomålsmail/A 33316-2022 FSC-klagomål mail.docx", "A 33316-2022")</f>
        <v/>
      </c>
      <c r="X180">
        <f>HYPERLINK("https://klasma.github.io/Logging_2309/tillsyn/A 33316-2022 tillsynsbegäran.docx", "A 33316-2022")</f>
        <v/>
      </c>
      <c r="Y180">
        <f>HYPERLINK("https://klasma.github.io/Logging_2309/tillsynsmail/A 33316-2022 tillsynsbegäran mail.docx", "A 33316-2022")</f>
        <v/>
      </c>
      <c r="Z180">
        <f>HYPERLINK("https://klasma.github.io/Logging_2309/fåglar/A 33316-2022 prioriterade fågelarter.docx", "A 33316-2022")</f>
        <v/>
      </c>
    </row>
    <row r="181" ht="15" customHeight="1">
      <c r="A181" t="inlineStr">
        <is>
          <t>A 35246-2022</t>
        </is>
      </c>
      <c r="B181" s="1" t="n">
        <v>44797</v>
      </c>
      <c r="C181" s="1" t="n">
        <v>45358</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45595-2022</t>
        </is>
      </c>
      <c r="B182" s="1" t="n">
        <v>44845</v>
      </c>
      <c r="C182" s="1" t="n">
        <v>45358</v>
      </c>
      <c r="D182" t="inlineStr">
        <is>
          <t>JÄMTLANDS LÄN</t>
        </is>
      </c>
      <c r="E182" t="inlineStr">
        <is>
          <t>KROKOM</t>
        </is>
      </c>
      <c r="G182" t="n">
        <v>10.2</v>
      </c>
      <c r="H182" t="n">
        <v>1</v>
      </c>
      <c r="I182" t="n">
        <v>0</v>
      </c>
      <c r="J182" t="n">
        <v>0</v>
      </c>
      <c r="K182" t="n">
        <v>0</v>
      </c>
      <c r="L182" t="n">
        <v>0</v>
      </c>
      <c r="M182" t="n">
        <v>0</v>
      </c>
      <c r="N182" t="n">
        <v>0</v>
      </c>
      <c r="O182" t="n">
        <v>0</v>
      </c>
      <c r="P182" t="n">
        <v>0</v>
      </c>
      <c r="Q182" t="n">
        <v>1</v>
      </c>
      <c r="R182" s="2" t="inlineStr">
        <is>
          <t>Revlummer</t>
        </is>
      </c>
      <c r="S182">
        <f>HYPERLINK("https://klasma.github.io/Logging_2309/artfynd/A 45595-2022 artfynd.xlsx", "A 45595-2022")</f>
        <v/>
      </c>
      <c r="T182">
        <f>HYPERLINK("https://klasma.github.io/Logging_2309/kartor/A 45595-2022 karta.png", "A 45595-2022")</f>
        <v/>
      </c>
      <c r="V182">
        <f>HYPERLINK("https://klasma.github.io/Logging_2309/klagomål/A 45595-2022 FSC-klagomål.docx", "A 45595-2022")</f>
        <v/>
      </c>
      <c r="W182">
        <f>HYPERLINK("https://klasma.github.io/Logging_2309/klagomålsmail/A 45595-2022 FSC-klagomål mail.docx", "A 45595-2022")</f>
        <v/>
      </c>
      <c r="X182">
        <f>HYPERLINK("https://klasma.github.io/Logging_2309/tillsyn/A 45595-2022 tillsynsbegäran.docx", "A 45595-2022")</f>
        <v/>
      </c>
      <c r="Y182">
        <f>HYPERLINK("https://klasma.github.io/Logging_2309/tillsynsmail/A 45595-2022 tillsynsbegäran mail.docx", "A 45595-2022")</f>
        <v/>
      </c>
    </row>
    <row r="183" ht="15" customHeight="1">
      <c r="A183" t="inlineStr">
        <is>
          <t>A 15430-2023</t>
        </is>
      </c>
      <c r="B183" s="1" t="n">
        <v>45020</v>
      </c>
      <c r="C183" s="1" t="n">
        <v>45358</v>
      </c>
      <c r="D183" t="inlineStr">
        <is>
          <t>JÄMTLANDS LÄN</t>
        </is>
      </c>
      <c r="E183" t="inlineStr">
        <is>
          <t>KROKOM</t>
        </is>
      </c>
      <c r="G183" t="n">
        <v>31.8</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15430-2023 artfynd.xlsx", "A 15430-2023")</f>
        <v/>
      </c>
      <c r="T183">
        <f>HYPERLINK("https://klasma.github.io/Logging_2309/kartor/A 15430-2023 karta.png", "A 15430-2023")</f>
        <v/>
      </c>
      <c r="V183">
        <f>HYPERLINK("https://klasma.github.io/Logging_2309/klagomål/A 15430-2023 FSC-klagomål.docx", "A 15430-2023")</f>
        <v/>
      </c>
      <c r="W183">
        <f>HYPERLINK("https://klasma.github.io/Logging_2309/klagomålsmail/A 15430-2023 FSC-klagomål mail.docx", "A 15430-2023")</f>
        <v/>
      </c>
      <c r="X183">
        <f>HYPERLINK("https://klasma.github.io/Logging_2309/tillsyn/A 15430-2023 tillsynsbegäran.docx", "A 15430-2023")</f>
        <v/>
      </c>
      <c r="Y183">
        <f>HYPERLINK("https://klasma.github.io/Logging_2309/tillsynsmail/A 15430-2023 tillsynsbegäran mail.docx", "A 15430-2023")</f>
        <v/>
      </c>
      <c r="Z183">
        <f>HYPERLINK("https://klasma.github.io/Logging_2309/fåglar/A 15430-2023 prioriterade fågelarter.docx", "A 15430-2023")</f>
        <v/>
      </c>
    </row>
    <row r="184" ht="15" customHeight="1">
      <c r="A184" t="inlineStr">
        <is>
          <t>A 25285-2023</t>
        </is>
      </c>
      <c r="B184" s="1" t="n">
        <v>45079</v>
      </c>
      <c r="C184" s="1" t="n">
        <v>45358</v>
      </c>
      <c r="D184" t="inlineStr">
        <is>
          <t>JÄMTLANDS LÄN</t>
        </is>
      </c>
      <c r="E184" t="inlineStr">
        <is>
          <t>KROKOM</t>
        </is>
      </c>
      <c r="G184" t="n">
        <v>14.9</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25285-2023 artfynd.xlsx", "A 25285-2023")</f>
        <v/>
      </c>
      <c r="T184">
        <f>HYPERLINK("https://klasma.github.io/Logging_2309/kartor/A 25285-2023 karta.png", "A 25285-2023")</f>
        <v/>
      </c>
      <c r="V184">
        <f>HYPERLINK("https://klasma.github.io/Logging_2309/klagomål/A 25285-2023 FSC-klagomål.docx", "A 25285-2023")</f>
        <v/>
      </c>
      <c r="W184">
        <f>HYPERLINK("https://klasma.github.io/Logging_2309/klagomålsmail/A 25285-2023 FSC-klagomål mail.docx", "A 25285-2023")</f>
        <v/>
      </c>
      <c r="X184">
        <f>HYPERLINK("https://klasma.github.io/Logging_2309/tillsyn/A 25285-2023 tillsynsbegäran.docx", "A 25285-2023")</f>
        <v/>
      </c>
      <c r="Y184">
        <f>HYPERLINK("https://klasma.github.io/Logging_2309/tillsynsmail/A 25285-2023 tillsynsbegäran mail.docx", "A 25285-2023")</f>
        <v/>
      </c>
      <c r="Z184">
        <f>HYPERLINK("https://klasma.github.io/Logging_2309/fåglar/A 25285-2023 prioriterade fågelarter.docx", "A 25285-2023")</f>
        <v/>
      </c>
    </row>
    <row r="185" ht="15" customHeight="1">
      <c r="A185" t="inlineStr">
        <is>
          <t>A 32756-2023</t>
        </is>
      </c>
      <c r="B185" s="1" t="n">
        <v>45123</v>
      </c>
      <c r="C185" s="1" t="n">
        <v>45358</v>
      </c>
      <c r="D185" t="inlineStr">
        <is>
          <t>JÄMTLANDS LÄN</t>
        </is>
      </c>
      <c r="E185" t="inlineStr">
        <is>
          <t>KROKOM</t>
        </is>
      </c>
      <c r="F185" t="inlineStr">
        <is>
          <t>Övriga Aktiebolag</t>
        </is>
      </c>
      <c r="G185" t="n">
        <v>6.8</v>
      </c>
      <c r="H185" t="n">
        <v>0</v>
      </c>
      <c r="I185" t="n">
        <v>1</v>
      </c>
      <c r="J185" t="n">
        <v>0</v>
      </c>
      <c r="K185" t="n">
        <v>0</v>
      </c>
      <c r="L185" t="n">
        <v>0</v>
      </c>
      <c r="M185" t="n">
        <v>0</v>
      </c>
      <c r="N185" t="n">
        <v>0</v>
      </c>
      <c r="O185" t="n">
        <v>0</v>
      </c>
      <c r="P185" t="n">
        <v>0</v>
      </c>
      <c r="Q185" t="n">
        <v>1</v>
      </c>
      <c r="R185" s="2" t="inlineStr">
        <is>
          <t>Kransrams</t>
        </is>
      </c>
      <c r="S185">
        <f>HYPERLINK("https://klasma.github.io/Logging_2309/artfynd/A 32756-2023 artfynd.xlsx", "A 32756-2023")</f>
        <v/>
      </c>
      <c r="T185">
        <f>HYPERLINK("https://klasma.github.io/Logging_2309/kartor/A 32756-2023 karta.png", "A 32756-2023")</f>
        <v/>
      </c>
      <c r="V185">
        <f>HYPERLINK("https://klasma.github.io/Logging_2309/klagomål/A 32756-2023 FSC-klagomål.docx", "A 32756-2023")</f>
        <v/>
      </c>
      <c r="W185">
        <f>HYPERLINK("https://klasma.github.io/Logging_2309/klagomålsmail/A 32756-2023 FSC-klagomål mail.docx", "A 32756-2023")</f>
        <v/>
      </c>
      <c r="X185">
        <f>HYPERLINK("https://klasma.github.io/Logging_2309/tillsyn/A 32756-2023 tillsynsbegäran.docx", "A 32756-2023")</f>
        <v/>
      </c>
      <c r="Y185">
        <f>HYPERLINK("https://klasma.github.io/Logging_2309/tillsynsmail/A 32756-2023 tillsynsbegäran mail.docx", "A 32756-2023")</f>
        <v/>
      </c>
    </row>
    <row r="186" ht="15" customHeight="1">
      <c r="A186" t="inlineStr">
        <is>
          <t>A 36639-2023</t>
        </is>
      </c>
      <c r="B186" s="1" t="n">
        <v>45153</v>
      </c>
      <c r="C186" s="1" t="n">
        <v>45358</v>
      </c>
      <c r="D186" t="inlineStr">
        <is>
          <t>JÄMTLANDS LÄN</t>
        </is>
      </c>
      <c r="E186" t="inlineStr">
        <is>
          <t>KROKOM</t>
        </is>
      </c>
      <c r="F186" t="inlineStr">
        <is>
          <t>Övriga Aktiebolag</t>
        </is>
      </c>
      <c r="G186" t="n">
        <v>5.5</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36639-2023 artfynd.xlsx", "A 36639-2023")</f>
        <v/>
      </c>
      <c r="T186">
        <f>HYPERLINK("https://klasma.github.io/Logging_2309/kartor/A 36639-2023 karta.png", "A 36639-2023")</f>
        <v/>
      </c>
      <c r="V186">
        <f>HYPERLINK("https://klasma.github.io/Logging_2309/klagomål/A 36639-2023 FSC-klagomål.docx", "A 36639-2023")</f>
        <v/>
      </c>
      <c r="W186">
        <f>HYPERLINK("https://klasma.github.io/Logging_2309/klagomålsmail/A 36639-2023 FSC-klagomål mail.docx", "A 36639-2023")</f>
        <v/>
      </c>
      <c r="X186">
        <f>HYPERLINK("https://klasma.github.io/Logging_2309/tillsyn/A 36639-2023 tillsynsbegäran.docx", "A 36639-2023")</f>
        <v/>
      </c>
      <c r="Y186">
        <f>HYPERLINK("https://klasma.github.io/Logging_2309/tillsynsmail/A 36639-2023 tillsynsbegäran mail.docx", "A 36639-2023")</f>
        <v/>
      </c>
      <c r="Z186">
        <f>HYPERLINK("https://klasma.github.io/Logging_2309/fåglar/A 36639-2023 prioriterade fågelarter.docx", "A 36639-2023")</f>
        <v/>
      </c>
    </row>
    <row r="187" ht="15" customHeight="1">
      <c r="A187" t="inlineStr">
        <is>
          <t>A 42156-2023</t>
        </is>
      </c>
      <c r="B187" s="1" t="n">
        <v>45177</v>
      </c>
      <c r="C187" s="1" t="n">
        <v>45358</v>
      </c>
      <c r="D187" t="inlineStr">
        <is>
          <t>JÄMTLANDS LÄN</t>
        </is>
      </c>
      <c r="E187" t="inlineStr">
        <is>
          <t>KROKOM</t>
        </is>
      </c>
      <c r="G187" t="n">
        <v>1</v>
      </c>
      <c r="H187" t="n">
        <v>0</v>
      </c>
      <c r="I187" t="n">
        <v>0</v>
      </c>
      <c r="J187" t="n">
        <v>1</v>
      </c>
      <c r="K187" t="n">
        <v>0</v>
      </c>
      <c r="L187" t="n">
        <v>0</v>
      </c>
      <c r="M187" t="n">
        <v>0</v>
      </c>
      <c r="N187" t="n">
        <v>0</v>
      </c>
      <c r="O187" t="n">
        <v>1</v>
      </c>
      <c r="P187" t="n">
        <v>0</v>
      </c>
      <c r="Q187" t="n">
        <v>1</v>
      </c>
      <c r="R187" s="2" t="inlineStr">
        <is>
          <t>Granticka</t>
        </is>
      </c>
      <c r="S187">
        <f>HYPERLINK("https://klasma.github.io/Logging_2309/artfynd/A 42156-2023 artfynd.xlsx", "A 42156-2023")</f>
        <v/>
      </c>
      <c r="T187">
        <f>HYPERLINK("https://klasma.github.io/Logging_2309/kartor/A 42156-2023 karta.png", "A 42156-2023")</f>
        <v/>
      </c>
      <c r="V187">
        <f>HYPERLINK("https://klasma.github.io/Logging_2309/klagomål/A 42156-2023 FSC-klagomål.docx", "A 42156-2023")</f>
        <v/>
      </c>
      <c r="W187">
        <f>HYPERLINK("https://klasma.github.io/Logging_2309/klagomålsmail/A 42156-2023 FSC-klagomål mail.docx", "A 42156-2023")</f>
        <v/>
      </c>
      <c r="X187">
        <f>HYPERLINK("https://klasma.github.io/Logging_2309/tillsyn/A 42156-2023 tillsynsbegäran.docx", "A 42156-2023")</f>
        <v/>
      </c>
      <c r="Y187">
        <f>HYPERLINK("https://klasma.github.io/Logging_2309/tillsynsmail/A 42156-2023 tillsynsbegäran mail.docx", "A 42156-2023")</f>
        <v/>
      </c>
    </row>
    <row r="188" ht="15" customHeight="1">
      <c r="A188" t="inlineStr">
        <is>
          <t>A 42258-2023</t>
        </is>
      </c>
      <c r="B188" s="1" t="n">
        <v>45180</v>
      </c>
      <c r="C188" s="1" t="n">
        <v>45358</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47338-2023</t>
        </is>
      </c>
      <c r="B189" s="1" t="n">
        <v>45196</v>
      </c>
      <c r="C189" s="1" t="n">
        <v>45358</v>
      </c>
      <c r="D189" t="inlineStr">
        <is>
          <t>JÄMTLANDS LÄN</t>
        </is>
      </c>
      <c r="E189" t="inlineStr">
        <is>
          <t>KROKOM</t>
        </is>
      </c>
      <c r="G189" t="n">
        <v>13</v>
      </c>
      <c r="H189" t="n">
        <v>0</v>
      </c>
      <c r="I189" t="n">
        <v>1</v>
      </c>
      <c r="J189" t="n">
        <v>0</v>
      </c>
      <c r="K189" t="n">
        <v>0</v>
      </c>
      <c r="L189" t="n">
        <v>0</v>
      </c>
      <c r="M189" t="n">
        <v>0</v>
      </c>
      <c r="N189" t="n">
        <v>0</v>
      </c>
      <c r="O189" t="n">
        <v>0</v>
      </c>
      <c r="P189" t="n">
        <v>0</v>
      </c>
      <c r="Q189" t="n">
        <v>1</v>
      </c>
      <c r="R189" s="2" t="inlineStr">
        <is>
          <t>Skinnlav</t>
        </is>
      </c>
      <c r="S189">
        <f>HYPERLINK("https://klasma.github.io/Logging_2309/artfynd/A 47338-2023 artfynd.xlsx", "A 47338-2023")</f>
        <v/>
      </c>
      <c r="T189">
        <f>HYPERLINK("https://klasma.github.io/Logging_2309/kartor/A 47338-2023 karta.png", "A 47338-2023")</f>
        <v/>
      </c>
      <c r="V189">
        <f>HYPERLINK("https://klasma.github.io/Logging_2309/klagomål/A 47338-2023 FSC-klagomål.docx", "A 47338-2023")</f>
        <v/>
      </c>
      <c r="W189">
        <f>HYPERLINK("https://klasma.github.io/Logging_2309/klagomålsmail/A 47338-2023 FSC-klagomål mail.docx", "A 47338-2023")</f>
        <v/>
      </c>
      <c r="X189">
        <f>HYPERLINK("https://klasma.github.io/Logging_2309/tillsyn/A 47338-2023 tillsynsbegäran.docx", "A 47338-2023")</f>
        <v/>
      </c>
      <c r="Y189">
        <f>HYPERLINK("https://klasma.github.io/Logging_2309/tillsynsmail/A 47338-2023 tillsynsbegäran mail.docx", "A 47338-2023")</f>
        <v/>
      </c>
    </row>
    <row r="190" ht="15" customHeight="1">
      <c r="A190" t="inlineStr">
        <is>
          <t>A 56572-2023</t>
        </is>
      </c>
      <c r="B190" s="1" t="n">
        <v>45243</v>
      </c>
      <c r="C190" s="1" t="n">
        <v>45358</v>
      </c>
      <c r="D190" t="inlineStr">
        <is>
          <t>JÄMTLANDS LÄN</t>
        </is>
      </c>
      <c r="E190" t="inlineStr">
        <is>
          <t>KROKOM</t>
        </is>
      </c>
      <c r="F190" t="inlineStr">
        <is>
          <t>Övriga Aktiebolag</t>
        </is>
      </c>
      <c r="G190" t="n">
        <v>0.8</v>
      </c>
      <c r="H190" t="n">
        <v>1</v>
      </c>
      <c r="I190" t="n">
        <v>0</v>
      </c>
      <c r="J190" t="n">
        <v>0</v>
      </c>
      <c r="K190" t="n">
        <v>0</v>
      </c>
      <c r="L190" t="n">
        <v>0</v>
      </c>
      <c r="M190" t="n">
        <v>0</v>
      </c>
      <c r="N190" t="n">
        <v>0</v>
      </c>
      <c r="O190" t="n">
        <v>0</v>
      </c>
      <c r="P190" t="n">
        <v>0</v>
      </c>
      <c r="Q190" t="n">
        <v>1</v>
      </c>
      <c r="R190" s="2" t="inlineStr">
        <is>
          <t>Vanlig groda</t>
        </is>
      </c>
      <c r="S190">
        <f>HYPERLINK("https://klasma.github.io/Logging_2309/artfynd/A 56572-2023 artfynd.xlsx", "A 56572-2023")</f>
        <v/>
      </c>
      <c r="T190">
        <f>HYPERLINK("https://klasma.github.io/Logging_2309/kartor/A 56572-2023 karta.png", "A 56572-2023")</f>
        <v/>
      </c>
      <c r="V190">
        <f>HYPERLINK("https://klasma.github.io/Logging_2309/klagomål/A 56572-2023 FSC-klagomål.docx", "A 56572-2023")</f>
        <v/>
      </c>
      <c r="W190">
        <f>HYPERLINK("https://klasma.github.io/Logging_2309/klagomålsmail/A 56572-2023 FSC-klagomål mail.docx", "A 56572-2023")</f>
        <v/>
      </c>
      <c r="X190">
        <f>HYPERLINK("https://klasma.github.io/Logging_2309/tillsyn/A 56572-2023 tillsynsbegäran.docx", "A 56572-2023")</f>
        <v/>
      </c>
      <c r="Y190">
        <f>HYPERLINK("https://klasma.github.io/Logging_2309/tillsynsmail/A 56572-2023 tillsynsbegäran mail.docx", "A 56572-2023")</f>
        <v/>
      </c>
    </row>
    <row r="191" ht="15" customHeight="1">
      <c r="A191" t="inlineStr">
        <is>
          <t>A 56628-2023</t>
        </is>
      </c>
      <c r="B191" s="1" t="n">
        <v>45243</v>
      </c>
      <c r="C191" s="1" t="n">
        <v>45358</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62936-2023</t>
        </is>
      </c>
      <c r="B192" s="1" t="n">
        <v>45271</v>
      </c>
      <c r="C192" s="1" t="n">
        <v>45358</v>
      </c>
      <c r="D192" t="inlineStr">
        <is>
          <t>JÄMTLANDS LÄN</t>
        </is>
      </c>
      <c r="E192" t="inlineStr">
        <is>
          <t>KROKOM</t>
        </is>
      </c>
      <c r="G192" t="n">
        <v>46.4</v>
      </c>
      <c r="H192" t="n">
        <v>0</v>
      </c>
      <c r="I192" t="n">
        <v>1</v>
      </c>
      <c r="J192" t="n">
        <v>0</v>
      </c>
      <c r="K192" t="n">
        <v>0</v>
      </c>
      <c r="L192" t="n">
        <v>0</v>
      </c>
      <c r="M192" t="n">
        <v>0</v>
      </c>
      <c r="N192" t="n">
        <v>0</v>
      </c>
      <c r="O192" t="n">
        <v>0</v>
      </c>
      <c r="P192" t="n">
        <v>0</v>
      </c>
      <c r="Q192" t="n">
        <v>1</v>
      </c>
      <c r="R192" s="2" t="inlineStr">
        <is>
          <t>Stuplav</t>
        </is>
      </c>
      <c r="S192">
        <f>HYPERLINK("https://klasma.github.io/Logging_2309/artfynd/A 62936-2023 artfynd.xlsx", "A 62936-2023")</f>
        <v/>
      </c>
      <c r="T192">
        <f>HYPERLINK("https://klasma.github.io/Logging_2309/kartor/A 62936-2023 karta.png", "A 62936-2023")</f>
        <v/>
      </c>
      <c r="V192">
        <f>HYPERLINK("https://klasma.github.io/Logging_2309/klagomål/A 62936-2023 FSC-klagomål.docx", "A 62936-2023")</f>
        <v/>
      </c>
      <c r="W192">
        <f>HYPERLINK("https://klasma.github.io/Logging_2309/klagomålsmail/A 62936-2023 FSC-klagomål mail.docx", "A 62936-2023")</f>
        <v/>
      </c>
      <c r="X192">
        <f>HYPERLINK("https://klasma.github.io/Logging_2309/tillsyn/A 62936-2023 tillsynsbegäran.docx", "A 62936-2023")</f>
        <v/>
      </c>
      <c r="Y192">
        <f>HYPERLINK("https://klasma.github.io/Logging_2309/tillsynsmail/A 62936-2023 tillsynsbegäran mail.docx", "A 62936-2023")</f>
        <v/>
      </c>
    </row>
    <row r="193" ht="15" customHeight="1">
      <c r="A193" t="inlineStr">
        <is>
          <t>A 36530-2018</t>
        </is>
      </c>
      <c r="B193" s="1" t="n">
        <v>43328</v>
      </c>
      <c r="C193" s="1" t="n">
        <v>45358</v>
      </c>
      <c r="D193" t="inlineStr">
        <is>
          <t>JÄMTLANDS LÄN</t>
        </is>
      </c>
      <c r="E193" t="inlineStr">
        <is>
          <t>KROKOM</t>
        </is>
      </c>
      <c r="G193" t="n">
        <v>5.7</v>
      </c>
      <c r="H193" t="n">
        <v>0</v>
      </c>
      <c r="I193" t="n">
        <v>0</v>
      </c>
      <c r="J193" t="n">
        <v>0</v>
      </c>
      <c r="K193" t="n">
        <v>0</v>
      </c>
      <c r="L193" t="n">
        <v>0</v>
      </c>
      <c r="M193" t="n">
        <v>0</v>
      </c>
      <c r="N193" t="n">
        <v>0</v>
      </c>
      <c r="O193" t="n">
        <v>0</v>
      </c>
      <c r="P193" t="n">
        <v>0</v>
      </c>
      <c r="Q193" t="n">
        <v>0</v>
      </c>
      <c r="R193" s="2" t="inlineStr"/>
    </row>
    <row r="194" ht="15" customHeight="1">
      <c r="A194" t="inlineStr">
        <is>
          <t>A 37954-2018</t>
        </is>
      </c>
      <c r="B194" s="1" t="n">
        <v>43334</v>
      </c>
      <c r="C194" s="1" t="n">
        <v>45358</v>
      </c>
      <c r="D194" t="inlineStr">
        <is>
          <t>JÄMTLANDS LÄN</t>
        </is>
      </c>
      <c r="E194" t="inlineStr">
        <is>
          <t>KROKOM</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37698-2018</t>
        </is>
      </c>
      <c r="B195" s="1" t="n">
        <v>43335</v>
      </c>
      <c r="C195" s="1" t="n">
        <v>45358</v>
      </c>
      <c r="D195" t="inlineStr">
        <is>
          <t>JÄMTLANDS LÄN</t>
        </is>
      </c>
      <c r="E195" t="inlineStr">
        <is>
          <t>KROKOM</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37779-2018</t>
        </is>
      </c>
      <c r="B196" s="1" t="n">
        <v>43335</v>
      </c>
      <c r="C196" s="1" t="n">
        <v>45358</v>
      </c>
      <c r="D196" t="inlineStr">
        <is>
          <t>JÄMTLANDS LÄN</t>
        </is>
      </c>
      <c r="E196" t="inlineStr">
        <is>
          <t>KROKOM</t>
        </is>
      </c>
      <c r="F196" t="inlineStr">
        <is>
          <t>Övriga Aktiebolag</t>
        </is>
      </c>
      <c r="G196" t="n">
        <v>32.2</v>
      </c>
      <c r="H196" t="n">
        <v>0</v>
      </c>
      <c r="I196" t="n">
        <v>0</v>
      </c>
      <c r="J196" t="n">
        <v>0</v>
      </c>
      <c r="K196" t="n">
        <v>0</v>
      </c>
      <c r="L196" t="n">
        <v>0</v>
      </c>
      <c r="M196" t="n">
        <v>0</v>
      </c>
      <c r="N196" t="n">
        <v>0</v>
      </c>
      <c r="O196" t="n">
        <v>0</v>
      </c>
      <c r="P196" t="n">
        <v>0</v>
      </c>
      <c r="Q196" t="n">
        <v>0</v>
      </c>
      <c r="R196" s="2" t="inlineStr"/>
    </row>
    <row r="197" ht="15" customHeight="1">
      <c r="A197" t="inlineStr">
        <is>
          <t>A 39048-2018</t>
        </is>
      </c>
      <c r="B197" s="1" t="n">
        <v>43340</v>
      </c>
      <c r="C197" s="1" t="n">
        <v>45358</v>
      </c>
      <c r="D197" t="inlineStr">
        <is>
          <t>JÄMTLANDS LÄN</t>
        </is>
      </c>
      <c r="E197" t="inlineStr">
        <is>
          <t>KROKOM</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39668-2018</t>
        </is>
      </c>
      <c r="B198" s="1" t="n">
        <v>43342</v>
      </c>
      <c r="C198" s="1" t="n">
        <v>45358</v>
      </c>
      <c r="D198" t="inlineStr">
        <is>
          <t>JÄMTLANDS LÄN</t>
        </is>
      </c>
      <c r="E198" t="inlineStr">
        <is>
          <t>KROKOM</t>
        </is>
      </c>
      <c r="G198" t="n">
        <v>0.6</v>
      </c>
      <c r="H198" t="n">
        <v>0</v>
      </c>
      <c r="I198" t="n">
        <v>0</v>
      </c>
      <c r="J198" t="n">
        <v>0</v>
      </c>
      <c r="K198" t="n">
        <v>0</v>
      </c>
      <c r="L198" t="n">
        <v>0</v>
      </c>
      <c r="M198" t="n">
        <v>0</v>
      </c>
      <c r="N198" t="n">
        <v>0</v>
      </c>
      <c r="O198" t="n">
        <v>0</v>
      </c>
      <c r="P198" t="n">
        <v>0</v>
      </c>
      <c r="Q198" t="n">
        <v>0</v>
      </c>
      <c r="R198" s="2" t="inlineStr"/>
    </row>
    <row r="199" ht="15" customHeight="1">
      <c r="A199" t="inlineStr">
        <is>
          <t>A 39775-2018</t>
        </is>
      </c>
      <c r="B199" s="1" t="n">
        <v>43342</v>
      </c>
      <c r="C199" s="1" t="n">
        <v>45358</v>
      </c>
      <c r="D199" t="inlineStr">
        <is>
          <t>JÄMTLANDS LÄN</t>
        </is>
      </c>
      <c r="E199" t="inlineStr">
        <is>
          <t>KROKOM</t>
        </is>
      </c>
      <c r="G199" t="n">
        <v>2.6</v>
      </c>
      <c r="H199" t="n">
        <v>0</v>
      </c>
      <c r="I199" t="n">
        <v>0</v>
      </c>
      <c r="J199" t="n">
        <v>0</v>
      </c>
      <c r="K199" t="n">
        <v>0</v>
      </c>
      <c r="L199" t="n">
        <v>0</v>
      </c>
      <c r="M199" t="n">
        <v>0</v>
      </c>
      <c r="N199" t="n">
        <v>0</v>
      </c>
      <c r="O199" t="n">
        <v>0</v>
      </c>
      <c r="P199" t="n">
        <v>0</v>
      </c>
      <c r="Q199" t="n">
        <v>0</v>
      </c>
      <c r="R199" s="2" t="inlineStr"/>
    </row>
    <row r="200" ht="15" customHeight="1">
      <c r="A200" t="inlineStr">
        <is>
          <t>A 40873-2018</t>
        </is>
      </c>
      <c r="B200" s="1" t="n">
        <v>43346</v>
      </c>
      <c r="C200" s="1" t="n">
        <v>45358</v>
      </c>
      <c r="D200" t="inlineStr">
        <is>
          <t>JÄMTLANDS LÄN</t>
        </is>
      </c>
      <c r="E200" t="inlineStr">
        <is>
          <t>KROKOM</t>
        </is>
      </c>
      <c r="G200" t="n">
        <v>2.5</v>
      </c>
      <c r="H200" t="n">
        <v>0</v>
      </c>
      <c r="I200" t="n">
        <v>0</v>
      </c>
      <c r="J200" t="n">
        <v>0</v>
      </c>
      <c r="K200" t="n">
        <v>0</v>
      </c>
      <c r="L200" t="n">
        <v>0</v>
      </c>
      <c r="M200" t="n">
        <v>0</v>
      </c>
      <c r="N200" t="n">
        <v>0</v>
      </c>
      <c r="O200" t="n">
        <v>0</v>
      </c>
      <c r="P200" t="n">
        <v>0</v>
      </c>
      <c r="Q200" t="n">
        <v>0</v>
      </c>
      <c r="R200" s="2" t="inlineStr"/>
    </row>
    <row r="201" ht="15" customHeight="1">
      <c r="A201" t="inlineStr">
        <is>
          <t>A 42654-2018</t>
        </is>
      </c>
      <c r="B201" s="1" t="n">
        <v>43350</v>
      </c>
      <c r="C201" s="1" t="n">
        <v>45358</v>
      </c>
      <c r="D201" t="inlineStr">
        <is>
          <t>JÄMTLANDS LÄN</t>
        </is>
      </c>
      <c r="E201" t="inlineStr">
        <is>
          <t>KROKOM</t>
        </is>
      </c>
      <c r="G201" t="n">
        <v>4.7</v>
      </c>
      <c r="H201" t="n">
        <v>0</v>
      </c>
      <c r="I201" t="n">
        <v>0</v>
      </c>
      <c r="J201" t="n">
        <v>0</v>
      </c>
      <c r="K201" t="n">
        <v>0</v>
      </c>
      <c r="L201" t="n">
        <v>0</v>
      </c>
      <c r="M201" t="n">
        <v>0</v>
      </c>
      <c r="N201" t="n">
        <v>0</v>
      </c>
      <c r="O201" t="n">
        <v>0</v>
      </c>
      <c r="P201" t="n">
        <v>0</v>
      </c>
      <c r="Q201" t="n">
        <v>0</v>
      </c>
      <c r="R201" s="2" t="inlineStr"/>
    </row>
    <row r="202" ht="15" customHeight="1">
      <c r="A202" t="inlineStr">
        <is>
          <t>A 42660-2018</t>
        </is>
      </c>
      <c r="B202" s="1" t="n">
        <v>43350</v>
      </c>
      <c r="C202" s="1" t="n">
        <v>45358</v>
      </c>
      <c r="D202" t="inlineStr">
        <is>
          <t>JÄMTLANDS LÄN</t>
        </is>
      </c>
      <c r="E202" t="inlineStr">
        <is>
          <t>KROKOM</t>
        </is>
      </c>
      <c r="G202" t="n">
        <v>6.6</v>
      </c>
      <c r="H202" t="n">
        <v>0</v>
      </c>
      <c r="I202" t="n">
        <v>0</v>
      </c>
      <c r="J202" t="n">
        <v>0</v>
      </c>
      <c r="K202" t="n">
        <v>0</v>
      </c>
      <c r="L202" t="n">
        <v>0</v>
      </c>
      <c r="M202" t="n">
        <v>0</v>
      </c>
      <c r="N202" t="n">
        <v>0</v>
      </c>
      <c r="O202" t="n">
        <v>0</v>
      </c>
      <c r="P202" t="n">
        <v>0</v>
      </c>
      <c r="Q202" t="n">
        <v>0</v>
      </c>
      <c r="R202" s="2" t="inlineStr"/>
    </row>
    <row r="203" ht="15" customHeight="1">
      <c r="A203" t="inlineStr">
        <is>
          <t>A 42173-2018</t>
        </is>
      </c>
      <c r="B203" s="1" t="n">
        <v>43353</v>
      </c>
      <c r="C203" s="1" t="n">
        <v>45358</v>
      </c>
      <c r="D203" t="inlineStr">
        <is>
          <t>JÄMTLANDS LÄN</t>
        </is>
      </c>
      <c r="E203" t="inlineStr">
        <is>
          <t>KROKOM</t>
        </is>
      </c>
      <c r="G203" t="n">
        <v>0.8</v>
      </c>
      <c r="H203" t="n">
        <v>0</v>
      </c>
      <c r="I203" t="n">
        <v>0</v>
      </c>
      <c r="J203" t="n">
        <v>0</v>
      </c>
      <c r="K203" t="n">
        <v>0</v>
      </c>
      <c r="L203" t="n">
        <v>0</v>
      </c>
      <c r="M203" t="n">
        <v>0</v>
      </c>
      <c r="N203" t="n">
        <v>0</v>
      </c>
      <c r="O203" t="n">
        <v>0</v>
      </c>
      <c r="P203" t="n">
        <v>0</v>
      </c>
      <c r="Q203" t="n">
        <v>0</v>
      </c>
      <c r="R203" s="2" t="inlineStr"/>
    </row>
    <row r="204" ht="15" customHeight="1">
      <c r="A204" t="inlineStr">
        <is>
          <t>A 43619-2018</t>
        </is>
      </c>
      <c r="B204" s="1" t="n">
        <v>43357</v>
      </c>
      <c r="C204" s="1" t="n">
        <v>45358</v>
      </c>
      <c r="D204" t="inlineStr">
        <is>
          <t>JÄMTLANDS LÄN</t>
        </is>
      </c>
      <c r="E204" t="inlineStr">
        <is>
          <t>KROKOM</t>
        </is>
      </c>
      <c r="G204" t="n">
        <v>30.5</v>
      </c>
      <c r="H204" t="n">
        <v>0</v>
      </c>
      <c r="I204" t="n">
        <v>0</v>
      </c>
      <c r="J204" t="n">
        <v>0</v>
      </c>
      <c r="K204" t="n">
        <v>0</v>
      </c>
      <c r="L204" t="n">
        <v>0</v>
      </c>
      <c r="M204" t="n">
        <v>0</v>
      </c>
      <c r="N204" t="n">
        <v>0</v>
      </c>
      <c r="O204" t="n">
        <v>0</v>
      </c>
      <c r="P204" t="n">
        <v>0</v>
      </c>
      <c r="Q204" t="n">
        <v>0</v>
      </c>
      <c r="R204" s="2" t="inlineStr"/>
    </row>
    <row r="205" ht="15" customHeight="1">
      <c r="A205" t="inlineStr">
        <is>
          <t>A 43773-2018</t>
        </is>
      </c>
      <c r="B205" s="1" t="n">
        <v>43357</v>
      </c>
      <c r="C205" s="1" t="n">
        <v>45358</v>
      </c>
      <c r="D205" t="inlineStr">
        <is>
          <t>JÄMTLANDS LÄN</t>
        </is>
      </c>
      <c r="E205" t="inlineStr">
        <is>
          <t>KROKOM</t>
        </is>
      </c>
      <c r="G205" t="n">
        <v>2.6</v>
      </c>
      <c r="H205" t="n">
        <v>0</v>
      </c>
      <c r="I205" t="n">
        <v>0</v>
      </c>
      <c r="J205" t="n">
        <v>0</v>
      </c>
      <c r="K205" t="n">
        <v>0</v>
      </c>
      <c r="L205" t="n">
        <v>0</v>
      </c>
      <c r="M205" t="n">
        <v>0</v>
      </c>
      <c r="N205" t="n">
        <v>0</v>
      </c>
      <c r="O205" t="n">
        <v>0</v>
      </c>
      <c r="P205" t="n">
        <v>0</v>
      </c>
      <c r="Q205" t="n">
        <v>0</v>
      </c>
      <c r="R205" s="2" t="inlineStr"/>
    </row>
    <row r="206" ht="15" customHeight="1">
      <c r="A206" t="inlineStr">
        <is>
          <t>A 45885-2018</t>
        </is>
      </c>
      <c r="B206" s="1" t="n">
        <v>43362</v>
      </c>
      <c r="C206" s="1" t="n">
        <v>45358</v>
      </c>
      <c r="D206" t="inlineStr">
        <is>
          <t>JÄMTLANDS LÄN</t>
        </is>
      </c>
      <c r="E206" t="inlineStr">
        <is>
          <t>KROKOM</t>
        </is>
      </c>
      <c r="G206" t="n">
        <v>1</v>
      </c>
      <c r="H206" t="n">
        <v>0</v>
      </c>
      <c r="I206" t="n">
        <v>0</v>
      </c>
      <c r="J206" t="n">
        <v>0</v>
      </c>
      <c r="K206" t="n">
        <v>0</v>
      </c>
      <c r="L206" t="n">
        <v>0</v>
      </c>
      <c r="M206" t="n">
        <v>0</v>
      </c>
      <c r="N206" t="n">
        <v>0</v>
      </c>
      <c r="O206" t="n">
        <v>0</v>
      </c>
      <c r="P206" t="n">
        <v>0</v>
      </c>
      <c r="Q206" t="n">
        <v>0</v>
      </c>
      <c r="R206" s="2" t="inlineStr"/>
    </row>
    <row r="207" ht="15" customHeight="1">
      <c r="A207" t="inlineStr">
        <is>
          <t>A 45894-2018</t>
        </is>
      </c>
      <c r="B207" s="1" t="n">
        <v>43362</v>
      </c>
      <c r="C207" s="1" t="n">
        <v>45358</v>
      </c>
      <c r="D207" t="inlineStr">
        <is>
          <t>JÄMTLANDS LÄN</t>
        </is>
      </c>
      <c r="E207" t="inlineStr">
        <is>
          <t>KROKOM</t>
        </is>
      </c>
      <c r="G207" t="n">
        <v>6.8</v>
      </c>
      <c r="H207" t="n">
        <v>0</v>
      </c>
      <c r="I207" t="n">
        <v>0</v>
      </c>
      <c r="J207" t="n">
        <v>0</v>
      </c>
      <c r="K207" t="n">
        <v>0</v>
      </c>
      <c r="L207" t="n">
        <v>0</v>
      </c>
      <c r="M207" t="n">
        <v>0</v>
      </c>
      <c r="N207" t="n">
        <v>0</v>
      </c>
      <c r="O207" t="n">
        <v>0</v>
      </c>
      <c r="P207" t="n">
        <v>0</v>
      </c>
      <c r="Q207" t="n">
        <v>0</v>
      </c>
      <c r="R207" s="2" t="inlineStr"/>
    </row>
    <row r="208" ht="15" customHeight="1">
      <c r="A208" t="inlineStr">
        <is>
          <t>A 45886-2018</t>
        </is>
      </c>
      <c r="B208" s="1" t="n">
        <v>43362</v>
      </c>
      <c r="C208" s="1" t="n">
        <v>45358</v>
      </c>
      <c r="D208" t="inlineStr">
        <is>
          <t>JÄMTLANDS LÄN</t>
        </is>
      </c>
      <c r="E208" t="inlineStr">
        <is>
          <t>KROKOM</t>
        </is>
      </c>
      <c r="G208" t="n">
        <v>18.5</v>
      </c>
      <c r="H208" t="n">
        <v>0</v>
      </c>
      <c r="I208" t="n">
        <v>0</v>
      </c>
      <c r="J208" t="n">
        <v>0</v>
      </c>
      <c r="K208" t="n">
        <v>0</v>
      </c>
      <c r="L208" t="n">
        <v>0</v>
      </c>
      <c r="M208" t="n">
        <v>0</v>
      </c>
      <c r="N208" t="n">
        <v>0</v>
      </c>
      <c r="O208" t="n">
        <v>0</v>
      </c>
      <c r="P208" t="n">
        <v>0</v>
      </c>
      <c r="Q208" t="n">
        <v>0</v>
      </c>
      <c r="R208" s="2" t="inlineStr"/>
    </row>
    <row r="209" ht="15" customHeight="1">
      <c r="A209" t="inlineStr">
        <is>
          <t>A 45745-2018</t>
        </is>
      </c>
      <c r="B209" s="1" t="n">
        <v>43364</v>
      </c>
      <c r="C209" s="1" t="n">
        <v>45358</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72678-2018</t>
        </is>
      </c>
      <c r="B210" s="1" t="n">
        <v>43389</v>
      </c>
      <c r="C210" s="1" t="n">
        <v>45358</v>
      </c>
      <c r="D210" t="inlineStr">
        <is>
          <t>JÄMTLANDS LÄN</t>
        </is>
      </c>
      <c r="E210" t="inlineStr">
        <is>
          <t>KROKOM</t>
        </is>
      </c>
      <c r="G210" t="n">
        <v>1.1</v>
      </c>
      <c r="H210" t="n">
        <v>0</v>
      </c>
      <c r="I210" t="n">
        <v>0</v>
      </c>
      <c r="J210" t="n">
        <v>0</v>
      </c>
      <c r="K210" t="n">
        <v>0</v>
      </c>
      <c r="L210" t="n">
        <v>0</v>
      </c>
      <c r="M210" t="n">
        <v>0</v>
      </c>
      <c r="N210" t="n">
        <v>0</v>
      </c>
      <c r="O210" t="n">
        <v>0</v>
      </c>
      <c r="P210" t="n">
        <v>0</v>
      </c>
      <c r="Q210" t="n">
        <v>0</v>
      </c>
      <c r="R210" s="2" t="inlineStr"/>
    </row>
    <row r="211" ht="15" customHeight="1">
      <c r="A211" t="inlineStr">
        <is>
          <t>A 54083-2018</t>
        </is>
      </c>
      <c r="B211" s="1" t="n">
        <v>43392</v>
      </c>
      <c r="C211" s="1" t="n">
        <v>45358</v>
      </c>
      <c r="D211" t="inlineStr">
        <is>
          <t>JÄMTLANDS LÄN</t>
        </is>
      </c>
      <c r="E211" t="inlineStr">
        <is>
          <t>KROKOM</t>
        </is>
      </c>
      <c r="G211" t="n">
        <v>12</v>
      </c>
      <c r="H211" t="n">
        <v>0</v>
      </c>
      <c r="I211" t="n">
        <v>0</v>
      </c>
      <c r="J211" t="n">
        <v>0</v>
      </c>
      <c r="K211" t="n">
        <v>0</v>
      </c>
      <c r="L211" t="n">
        <v>0</v>
      </c>
      <c r="M211" t="n">
        <v>0</v>
      </c>
      <c r="N211" t="n">
        <v>0</v>
      </c>
      <c r="O211" t="n">
        <v>0</v>
      </c>
      <c r="P211" t="n">
        <v>0</v>
      </c>
      <c r="Q211" t="n">
        <v>0</v>
      </c>
      <c r="R211" s="2" t="inlineStr"/>
    </row>
    <row r="212" ht="15" customHeight="1">
      <c r="A212" t="inlineStr">
        <is>
          <t>A 60253-2018</t>
        </is>
      </c>
      <c r="B212" s="1" t="n">
        <v>43412</v>
      </c>
      <c r="C212" s="1" t="n">
        <v>45358</v>
      </c>
      <c r="D212" t="inlineStr">
        <is>
          <t>JÄMTLANDS LÄN</t>
        </is>
      </c>
      <c r="E212" t="inlineStr">
        <is>
          <t>KROKOM</t>
        </is>
      </c>
      <c r="F212" t="inlineStr">
        <is>
          <t>Övriga Aktiebolag</t>
        </is>
      </c>
      <c r="G212" t="n">
        <v>33.6</v>
      </c>
      <c r="H212" t="n">
        <v>0</v>
      </c>
      <c r="I212" t="n">
        <v>0</v>
      </c>
      <c r="J212" t="n">
        <v>0</v>
      </c>
      <c r="K212" t="n">
        <v>0</v>
      </c>
      <c r="L212" t="n">
        <v>0</v>
      </c>
      <c r="M212" t="n">
        <v>0</v>
      </c>
      <c r="N212" t="n">
        <v>0</v>
      </c>
      <c r="O212" t="n">
        <v>0</v>
      </c>
      <c r="P212" t="n">
        <v>0</v>
      </c>
      <c r="Q212" t="n">
        <v>0</v>
      </c>
      <c r="R212" s="2" t="inlineStr"/>
    </row>
    <row r="213" ht="15" customHeight="1">
      <c r="A213" t="inlineStr">
        <is>
          <t>A 61191-2018</t>
        </is>
      </c>
      <c r="B213" s="1" t="n">
        <v>43412</v>
      </c>
      <c r="C213" s="1" t="n">
        <v>45358</v>
      </c>
      <c r="D213" t="inlineStr">
        <is>
          <t>JÄMTLANDS LÄN</t>
        </is>
      </c>
      <c r="E213" t="inlineStr">
        <is>
          <t>KROKOM</t>
        </is>
      </c>
      <c r="G213" t="n">
        <v>1.5</v>
      </c>
      <c r="H213" t="n">
        <v>0</v>
      </c>
      <c r="I213" t="n">
        <v>0</v>
      </c>
      <c r="J213" t="n">
        <v>0</v>
      </c>
      <c r="K213" t="n">
        <v>0</v>
      </c>
      <c r="L213" t="n">
        <v>0</v>
      </c>
      <c r="M213" t="n">
        <v>0</v>
      </c>
      <c r="N213" t="n">
        <v>0</v>
      </c>
      <c r="O213" t="n">
        <v>0</v>
      </c>
      <c r="P213" t="n">
        <v>0</v>
      </c>
      <c r="Q213" t="n">
        <v>0</v>
      </c>
      <c r="R213" s="2" t="inlineStr"/>
    </row>
    <row r="214" ht="15" customHeight="1">
      <c r="A214" t="inlineStr">
        <is>
          <t>A 61197-2018</t>
        </is>
      </c>
      <c r="B214" s="1" t="n">
        <v>43412</v>
      </c>
      <c r="C214" s="1" t="n">
        <v>45358</v>
      </c>
      <c r="D214" t="inlineStr">
        <is>
          <t>JÄMTLANDS LÄN</t>
        </is>
      </c>
      <c r="E214" t="inlineStr">
        <is>
          <t>KROKOM</t>
        </is>
      </c>
      <c r="G214" t="n">
        <v>3.5</v>
      </c>
      <c r="H214" t="n">
        <v>0</v>
      </c>
      <c r="I214" t="n">
        <v>0</v>
      </c>
      <c r="J214" t="n">
        <v>0</v>
      </c>
      <c r="K214" t="n">
        <v>0</v>
      </c>
      <c r="L214" t="n">
        <v>0</v>
      </c>
      <c r="M214" t="n">
        <v>0</v>
      </c>
      <c r="N214" t="n">
        <v>0</v>
      </c>
      <c r="O214" t="n">
        <v>0</v>
      </c>
      <c r="P214" t="n">
        <v>0</v>
      </c>
      <c r="Q214" t="n">
        <v>0</v>
      </c>
      <c r="R214" s="2" t="inlineStr"/>
    </row>
    <row r="215" ht="15" customHeight="1">
      <c r="A215" t="inlineStr">
        <is>
          <t>A 61879-2018</t>
        </is>
      </c>
      <c r="B215" s="1" t="n">
        <v>43413</v>
      </c>
      <c r="C215" s="1" t="n">
        <v>45358</v>
      </c>
      <c r="D215" t="inlineStr">
        <is>
          <t>JÄMTLANDS LÄN</t>
        </is>
      </c>
      <c r="E215" t="inlineStr">
        <is>
          <t>KROKOM</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62713-2018</t>
        </is>
      </c>
      <c r="B216" s="1" t="n">
        <v>43413</v>
      </c>
      <c r="C216" s="1" t="n">
        <v>45358</v>
      </c>
      <c r="D216" t="inlineStr">
        <is>
          <t>JÄMTLANDS LÄN</t>
        </is>
      </c>
      <c r="E216" t="inlineStr">
        <is>
          <t>KROKOM</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62724-2018</t>
        </is>
      </c>
      <c r="B217" s="1" t="n">
        <v>43413</v>
      </c>
      <c r="C217" s="1" t="n">
        <v>45358</v>
      </c>
      <c r="D217" t="inlineStr">
        <is>
          <t>JÄMTLANDS LÄN</t>
        </is>
      </c>
      <c r="E217" t="inlineStr">
        <is>
          <t>KROKOM</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60511-2018</t>
        </is>
      </c>
      <c r="B218" s="1" t="n">
        <v>43420</v>
      </c>
      <c r="C218" s="1" t="n">
        <v>45358</v>
      </c>
      <c r="D218" t="inlineStr">
        <is>
          <t>JÄMTLANDS LÄN</t>
        </is>
      </c>
      <c r="E218" t="inlineStr">
        <is>
          <t>KROKOM</t>
        </is>
      </c>
      <c r="F218" t="inlineStr">
        <is>
          <t>Övriga Aktiebolag</t>
        </is>
      </c>
      <c r="G218" t="n">
        <v>5.8</v>
      </c>
      <c r="H218" t="n">
        <v>0</v>
      </c>
      <c r="I218" t="n">
        <v>0</v>
      </c>
      <c r="J218" t="n">
        <v>0</v>
      </c>
      <c r="K218" t="n">
        <v>0</v>
      </c>
      <c r="L218" t="n">
        <v>0</v>
      </c>
      <c r="M218" t="n">
        <v>0</v>
      </c>
      <c r="N218" t="n">
        <v>0</v>
      </c>
      <c r="O218" t="n">
        <v>0</v>
      </c>
      <c r="P218" t="n">
        <v>0</v>
      </c>
      <c r="Q218" t="n">
        <v>0</v>
      </c>
      <c r="R218" s="2" t="inlineStr"/>
    </row>
    <row r="219" ht="15" customHeight="1">
      <c r="A219" t="inlineStr">
        <is>
          <t>A 61262-2018</t>
        </is>
      </c>
      <c r="B219" s="1" t="n">
        <v>43423</v>
      </c>
      <c r="C219" s="1" t="n">
        <v>45358</v>
      </c>
      <c r="D219" t="inlineStr">
        <is>
          <t>JÄMTLANDS LÄN</t>
        </is>
      </c>
      <c r="E219" t="inlineStr">
        <is>
          <t>KROKOM</t>
        </is>
      </c>
      <c r="G219" t="n">
        <v>0.1</v>
      </c>
      <c r="H219" t="n">
        <v>0</v>
      </c>
      <c r="I219" t="n">
        <v>0</v>
      </c>
      <c r="J219" t="n">
        <v>0</v>
      </c>
      <c r="K219" t="n">
        <v>0</v>
      </c>
      <c r="L219" t="n">
        <v>0</v>
      </c>
      <c r="M219" t="n">
        <v>0</v>
      </c>
      <c r="N219" t="n">
        <v>0</v>
      </c>
      <c r="O219" t="n">
        <v>0</v>
      </c>
      <c r="P219" t="n">
        <v>0</v>
      </c>
      <c r="Q219" t="n">
        <v>0</v>
      </c>
      <c r="R219" s="2" t="inlineStr"/>
    </row>
    <row r="220" ht="15" customHeight="1">
      <c r="A220" t="inlineStr">
        <is>
          <t>A 61261-2018</t>
        </is>
      </c>
      <c r="B220" s="1" t="n">
        <v>43423</v>
      </c>
      <c r="C220" s="1" t="n">
        <v>45358</v>
      </c>
      <c r="D220" t="inlineStr">
        <is>
          <t>JÄMTLANDS LÄN</t>
        </is>
      </c>
      <c r="E220" t="inlineStr">
        <is>
          <t>KROKOM</t>
        </is>
      </c>
      <c r="G220" t="n">
        <v>1.1</v>
      </c>
      <c r="H220" t="n">
        <v>0</v>
      </c>
      <c r="I220" t="n">
        <v>0</v>
      </c>
      <c r="J220" t="n">
        <v>0</v>
      </c>
      <c r="K220" t="n">
        <v>0</v>
      </c>
      <c r="L220" t="n">
        <v>0</v>
      </c>
      <c r="M220" t="n">
        <v>0</v>
      </c>
      <c r="N220" t="n">
        <v>0</v>
      </c>
      <c r="O220" t="n">
        <v>0</v>
      </c>
      <c r="P220" t="n">
        <v>0</v>
      </c>
      <c r="Q220" t="n">
        <v>0</v>
      </c>
      <c r="R220" s="2" t="inlineStr"/>
    </row>
    <row r="221" ht="15" customHeight="1">
      <c r="A221" t="inlineStr">
        <is>
          <t>A 61811-2018</t>
        </is>
      </c>
      <c r="B221" s="1" t="n">
        <v>43425</v>
      </c>
      <c r="C221" s="1" t="n">
        <v>45358</v>
      </c>
      <c r="D221" t="inlineStr">
        <is>
          <t>JÄMTLANDS LÄN</t>
        </is>
      </c>
      <c r="E221" t="inlineStr">
        <is>
          <t>KROKOM</t>
        </is>
      </c>
      <c r="F221" t="inlineStr">
        <is>
          <t>Övriga Aktiebolag</t>
        </is>
      </c>
      <c r="G221" t="n">
        <v>53.4</v>
      </c>
      <c r="H221" t="n">
        <v>0</v>
      </c>
      <c r="I221" t="n">
        <v>0</v>
      </c>
      <c r="J221" t="n">
        <v>0</v>
      </c>
      <c r="K221" t="n">
        <v>0</v>
      </c>
      <c r="L221" t="n">
        <v>0</v>
      </c>
      <c r="M221" t="n">
        <v>0</v>
      </c>
      <c r="N221" t="n">
        <v>0</v>
      </c>
      <c r="O221" t="n">
        <v>0</v>
      </c>
      <c r="P221" t="n">
        <v>0</v>
      </c>
      <c r="Q221" t="n">
        <v>0</v>
      </c>
      <c r="R221" s="2" t="inlineStr"/>
    </row>
    <row r="222" ht="15" customHeight="1">
      <c r="A222" t="inlineStr">
        <is>
          <t>A 63658-2018</t>
        </is>
      </c>
      <c r="B222" s="1" t="n">
        <v>43427</v>
      </c>
      <c r="C222" s="1" t="n">
        <v>45358</v>
      </c>
      <c r="D222" t="inlineStr">
        <is>
          <t>JÄMTLANDS LÄN</t>
        </is>
      </c>
      <c r="E222" t="inlineStr">
        <is>
          <t>KROKOM</t>
        </is>
      </c>
      <c r="F222" t="inlineStr">
        <is>
          <t>Övriga Aktiebolag</t>
        </is>
      </c>
      <c r="G222" t="n">
        <v>18.9</v>
      </c>
      <c r="H222" t="n">
        <v>0</v>
      </c>
      <c r="I222" t="n">
        <v>0</v>
      </c>
      <c r="J222" t="n">
        <v>0</v>
      </c>
      <c r="K222" t="n">
        <v>0</v>
      </c>
      <c r="L222" t="n">
        <v>0</v>
      </c>
      <c r="M222" t="n">
        <v>0</v>
      </c>
      <c r="N222" t="n">
        <v>0</v>
      </c>
      <c r="O222" t="n">
        <v>0</v>
      </c>
      <c r="P222" t="n">
        <v>0</v>
      </c>
      <c r="Q222" t="n">
        <v>0</v>
      </c>
      <c r="R222" s="2" t="inlineStr"/>
    </row>
    <row r="223" ht="15" customHeight="1">
      <c r="A223" t="inlineStr">
        <is>
          <t>A 64245-2018</t>
        </is>
      </c>
      <c r="B223" s="1" t="n">
        <v>43430</v>
      </c>
      <c r="C223" s="1" t="n">
        <v>45358</v>
      </c>
      <c r="D223" t="inlineStr">
        <is>
          <t>JÄMTLANDS LÄN</t>
        </is>
      </c>
      <c r="E223" t="inlineStr">
        <is>
          <t>KROKOM</t>
        </is>
      </c>
      <c r="F223" t="inlineStr">
        <is>
          <t>Övriga Aktiebolag</t>
        </is>
      </c>
      <c r="G223" t="n">
        <v>3.6</v>
      </c>
      <c r="H223" t="n">
        <v>0</v>
      </c>
      <c r="I223" t="n">
        <v>0</v>
      </c>
      <c r="J223" t="n">
        <v>0</v>
      </c>
      <c r="K223" t="n">
        <v>0</v>
      </c>
      <c r="L223" t="n">
        <v>0</v>
      </c>
      <c r="M223" t="n">
        <v>0</v>
      </c>
      <c r="N223" t="n">
        <v>0</v>
      </c>
      <c r="O223" t="n">
        <v>0</v>
      </c>
      <c r="P223" t="n">
        <v>0</v>
      </c>
      <c r="Q223" t="n">
        <v>0</v>
      </c>
      <c r="R223" s="2" t="inlineStr"/>
    </row>
    <row r="224" ht="15" customHeight="1">
      <c r="A224" t="inlineStr">
        <is>
          <t>A 64924-2018</t>
        </is>
      </c>
      <c r="B224" s="1" t="n">
        <v>43431</v>
      </c>
      <c r="C224" s="1" t="n">
        <v>45358</v>
      </c>
      <c r="D224" t="inlineStr">
        <is>
          <t>JÄMTLANDS LÄN</t>
        </is>
      </c>
      <c r="E224" t="inlineStr">
        <is>
          <t>KROKOM</t>
        </is>
      </c>
      <c r="G224" t="n">
        <v>19.7</v>
      </c>
      <c r="H224" t="n">
        <v>0</v>
      </c>
      <c r="I224" t="n">
        <v>0</v>
      </c>
      <c r="J224" t="n">
        <v>0</v>
      </c>
      <c r="K224" t="n">
        <v>0</v>
      </c>
      <c r="L224" t="n">
        <v>0</v>
      </c>
      <c r="M224" t="n">
        <v>0</v>
      </c>
      <c r="N224" t="n">
        <v>0</v>
      </c>
      <c r="O224" t="n">
        <v>0</v>
      </c>
      <c r="P224" t="n">
        <v>0</v>
      </c>
      <c r="Q224" t="n">
        <v>0</v>
      </c>
      <c r="R224" s="2" t="inlineStr"/>
    </row>
    <row r="225" ht="15" customHeight="1">
      <c r="A225" t="inlineStr">
        <is>
          <t>A 65034-2018</t>
        </is>
      </c>
      <c r="B225" s="1" t="n">
        <v>43432</v>
      </c>
      <c r="C225" s="1" t="n">
        <v>45358</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65588-2018</t>
        </is>
      </c>
      <c r="B226" s="1" t="n">
        <v>43433</v>
      </c>
      <c r="C226" s="1" t="n">
        <v>45358</v>
      </c>
      <c r="D226" t="inlineStr">
        <is>
          <t>JÄMTLANDS LÄN</t>
        </is>
      </c>
      <c r="E226" t="inlineStr">
        <is>
          <t>KROKOM</t>
        </is>
      </c>
      <c r="G226" t="n">
        <v>3.4</v>
      </c>
      <c r="H226" t="n">
        <v>0</v>
      </c>
      <c r="I226" t="n">
        <v>0</v>
      </c>
      <c r="J226" t="n">
        <v>0</v>
      </c>
      <c r="K226" t="n">
        <v>0</v>
      </c>
      <c r="L226" t="n">
        <v>0</v>
      </c>
      <c r="M226" t="n">
        <v>0</v>
      </c>
      <c r="N226" t="n">
        <v>0</v>
      </c>
      <c r="O226" t="n">
        <v>0</v>
      </c>
      <c r="P226" t="n">
        <v>0</v>
      </c>
      <c r="Q226" t="n">
        <v>0</v>
      </c>
      <c r="R226" s="2" t="inlineStr"/>
    </row>
    <row r="227" ht="15" customHeight="1">
      <c r="A227" t="inlineStr">
        <is>
          <t>A 66809-2018</t>
        </is>
      </c>
      <c r="B227" s="1" t="n">
        <v>43437</v>
      </c>
      <c r="C227" s="1" t="n">
        <v>45358</v>
      </c>
      <c r="D227" t="inlineStr">
        <is>
          <t>JÄMTLANDS LÄN</t>
        </is>
      </c>
      <c r="E227" t="inlineStr">
        <is>
          <t>KROKOM</t>
        </is>
      </c>
      <c r="G227" t="n">
        <v>6.1</v>
      </c>
      <c r="H227" t="n">
        <v>0</v>
      </c>
      <c r="I227" t="n">
        <v>0</v>
      </c>
      <c r="J227" t="n">
        <v>0</v>
      </c>
      <c r="K227" t="n">
        <v>0</v>
      </c>
      <c r="L227" t="n">
        <v>0</v>
      </c>
      <c r="M227" t="n">
        <v>0</v>
      </c>
      <c r="N227" t="n">
        <v>0</v>
      </c>
      <c r="O227" t="n">
        <v>0</v>
      </c>
      <c r="P227" t="n">
        <v>0</v>
      </c>
      <c r="Q227" t="n">
        <v>0</v>
      </c>
      <c r="R227" s="2" t="inlineStr"/>
    </row>
    <row r="228" ht="15" customHeight="1">
      <c r="A228" t="inlineStr">
        <is>
          <t>A 68536-2018</t>
        </is>
      </c>
      <c r="B228" s="1" t="n">
        <v>43439</v>
      </c>
      <c r="C228" s="1" t="n">
        <v>45358</v>
      </c>
      <c r="D228" t="inlineStr">
        <is>
          <t>JÄMTLANDS LÄN</t>
        </is>
      </c>
      <c r="E228" t="inlineStr">
        <is>
          <t>KROKOM</t>
        </is>
      </c>
      <c r="G228" t="n">
        <v>3.9</v>
      </c>
      <c r="H228" t="n">
        <v>0</v>
      </c>
      <c r="I228" t="n">
        <v>0</v>
      </c>
      <c r="J228" t="n">
        <v>0</v>
      </c>
      <c r="K228" t="n">
        <v>0</v>
      </c>
      <c r="L228" t="n">
        <v>0</v>
      </c>
      <c r="M228" t="n">
        <v>0</v>
      </c>
      <c r="N228" t="n">
        <v>0</v>
      </c>
      <c r="O228" t="n">
        <v>0</v>
      </c>
      <c r="P228" t="n">
        <v>0</v>
      </c>
      <c r="Q228" t="n">
        <v>0</v>
      </c>
      <c r="R228" s="2" t="inlineStr"/>
    </row>
    <row r="229" ht="15" customHeight="1">
      <c r="A229" t="inlineStr">
        <is>
          <t>A 67627-2018</t>
        </is>
      </c>
      <c r="B229" s="1" t="n">
        <v>43440</v>
      </c>
      <c r="C229" s="1" t="n">
        <v>45358</v>
      </c>
      <c r="D229" t="inlineStr">
        <is>
          <t>JÄMTLANDS LÄN</t>
        </is>
      </c>
      <c r="E229" t="inlineStr">
        <is>
          <t>KROKOM</t>
        </is>
      </c>
      <c r="G229" t="n">
        <v>0.8</v>
      </c>
      <c r="H229" t="n">
        <v>0</v>
      </c>
      <c r="I229" t="n">
        <v>0</v>
      </c>
      <c r="J229" t="n">
        <v>0</v>
      </c>
      <c r="K229" t="n">
        <v>0</v>
      </c>
      <c r="L229" t="n">
        <v>0</v>
      </c>
      <c r="M229" t="n">
        <v>0</v>
      </c>
      <c r="N229" t="n">
        <v>0</v>
      </c>
      <c r="O229" t="n">
        <v>0</v>
      </c>
      <c r="P229" t="n">
        <v>0</v>
      </c>
      <c r="Q229" t="n">
        <v>0</v>
      </c>
      <c r="R229" s="2" t="inlineStr"/>
    </row>
    <row r="230" ht="15" customHeight="1">
      <c r="A230" t="inlineStr">
        <is>
          <t>A 68317-2018</t>
        </is>
      </c>
      <c r="B230" s="1" t="n">
        <v>43441</v>
      </c>
      <c r="C230" s="1" t="n">
        <v>45358</v>
      </c>
      <c r="D230" t="inlineStr">
        <is>
          <t>JÄMTLANDS LÄN</t>
        </is>
      </c>
      <c r="E230" t="inlineStr">
        <is>
          <t>KROKOM</t>
        </is>
      </c>
      <c r="G230" t="n">
        <v>1.6</v>
      </c>
      <c r="H230" t="n">
        <v>0</v>
      </c>
      <c r="I230" t="n">
        <v>0</v>
      </c>
      <c r="J230" t="n">
        <v>0</v>
      </c>
      <c r="K230" t="n">
        <v>0</v>
      </c>
      <c r="L230" t="n">
        <v>0</v>
      </c>
      <c r="M230" t="n">
        <v>0</v>
      </c>
      <c r="N230" t="n">
        <v>0</v>
      </c>
      <c r="O230" t="n">
        <v>0</v>
      </c>
      <c r="P230" t="n">
        <v>0</v>
      </c>
      <c r="Q230" t="n">
        <v>0</v>
      </c>
      <c r="R230" s="2" t="inlineStr"/>
    </row>
    <row r="231" ht="15" customHeight="1">
      <c r="A231" t="inlineStr">
        <is>
          <t>A 68324-2018</t>
        </is>
      </c>
      <c r="B231" s="1" t="n">
        <v>43441</v>
      </c>
      <c r="C231" s="1" t="n">
        <v>45358</v>
      </c>
      <c r="D231" t="inlineStr">
        <is>
          <t>JÄMTLANDS LÄN</t>
        </is>
      </c>
      <c r="E231" t="inlineStr">
        <is>
          <t>KROKOM</t>
        </is>
      </c>
      <c r="G231" t="n">
        <v>1.7</v>
      </c>
      <c r="H231" t="n">
        <v>0</v>
      </c>
      <c r="I231" t="n">
        <v>0</v>
      </c>
      <c r="J231" t="n">
        <v>0</v>
      </c>
      <c r="K231" t="n">
        <v>0</v>
      </c>
      <c r="L231" t="n">
        <v>0</v>
      </c>
      <c r="M231" t="n">
        <v>0</v>
      </c>
      <c r="N231" t="n">
        <v>0</v>
      </c>
      <c r="O231" t="n">
        <v>0</v>
      </c>
      <c r="P231" t="n">
        <v>0</v>
      </c>
      <c r="Q231" t="n">
        <v>0</v>
      </c>
      <c r="R231" s="2" t="inlineStr"/>
    </row>
    <row r="232" ht="15" customHeight="1">
      <c r="A232" t="inlineStr">
        <is>
          <t>A 69865-2018</t>
        </is>
      </c>
      <c r="B232" s="1" t="n">
        <v>43447</v>
      </c>
      <c r="C232" s="1" t="n">
        <v>45358</v>
      </c>
      <c r="D232" t="inlineStr">
        <is>
          <t>JÄMTLANDS LÄN</t>
        </is>
      </c>
      <c r="E232" t="inlineStr">
        <is>
          <t>KROKOM</t>
        </is>
      </c>
      <c r="G232" t="n">
        <v>0.8</v>
      </c>
      <c r="H232" t="n">
        <v>0</v>
      </c>
      <c r="I232" t="n">
        <v>0</v>
      </c>
      <c r="J232" t="n">
        <v>0</v>
      </c>
      <c r="K232" t="n">
        <v>0</v>
      </c>
      <c r="L232" t="n">
        <v>0</v>
      </c>
      <c r="M232" t="n">
        <v>0</v>
      </c>
      <c r="N232" t="n">
        <v>0</v>
      </c>
      <c r="O232" t="n">
        <v>0</v>
      </c>
      <c r="P232" t="n">
        <v>0</v>
      </c>
      <c r="Q232" t="n">
        <v>0</v>
      </c>
      <c r="R232" s="2" t="inlineStr"/>
    </row>
    <row r="233" ht="15" customHeight="1">
      <c r="A233" t="inlineStr">
        <is>
          <t>A 71193-2018</t>
        </is>
      </c>
      <c r="B233" s="1" t="n">
        <v>43453</v>
      </c>
      <c r="C233" s="1" t="n">
        <v>45358</v>
      </c>
      <c r="D233" t="inlineStr">
        <is>
          <t>JÄMTLANDS LÄN</t>
        </is>
      </c>
      <c r="E233" t="inlineStr">
        <is>
          <t>KROKOM</t>
        </is>
      </c>
      <c r="G233" t="n">
        <v>10.3</v>
      </c>
      <c r="H233" t="n">
        <v>0</v>
      </c>
      <c r="I233" t="n">
        <v>0</v>
      </c>
      <c r="J233" t="n">
        <v>0</v>
      </c>
      <c r="K233" t="n">
        <v>0</v>
      </c>
      <c r="L233" t="n">
        <v>0</v>
      </c>
      <c r="M233" t="n">
        <v>0</v>
      </c>
      <c r="N233" t="n">
        <v>0</v>
      </c>
      <c r="O233" t="n">
        <v>0</v>
      </c>
      <c r="P233" t="n">
        <v>0</v>
      </c>
      <c r="Q233" t="n">
        <v>0</v>
      </c>
      <c r="R233" s="2" t="inlineStr"/>
    </row>
    <row r="234" ht="15" customHeight="1">
      <c r="A234" t="inlineStr">
        <is>
          <t>A 72221-2018</t>
        </is>
      </c>
      <c r="B234" s="1" t="n">
        <v>43453</v>
      </c>
      <c r="C234" s="1" t="n">
        <v>45358</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981-2019</t>
        </is>
      </c>
      <c r="B235" s="1" t="n">
        <v>43455</v>
      </c>
      <c r="C235" s="1" t="n">
        <v>45358</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881-2019</t>
        </is>
      </c>
      <c r="B236" s="1" t="n">
        <v>43455</v>
      </c>
      <c r="C236" s="1" t="n">
        <v>45358</v>
      </c>
      <c r="D236" t="inlineStr">
        <is>
          <t>JÄMTLANDS LÄN</t>
        </is>
      </c>
      <c r="E236" t="inlineStr">
        <is>
          <t>KROKOM</t>
        </is>
      </c>
      <c r="G236" t="n">
        <v>2.5</v>
      </c>
      <c r="H236" t="n">
        <v>0</v>
      </c>
      <c r="I236" t="n">
        <v>0</v>
      </c>
      <c r="J236" t="n">
        <v>0</v>
      </c>
      <c r="K236" t="n">
        <v>0</v>
      </c>
      <c r="L236" t="n">
        <v>0</v>
      </c>
      <c r="M236" t="n">
        <v>0</v>
      </c>
      <c r="N236" t="n">
        <v>0</v>
      </c>
      <c r="O236" t="n">
        <v>0</v>
      </c>
      <c r="P236" t="n">
        <v>0</v>
      </c>
      <c r="Q236" t="n">
        <v>0</v>
      </c>
      <c r="R236" s="2" t="inlineStr"/>
    </row>
    <row r="237" ht="15" customHeight="1">
      <c r="A237" t="inlineStr">
        <is>
          <t>A 1046-2019</t>
        </is>
      </c>
      <c r="B237" s="1" t="n">
        <v>43455</v>
      </c>
      <c r="C237" s="1" t="n">
        <v>45358</v>
      </c>
      <c r="D237" t="inlineStr">
        <is>
          <t>JÄMTLANDS LÄN</t>
        </is>
      </c>
      <c r="E237" t="inlineStr">
        <is>
          <t>KROKOM</t>
        </is>
      </c>
      <c r="G237" t="n">
        <v>0.8</v>
      </c>
      <c r="H237" t="n">
        <v>0</v>
      </c>
      <c r="I237" t="n">
        <v>0</v>
      </c>
      <c r="J237" t="n">
        <v>0</v>
      </c>
      <c r="K237" t="n">
        <v>0</v>
      </c>
      <c r="L237" t="n">
        <v>0</v>
      </c>
      <c r="M237" t="n">
        <v>0</v>
      </c>
      <c r="N237" t="n">
        <v>0</v>
      </c>
      <c r="O237" t="n">
        <v>0</v>
      </c>
      <c r="P237" t="n">
        <v>0</v>
      </c>
      <c r="Q237" t="n">
        <v>0</v>
      </c>
      <c r="R237" s="2" t="inlineStr"/>
    </row>
    <row r="238" ht="15" customHeight="1">
      <c r="A238" t="inlineStr">
        <is>
          <t>A 72601-2018</t>
        </is>
      </c>
      <c r="B238" s="1" t="n">
        <v>43463</v>
      </c>
      <c r="C238" s="1" t="n">
        <v>45358</v>
      </c>
      <c r="D238" t="inlineStr">
        <is>
          <t>JÄMTLANDS LÄN</t>
        </is>
      </c>
      <c r="E238" t="inlineStr">
        <is>
          <t>KROKOM</t>
        </is>
      </c>
      <c r="G238" t="n">
        <v>5.3</v>
      </c>
      <c r="H238" t="n">
        <v>0</v>
      </c>
      <c r="I238" t="n">
        <v>0</v>
      </c>
      <c r="J238" t="n">
        <v>0</v>
      </c>
      <c r="K238" t="n">
        <v>0</v>
      </c>
      <c r="L238" t="n">
        <v>0</v>
      </c>
      <c r="M238" t="n">
        <v>0</v>
      </c>
      <c r="N238" t="n">
        <v>0</v>
      </c>
      <c r="O238" t="n">
        <v>0</v>
      </c>
      <c r="P238" t="n">
        <v>0</v>
      </c>
      <c r="Q238" t="n">
        <v>0</v>
      </c>
      <c r="R238" s="2" t="inlineStr"/>
    </row>
    <row r="239" ht="15" customHeight="1">
      <c r="A239" t="inlineStr">
        <is>
          <t>A 249-2019</t>
        </is>
      </c>
      <c r="B239" s="1" t="n">
        <v>43468</v>
      </c>
      <c r="C239" s="1" t="n">
        <v>45358</v>
      </c>
      <c r="D239" t="inlineStr">
        <is>
          <t>JÄMTLANDS LÄN</t>
        </is>
      </c>
      <c r="E239" t="inlineStr">
        <is>
          <t>KROKOM</t>
        </is>
      </c>
      <c r="G239" t="n">
        <v>15.7</v>
      </c>
      <c r="H239" t="n">
        <v>0</v>
      </c>
      <c r="I239" t="n">
        <v>0</v>
      </c>
      <c r="J239" t="n">
        <v>0</v>
      </c>
      <c r="K239" t="n">
        <v>0</v>
      </c>
      <c r="L239" t="n">
        <v>0</v>
      </c>
      <c r="M239" t="n">
        <v>0</v>
      </c>
      <c r="N239" t="n">
        <v>0</v>
      </c>
      <c r="O239" t="n">
        <v>0</v>
      </c>
      <c r="P239" t="n">
        <v>0</v>
      </c>
      <c r="Q239" t="n">
        <v>0</v>
      </c>
      <c r="R239" s="2" t="inlineStr"/>
    </row>
    <row r="240" ht="15" customHeight="1">
      <c r="A240" t="inlineStr">
        <is>
          <t>A 1706-2019</t>
        </is>
      </c>
      <c r="B240" s="1" t="n">
        <v>43474</v>
      </c>
      <c r="C240" s="1" t="n">
        <v>45358</v>
      </c>
      <c r="D240" t="inlineStr">
        <is>
          <t>JÄMTLANDS LÄN</t>
        </is>
      </c>
      <c r="E240" t="inlineStr">
        <is>
          <t>KROKOM</t>
        </is>
      </c>
      <c r="G240" t="n">
        <v>2.2</v>
      </c>
      <c r="H240" t="n">
        <v>0</v>
      </c>
      <c r="I240" t="n">
        <v>0</v>
      </c>
      <c r="J240" t="n">
        <v>0</v>
      </c>
      <c r="K240" t="n">
        <v>0</v>
      </c>
      <c r="L240" t="n">
        <v>0</v>
      </c>
      <c r="M240" t="n">
        <v>0</v>
      </c>
      <c r="N240" t="n">
        <v>0</v>
      </c>
      <c r="O240" t="n">
        <v>0</v>
      </c>
      <c r="P240" t="n">
        <v>0</v>
      </c>
      <c r="Q240" t="n">
        <v>0</v>
      </c>
      <c r="R240" s="2" t="inlineStr"/>
    </row>
    <row r="241" ht="15" customHeight="1">
      <c r="A241" t="inlineStr">
        <is>
          <t>A 3722-2019</t>
        </is>
      </c>
      <c r="B241" s="1" t="n">
        <v>43474</v>
      </c>
      <c r="C241" s="1" t="n">
        <v>45358</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1713-2019</t>
        </is>
      </c>
      <c r="B242" s="1" t="n">
        <v>43474</v>
      </c>
      <c r="C242" s="1" t="n">
        <v>45358</v>
      </c>
      <c r="D242" t="inlineStr">
        <is>
          <t>JÄMTLANDS LÄN</t>
        </is>
      </c>
      <c r="E242" t="inlineStr">
        <is>
          <t>KROKOM</t>
        </is>
      </c>
      <c r="G242" t="n">
        <v>6.3</v>
      </c>
      <c r="H242" t="n">
        <v>0</v>
      </c>
      <c r="I242" t="n">
        <v>0</v>
      </c>
      <c r="J242" t="n">
        <v>0</v>
      </c>
      <c r="K242" t="n">
        <v>0</v>
      </c>
      <c r="L242" t="n">
        <v>0</v>
      </c>
      <c r="M242" t="n">
        <v>0</v>
      </c>
      <c r="N242" t="n">
        <v>0</v>
      </c>
      <c r="O242" t="n">
        <v>0</v>
      </c>
      <c r="P242" t="n">
        <v>0</v>
      </c>
      <c r="Q242" t="n">
        <v>0</v>
      </c>
      <c r="R242" s="2" t="inlineStr"/>
    </row>
    <row r="243" ht="15" customHeight="1">
      <c r="A243" t="inlineStr">
        <is>
          <t>A 2430-2019</t>
        </is>
      </c>
      <c r="B243" s="1" t="n">
        <v>43476</v>
      </c>
      <c r="C243" s="1" t="n">
        <v>45358</v>
      </c>
      <c r="D243" t="inlineStr">
        <is>
          <t>JÄMTLANDS LÄN</t>
        </is>
      </c>
      <c r="E243" t="inlineStr">
        <is>
          <t>KROKOM</t>
        </is>
      </c>
      <c r="G243" t="n">
        <v>2.9</v>
      </c>
      <c r="H243" t="n">
        <v>0</v>
      </c>
      <c r="I243" t="n">
        <v>0</v>
      </c>
      <c r="J243" t="n">
        <v>0</v>
      </c>
      <c r="K243" t="n">
        <v>0</v>
      </c>
      <c r="L243" t="n">
        <v>0</v>
      </c>
      <c r="M243" t="n">
        <v>0</v>
      </c>
      <c r="N243" t="n">
        <v>0</v>
      </c>
      <c r="O243" t="n">
        <v>0</v>
      </c>
      <c r="P243" t="n">
        <v>0</v>
      </c>
      <c r="Q243" t="n">
        <v>0</v>
      </c>
      <c r="R243" s="2" t="inlineStr"/>
    </row>
    <row r="244" ht="15" customHeight="1">
      <c r="A244" t="inlineStr">
        <is>
          <t>A 2502-2019</t>
        </is>
      </c>
      <c r="B244" s="1" t="n">
        <v>43476</v>
      </c>
      <c r="C244" s="1" t="n">
        <v>45358</v>
      </c>
      <c r="D244" t="inlineStr">
        <is>
          <t>JÄMTLANDS LÄN</t>
        </is>
      </c>
      <c r="E244" t="inlineStr">
        <is>
          <t>KROKOM</t>
        </is>
      </c>
      <c r="G244" t="n">
        <v>4</v>
      </c>
      <c r="H244" t="n">
        <v>0</v>
      </c>
      <c r="I244" t="n">
        <v>0</v>
      </c>
      <c r="J244" t="n">
        <v>0</v>
      </c>
      <c r="K244" t="n">
        <v>0</v>
      </c>
      <c r="L244" t="n">
        <v>0</v>
      </c>
      <c r="M244" t="n">
        <v>0</v>
      </c>
      <c r="N244" t="n">
        <v>0</v>
      </c>
      <c r="O244" t="n">
        <v>0</v>
      </c>
      <c r="P244" t="n">
        <v>0</v>
      </c>
      <c r="Q244" t="n">
        <v>0</v>
      </c>
      <c r="R244" s="2" t="inlineStr"/>
    </row>
    <row r="245" ht="15" customHeight="1">
      <c r="A245" t="inlineStr">
        <is>
          <t>A 2616-2019</t>
        </is>
      </c>
      <c r="B245" s="1" t="n">
        <v>43477</v>
      </c>
      <c r="C245" s="1" t="n">
        <v>45358</v>
      </c>
      <c r="D245" t="inlineStr">
        <is>
          <t>JÄMTLANDS LÄN</t>
        </is>
      </c>
      <c r="E245" t="inlineStr">
        <is>
          <t>KROKOM</t>
        </is>
      </c>
      <c r="G245" t="n">
        <v>2.1</v>
      </c>
      <c r="H245" t="n">
        <v>0</v>
      </c>
      <c r="I245" t="n">
        <v>0</v>
      </c>
      <c r="J245" t="n">
        <v>0</v>
      </c>
      <c r="K245" t="n">
        <v>0</v>
      </c>
      <c r="L245" t="n">
        <v>0</v>
      </c>
      <c r="M245" t="n">
        <v>0</v>
      </c>
      <c r="N245" t="n">
        <v>0</v>
      </c>
      <c r="O245" t="n">
        <v>0</v>
      </c>
      <c r="P245" t="n">
        <v>0</v>
      </c>
      <c r="Q245" t="n">
        <v>0</v>
      </c>
      <c r="R245" s="2" t="inlineStr"/>
    </row>
    <row r="246" ht="15" customHeight="1">
      <c r="A246" t="inlineStr">
        <is>
          <t>A 4477-2019</t>
        </is>
      </c>
      <c r="B246" s="1" t="n">
        <v>43479</v>
      </c>
      <c r="C246" s="1" t="n">
        <v>45358</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5510-2019</t>
        </is>
      </c>
      <c r="B247" s="1" t="n">
        <v>43482</v>
      </c>
      <c r="C247" s="1" t="n">
        <v>45358</v>
      </c>
      <c r="D247" t="inlineStr">
        <is>
          <t>JÄMTLANDS LÄN</t>
        </is>
      </c>
      <c r="E247" t="inlineStr">
        <is>
          <t>KROKOM</t>
        </is>
      </c>
      <c r="G247" t="n">
        <v>3.3</v>
      </c>
      <c r="H247" t="n">
        <v>0</v>
      </c>
      <c r="I247" t="n">
        <v>0</v>
      </c>
      <c r="J247" t="n">
        <v>0</v>
      </c>
      <c r="K247" t="n">
        <v>0</v>
      </c>
      <c r="L247" t="n">
        <v>0</v>
      </c>
      <c r="M247" t="n">
        <v>0</v>
      </c>
      <c r="N247" t="n">
        <v>0</v>
      </c>
      <c r="O247" t="n">
        <v>0</v>
      </c>
      <c r="P247" t="n">
        <v>0</v>
      </c>
      <c r="Q247" t="n">
        <v>0</v>
      </c>
      <c r="R247" s="2" t="inlineStr"/>
    </row>
    <row r="248" ht="15" customHeight="1">
      <c r="A248" t="inlineStr">
        <is>
          <t>A 5509-2019</t>
        </is>
      </c>
      <c r="B248" s="1" t="n">
        <v>43482</v>
      </c>
      <c r="C248" s="1" t="n">
        <v>45358</v>
      </c>
      <c r="D248" t="inlineStr">
        <is>
          <t>JÄMTLANDS LÄN</t>
        </is>
      </c>
      <c r="E248" t="inlineStr">
        <is>
          <t>KROKOM</t>
        </is>
      </c>
      <c r="G248" t="n">
        <v>0.9</v>
      </c>
      <c r="H248" t="n">
        <v>0</v>
      </c>
      <c r="I248" t="n">
        <v>0</v>
      </c>
      <c r="J248" t="n">
        <v>0</v>
      </c>
      <c r="K248" t="n">
        <v>0</v>
      </c>
      <c r="L248" t="n">
        <v>0</v>
      </c>
      <c r="M248" t="n">
        <v>0</v>
      </c>
      <c r="N248" t="n">
        <v>0</v>
      </c>
      <c r="O248" t="n">
        <v>0</v>
      </c>
      <c r="P248" t="n">
        <v>0</v>
      </c>
      <c r="Q248" t="n">
        <v>0</v>
      </c>
      <c r="R248" s="2" t="inlineStr"/>
    </row>
    <row r="249" ht="15" customHeight="1">
      <c r="A249" t="inlineStr">
        <is>
          <t>A 5215-2019</t>
        </is>
      </c>
      <c r="B249" s="1" t="n">
        <v>43488</v>
      </c>
      <c r="C249" s="1" t="n">
        <v>45358</v>
      </c>
      <c r="D249" t="inlineStr">
        <is>
          <t>JÄMTLANDS LÄN</t>
        </is>
      </c>
      <c r="E249" t="inlineStr">
        <is>
          <t>KROKOM</t>
        </is>
      </c>
      <c r="G249" t="n">
        <v>8.9</v>
      </c>
      <c r="H249" t="n">
        <v>0</v>
      </c>
      <c r="I249" t="n">
        <v>0</v>
      </c>
      <c r="J249" t="n">
        <v>0</v>
      </c>
      <c r="K249" t="n">
        <v>0</v>
      </c>
      <c r="L249" t="n">
        <v>0</v>
      </c>
      <c r="M249" t="n">
        <v>0</v>
      </c>
      <c r="N249" t="n">
        <v>0</v>
      </c>
      <c r="O249" t="n">
        <v>0</v>
      </c>
      <c r="P249" t="n">
        <v>0</v>
      </c>
      <c r="Q249" t="n">
        <v>0</v>
      </c>
      <c r="R249" s="2" t="inlineStr"/>
    </row>
    <row r="250" ht="15" customHeight="1">
      <c r="A250" t="inlineStr">
        <is>
          <t>A 5770-2019</t>
        </is>
      </c>
      <c r="B250" s="1" t="n">
        <v>43490</v>
      </c>
      <c r="C250" s="1" t="n">
        <v>45358</v>
      </c>
      <c r="D250" t="inlineStr">
        <is>
          <t>JÄMTLANDS LÄN</t>
        </is>
      </c>
      <c r="E250" t="inlineStr">
        <is>
          <t>KROKOM</t>
        </is>
      </c>
      <c r="G250" t="n">
        <v>1.4</v>
      </c>
      <c r="H250" t="n">
        <v>0</v>
      </c>
      <c r="I250" t="n">
        <v>0</v>
      </c>
      <c r="J250" t="n">
        <v>0</v>
      </c>
      <c r="K250" t="n">
        <v>0</v>
      </c>
      <c r="L250" t="n">
        <v>0</v>
      </c>
      <c r="M250" t="n">
        <v>0</v>
      </c>
      <c r="N250" t="n">
        <v>0</v>
      </c>
      <c r="O250" t="n">
        <v>0</v>
      </c>
      <c r="P250" t="n">
        <v>0</v>
      </c>
      <c r="Q250" t="n">
        <v>0</v>
      </c>
      <c r="R250" s="2" t="inlineStr"/>
    </row>
    <row r="251" ht="15" customHeight="1">
      <c r="A251" t="inlineStr">
        <is>
          <t>A 7469-2019</t>
        </is>
      </c>
      <c r="B251" s="1" t="n">
        <v>43497</v>
      </c>
      <c r="C251" s="1" t="n">
        <v>45358</v>
      </c>
      <c r="D251" t="inlineStr">
        <is>
          <t>JÄMTLANDS LÄN</t>
        </is>
      </c>
      <c r="E251" t="inlineStr">
        <is>
          <t>KROKOM</t>
        </is>
      </c>
      <c r="G251" t="n">
        <v>2.5</v>
      </c>
      <c r="H251" t="n">
        <v>0</v>
      </c>
      <c r="I251" t="n">
        <v>0</v>
      </c>
      <c r="J251" t="n">
        <v>0</v>
      </c>
      <c r="K251" t="n">
        <v>0</v>
      </c>
      <c r="L251" t="n">
        <v>0</v>
      </c>
      <c r="M251" t="n">
        <v>0</v>
      </c>
      <c r="N251" t="n">
        <v>0</v>
      </c>
      <c r="O251" t="n">
        <v>0</v>
      </c>
      <c r="P251" t="n">
        <v>0</v>
      </c>
      <c r="Q251" t="n">
        <v>0</v>
      </c>
      <c r="R251" s="2" t="inlineStr"/>
    </row>
    <row r="252" ht="15" customHeight="1">
      <c r="A252" t="inlineStr">
        <is>
          <t>A 8489-2019</t>
        </is>
      </c>
      <c r="B252" s="1" t="n">
        <v>43500</v>
      </c>
      <c r="C252" s="1" t="n">
        <v>45358</v>
      </c>
      <c r="D252" t="inlineStr">
        <is>
          <t>JÄMTLANDS LÄN</t>
        </is>
      </c>
      <c r="E252" t="inlineStr">
        <is>
          <t>KROKOM</t>
        </is>
      </c>
      <c r="G252" t="n">
        <v>18.1</v>
      </c>
      <c r="H252" t="n">
        <v>0</v>
      </c>
      <c r="I252" t="n">
        <v>0</v>
      </c>
      <c r="J252" t="n">
        <v>0</v>
      </c>
      <c r="K252" t="n">
        <v>0</v>
      </c>
      <c r="L252" t="n">
        <v>0</v>
      </c>
      <c r="M252" t="n">
        <v>0</v>
      </c>
      <c r="N252" t="n">
        <v>0</v>
      </c>
      <c r="O252" t="n">
        <v>0</v>
      </c>
      <c r="P252" t="n">
        <v>0</v>
      </c>
      <c r="Q252" t="n">
        <v>0</v>
      </c>
      <c r="R252" s="2" t="inlineStr"/>
    </row>
    <row r="253" ht="15" customHeight="1">
      <c r="A253" t="inlineStr">
        <is>
          <t>A 8915-2019</t>
        </is>
      </c>
      <c r="B253" s="1" t="n">
        <v>43503</v>
      </c>
      <c r="C253" s="1" t="n">
        <v>45358</v>
      </c>
      <c r="D253" t="inlineStr">
        <is>
          <t>JÄMTLANDS LÄN</t>
        </is>
      </c>
      <c r="E253" t="inlineStr">
        <is>
          <t>KROKOM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8911-2019</t>
        </is>
      </c>
      <c r="B254" s="1" t="n">
        <v>43503</v>
      </c>
      <c r="C254" s="1" t="n">
        <v>45358</v>
      </c>
      <c r="D254" t="inlineStr">
        <is>
          <t>JÄMTLANDS LÄN</t>
        </is>
      </c>
      <c r="E254" t="inlineStr">
        <is>
          <t>KROKOM</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8917-2019</t>
        </is>
      </c>
      <c r="B255" s="1" t="n">
        <v>43503</v>
      </c>
      <c r="C255" s="1" t="n">
        <v>45358</v>
      </c>
      <c r="D255" t="inlineStr">
        <is>
          <t>JÄMTLANDS LÄN</t>
        </is>
      </c>
      <c r="E255" t="inlineStr">
        <is>
          <t>KROKOM</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9879-2019</t>
        </is>
      </c>
      <c r="B256" s="1" t="n">
        <v>43509</v>
      </c>
      <c r="C256" s="1" t="n">
        <v>45358</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9883-2019</t>
        </is>
      </c>
      <c r="B257" s="1" t="n">
        <v>43509</v>
      </c>
      <c r="C257" s="1" t="n">
        <v>45358</v>
      </c>
      <c r="D257" t="inlineStr">
        <is>
          <t>JÄMTLANDS LÄN</t>
        </is>
      </c>
      <c r="E257" t="inlineStr">
        <is>
          <t>KROKOM</t>
        </is>
      </c>
      <c r="G257" t="n">
        <v>5.7</v>
      </c>
      <c r="H257" t="n">
        <v>0</v>
      </c>
      <c r="I257" t="n">
        <v>0</v>
      </c>
      <c r="J257" t="n">
        <v>0</v>
      </c>
      <c r="K257" t="n">
        <v>0</v>
      </c>
      <c r="L257" t="n">
        <v>0</v>
      </c>
      <c r="M257" t="n">
        <v>0</v>
      </c>
      <c r="N257" t="n">
        <v>0</v>
      </c>
      <c r="O257" t="n">
        <v>0</v>
      </c>
      <c r="P257" t="n">
        <v>0</v>
      </c>
      <c r="Q257" t="n">
        <v>0</v>
      </c>
      <c r="R257" s="2" t="inlineStr"/>
    </row>
    <row r="258" ht="15" customHeight="1">
      <c r="A258" t="inlineStr">
        <is>
          <t>A 10688-2019</t>
        </is>
      </c>
      <c r="B258" s="1" t="n">
        <v>43514</v>
      </c>
      <c r="C258" s="1" t="n">
        <v>45358</v>
      </c>
      <c r="D258" t="inlineStr">
        <is>
          <t>JÄMTLANDS LÄN</t>
        </is>
      </c>
      <c r="E258" t="inlineStr">
        <is>
          <t>KROKOM</t>
        </is>
      </c>
      <c r="G258" t="n">
        <v>8</v>
      </c>
      <c r="H258" t="n">
        <v>0</v>
      </c>
      <c r="I258" t="n">
        <v>0</v>
      </c>
      <c r="J258" t="n">
        <v>0</v>
      </c>
      <c r="K258" t="n">
        <v>0</v>
      </c>
      <c r="L258" t="n">
        <v>0</v>
      </c>
      <c r="M258" t="n">
        <v>0</v>
      </c>
      <c r="N258" t="n">
        <v>0</v>
      </c>
      <c r="O258" t="n">
        <v>0</v>
      </c>
      <c r="P258" t="n">
        <v>0</v>
      </c>
      <c r="Q258" t="n">
        <v>0</v>
      </c>
      <c r="R258" s="2" t="inlineStr"/>
    </row>
    <row r="259" ht="15" customHeight="1">
      <c r="A259" t="inlineStr">
        <is>
          <t>A 11826-2019</t>
        </is>
      </c>
      <c r="B259" s="1" t="n">
        <v>43521</v>
      </c>
      <c r="C259" s="1" t="n">
        <v>45358</v>
      </c>
      <c r="D259" t="inlineStr">
        <is>
          <t>JÄMTLANDS LÄN</t>
        </is>
      </c>
      <c r="E259" t="inlineStr">
        <is>
          <t>KROKOM</t>
        </is>
      </c>
      <c r="G259" t="n">
        <v>22.9</v>
      </c>
      <c r="H259" t="n">
        <v>0</v>
      </c>
      <c r="I259" t="n">
        <v>0</v>
      </c>
      <c r="J259" t="n">
        <v>0</v>
      </c>
      <c r="K259" t="n">
        <v>0</v>
      </c>
      <c r="L259" t="n">
        <v>0</v>
      </c>
      <c r="M259" t="n">
        <v>0</v>
      </c>
      <c r="N259" t="n">
        <v>0</v>
      </c>
      <c r="O259" t="n">
        <v>0</v>
      </c>
      <c r="P259" t="n">
        <v>0</v>
      </c>
      <c r="Q259" t="n">
        <v>0</v>
      </c>
      <c r="R259" s="2" t="inlineStr"/>
    </row>
    <row r="260" ht="15" customHeight="1">
      <c r="A260" t="inlineStr">
        <is>
          <t>A 12089-2019</t>
        </is>
      </c>
      <c r="B260" s="1" t="n">
        <v>43522</v>
      </c>
      <c r="C260" s="1" t="n">
        <v>45358</v>
      </c>
      <c r="D260" t="inlineStr">
        <is>
          <t>JÄMTLANDS LÄN</t>
        </is>
      </c>
      <c r="E260" t="inlineStr">
        <is>
          <t>KROKOM</t>
        </is>
      </c>
      <c r="G260" t="n">
        <v>26</v>
      </c>
      <c r="H260" t="n">
        <v>0</v>
      </c>
      <c r="I260" t="n">
        <v>0</v>
      </c>
      <c r="J260" t="n">
        <v>0</v>
      </c>
      <c r="K260" t="n">
        <v>0</v>
      </c>
      <c r="L260" t="n">
        <v>0</v>
      </c>
      <c r="M260" t="n">
        <v>0</v>
      </c>
      <c r="N260" t="n">
        <v>0</v>
      </c>
      <c r="O260" t="n">
        <v>0</v>
      </c>
      <c r="P260" t="n">
        <v>0</v>
      </c>
      <c r="Q260" t="n">
        <v>0</v>
      </c>
      <c r="R260" s="2" t="inlineStr"/>
    </row>
    <row r="261" ht="15" customHeight="1">
      <c r="A261" t="inlineStr">
        <is>
          <t>A 12116-2019</t>
        </is>
      </c>
      <c r="B261" s="1" t="n">
        <v>43522</v>
      </c>
      <c r="C261" s="1" t="n">
        <v>45358</v>
      </c>
      <c r="D261" t="inlineStr">
        <is>
          <t>JÄMTLANDS LÄN</t>
        </is>
      </c>
      <c r="E261" t="inlineStr">
        <is>
          <t>KROKOM</t>
        </is>
      </c>
      <c r="G261" t="n">
        <v>2</v>
      </c>
      <c r="H261" t="n">
        <v>0</v>
      </c>
      <c r="I261" t="n">
        <v>0</v>
      </c>
      <c r="J261" t="n">
        <v>0</v>
      </c>
      <c r="K261" t="n">
        <v>0</v>
      </c>
      <c r="L261" t="n">
        <v>0</v>
      </c>
      <c r="M261" t="n">
        <v>0</v>
      </c>
      <c r="N261" t="n">
        <v>0</v>
      </c>
      <c r="O261" t="n">
        <v>0</v>
      </c>
      <c r="P261" t="n">
        <v>0</v>
      </c>
      <c r="Q261" t="n">
        <v>0</v>
      </c>
      <c r="R261" s="2" t="inlineStr"/>
    </row>
    <row r="262" ht="15" customHeight="1">
      <c r="A262" t="inlineStr">
        <is>
          <t>A 12109-2019</t>
        </is>
      </c>
      <c r="B262" s="1" t="n">
        <v>43522</v>
      </c>
      <c r="C262" s="1" t="n">
        <v>45358</v>
      </c>
      <c r="D262" t="inlineStr">
        <is>
          <t>JÄMTLANDS LÄN</t>
        </is>
      </c>
      <c r="E262" t="inlineStr">
        <is>
          <t>KROKOM</t>
        </is>
      </c>
      <c r="G262" t="n">
        <v>5.8</v>
      </c>
      <c r="H262" t="n">
        <v>0</v>
      </c>
      <c r="I262" t="n">
        <v>0</v>
      </c>
      <c r="J262" t="n">
        <v>0</v>
      </c>
      <c r="K262" t="n">
        <v>0</v>
      </c>
      <c r="L262" t="n">
        <v>0</v>
      </c>
      <c r="M262" t="n">
        <v>0</v>
      </c>
      <c r="N262" t="n">
        <v>0</v>
      </c>
      <c r="O262" t="n">
        <v>0</v>
      </c>
      <c r="P262" t="n">
        <v>0</v>
      </c>
      <c r="Q262" t="n">
        <v>0</v>
      </c>
      <c r="R262" s="2" t="inlineStr"/>
    </row>
    <row r="263" ht="15" customHeight="1">
      <c r="A263" t="inlineStr">
        <is>
          <t>A 12299-2019</t>
        </is>
      </c>
      <c r="B263" s="1" t="n">
        <v>43523</v>
      </c>
      <c r="C263" s="1" t="n">
        <v>45358</v>
      </c>
      <c r="D263" t="inlineStr">
        <is>
          <t>JÄMTLANDS LÄN</t>
        </is>
      </c>
      <c r="E263" t="inlineStr">
        <is>
          <t>KROKOM</t>
        </is>
      </c>
      <c r="G263" t="n">
        <v>5.3</v>
      </c>
      <c r="H263" t="n">
        <v>0</v>
      </c>
      <c r="I263" t="n">
        <v>0</v>
      </c>
      <c r="J263" t="n">
        <v>0</v>
      </c>
      <c r="K263" t="n">
        <v>0</v>
      </c>
      <c r="L263" t="n">
        <v>0</v>
      </c>
      <c r="M263" t="n">
        <v>0</v>
      </c>
      <c r="N263" t="n">
        <v>0</v>
      </c>
      <c r="O263" t="n">
        <v>0</v>
      </c>
      <c r="P263" t="n">
        <v>0</v>
      </c>
      <c r="Q263" t="n">
        <v>0</v>
      </c>
      <c r="R263" s="2" t="inlineStr"/>
    </row>
    <row r="264" ht="15" customHeight="1">
      <c r="A264" t="inlineStr">
        <is>
          <t>A 12300-2019</t>
        </is>
      </c>
      <c r="B264" s="1" t="n">
        <v>43523</v>
      </c>
      <c r="C264" s="1" t="n">
        <v>45358</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13209-2019</t>
        </is>
      </c>
      <c r="B265" s="1" t="n">
        <v>43528</v>
      </c>
      <c r="C265" s="1" t="n">
        <v>45358</v>
      </c>
      <c r="D265" t="inlineStr">
        <is>
          <t>JÄMTLANDS LÄN</t>
        </is>
      </c>
      <c r="E265" t="inlineStr">
        <is>
          <t>KROKOM</t>
        </is>
      </c>
      <c r="G265" t="n">
        <v>1.4</v>
      </c>
      <c r="H265" t="n">
        <v>0</v>
      </c>
      <c r="I265" t="n">
        <v>0</v>
      </c>
      <c r="J265" t="n">
        <v>0</v>
      </c>
      <c r="K265" t="n">
        <v>0</v>
      </c>
      <c r="L265" t="n">
        <v>0</v>
      </c>
      <c r="M265" t="n">
        <v>0</v>
      </c>
      <c r="N265" t="n">
        <v>0</v>
      </c>
      <c r="O265" t="n">
        <v>0</v>
      </c>
      <c r="P265" t="n">
        <v>0</v>
      </c>
      <c r="Q265" t="n">
        <v>0</v>
      </c>
      <c r="R265" s="2" t="inlineStr"/>
    </row>
    <row r="266" ht="15" customHeight="1">
      <c r="A266" t="inlineStr">
        <is>
          <t>A 13673-2019</t>
        </is>
      </c>
      <c r="B266" s="1" t="n">
        <v>43530</v>
      </c>
      <c r="C266" s="1" t="n">
        <v>45358</v>
      </c>
      <c r="D266" t="inlineStr">
        <is>
          <t>JÄMTLANDS LÄN</t>
        </is>
      </c>
      <c r="E266" t="inlineStr">
        <is>
          <t>KROKOM</t>
        </is>
      </c>
      <c r="G266" t="n">
        <v>11.2</v>
      </c>
      <c r="H266" t="n">
        <v>0</v>
      </c>
      <c r="I266" t="n">
        <v>0</v>
      </c>
      <c r="J266" t="n">
        <v>0</v>
      </c>
      <c r="K266" t="n">
        <v>0</v>
      </c>
      <c r="L266" t="n">
        <v>0</v>
      </c>
      <c r="M266" t="n">
        <v>0</v>
      </c>
      <c r="N266" t="n">
        <v>0</v>
      </c>
      <c r="O266" t="n">
        <v>0</v>
      </c>
      <c r="P266" t="n">
        <v>0</v>
      </c>
      <c r="Q266" t="n">
        <v>0</v>
      </c>
      <c r="R266" s="2" t="inlineStr"/>
    </row>
    <row r="267" ht="15" customHeight="1">
      <c r="A267" t="inlineStr">
        <is>
          <t>A 13644-2019</t>
        </is>
      </c>
      <c r="B267" s="1" t="n">
        <v>43530</v>
      </c>
      <c r="C267" s="1" t="n">
        <v>45358</v>
      </c>
      <c r="D267" t="inlineStr">
        <is>
          <t>JÄMTLANDS LÄN</t>
        </is>
      </c>
      <c r="E267" t="inlineStr">
        <is>
          <t>KROKOM</t>
        </is>
      </c>
      <c r="G267" t="n">
        <v>2.8</v>
      </c>
      <c r="H267" t="n">
        <v>0</v>
      </c>
      <c r="I267" t="n">
        <v>0</v>
      </c>
      <c r="J267" t="n">
        <v>0</v>
      </c>
      <c r="K267" t="n">
        <v>0</v>
      </c>
      <c r="L267" t="n">
        <v>0</v>
      </c>
      <c r="M267" t="n">
        <v>0</v>
      </c>
      <c r="N267" t="n">
        <v>0</v>
      </c>
      <c r="O267" t="n">
        <v>0</v>
      </c>
      <c r="P267" t="n">
        <v>0</v>
      </c>
      <c r="Q267" t="n">
        <v>0</v>
      </c>
      <c r="R267" s="2" t="inlineStr"/>
    </row>
    <row r="268" ht="15" customHeight="1">
      <c r="A268" t="inlineStr">
        <is>
          <t>A 14547-2019</t>
        </is>
      </c>
      <c r="B268" s="1" t="n">
        <v>43535</v>
      </c>
      <c r="C268" s="1" t="n">
        <v>45358</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15778-2019</t>
        </is>
      </c>
      <c r="B269" s="1" t="n">
        <v>43539</v>
      </c>
      <c r="C269" s="1" t="n">
        <v>45358</v>
      </c>
      <c r="D269" t="inlineStr">
        <is>
          <t>JÄMTLANDS LÄN</t>
        </is>
      </c>
      <c r="E269" t="inlineStr">
        <is>
          <t>KROKOM</t>
        </is>
      </c>
      <c r="G269" t="n">
        <v>5.4</v>
      </c>
      <c r="H269" t="n">
        <v>0</v>
      </c>
      <c r="I269" t="n">
        <v>0</v>
      </c>
      <c r="J269" t="n">
        <v>0</v>
      </c>
      <c r="K269" t="n">
        <v>0</v>
      </c>
      <c r="L269" t="n">
        <v>0</v>
      </c>
      <c r="M269" t="n">
        <v>0</v>
      </c>
      <c r="N269" t="n">
        <v>0</v>
      </c>
      <c r="O269" t="n">
        <v>0</v>
      </c>
      <c r="P269" t="n">
        <v>0</v>
      </c>
      <c r="Q269" t="n">
        <v>0</v>
      </c>
      <c r="R269" s="2" t="inlineStr"/>
    </row>
    <row r="270" ht="15" customHeight="1">
      <c r="A270" t="inlineStr">
        <is>
          <t>A 16335-2019</t>
        </is>
      </c>
      <c r="B270" s="1" t="n">
        <v>43545</v>
      </c>
      <c r="C270" s="1" t="n">
        <v>45358</v>
      </c>
      <c r="D270" t="inlineStr">
        <is>
          <t>JÄMTLANDS LÄN</t>
        </is>
      </c>
      <c r="E270" t="inlineStr">
        <is>
          <t>KROKOM</t>
        </is>
      </c>
      <c r="G270" t="n">
        <v>7.4</v>
      </c>
      <c r="H270" t="n">
        <v>0</v>
      </c>
      <c r="I270" t="n">
        <v>0</v>
      </c>
      <c r="J270" t="n">
        <v>0</v>
      </c>
      <c r="K270" t="n">
        <v>0</v>
      </c>
      <c r="L270" t="n">
        <v>0</v>
      </c>
      <c r="M270" t="n">
        <v>0</v>
      </c>
      <c r="N270" t="n">
        <v>0</v>
      </c>
      <c r="O270" t="n">
        <v>0</v>
      </c>
      <c r="P270" t="n">
        <v>0</v>
      </c>
      <c r="Q270" t="n">
        <v>0</v>
      </c>
      <c r="R270" s="2" t="inlineStr"/>
    </row>
    <row r="271" ht="15" customHeight="1">
      <c r="A271" t="inlineStr">
        <is>
          <t>A 16337-2019</t>
        </is>
      </c>
      <c r="B271" s="1" t="n">
        <v>43545</v>
      </c>
      <c r="C271" s="1" t="n">
        <v>45358</v>
      </c>
      <c r="D271" t="inlineStr">
        <is>
          <t>JÄMTLANDS LÄN</t>
        </is>
      </c>
      <c r="E271" t="inlineStr">
        <is>
          <t>KROKOM</t>
        </is>
      </c>
      <c r="G271" t="n">
        <v>11.8</v>
      </c>
      <c r="H271" t="n">
        <v>0</v>
      </c>
      <c r="I271" t="n">
        <v>0</v>
      </c>
      <c r="J271" t="n">
        <v>0</v>
      </c>
      <c r="K271" t="n">
        <v>0</v>
      </c>
      <c r="L271" t="n">
        <v>0</v>
      </c>
      <c r="M271" t="n">
        <v>0</v>
      </c>
      <c r="N271" t="n">
        <v>0</v>
      </c>
      <c r="O271" t="n">
        <v>0</v>
      </c>
      <c r="P271" t="n">
        <v>0</v>
      </c>
      <c r="Q271" t="n">
        <v>0</v>
      </c>
      <c r="R271" s="2" t="inlineStr"/>
    </row>
    <row r="272" ht="15" customHeight="1">
      <c r="A272" t="inlineStr">
        <is>
          <t>A 16242-2019</t>
        </is>
      </c>
      <c r="B272" s="1" t="n">
        <v>43545</v>
      </c>
      <c r="C272" s="1" t="n">
        <v>45358</v>
      </c>
      <c r="D272" t="inlineStr">
        <is>
          <t>JÄMTLANDS LÄN</t>
        </is>
      </c>
      <c r="E272" t="inlineStr">
        <is>
          <t>KROKOM</t>
        </is>
      </c>
      <c r="G272" t="n">
        <v>4.4</v>
      </c>
      <c r="H272" t="n">
        <v>0</v>
      </c>
      <c r="I272" t="n">
        <v>0</v>
      </c>
      <c r="J272" t="n">
        <v>0</v>
      </c>
      <c r="K272" t="n">
        <v>0</v>
      </c>
      <c r="L272" t="n">
        <v>0</v>
      </c>
      <c r="M272" t="n">
        <v>0</v>
      </c>
      <c r="N272" t="n">
        <v>0</v>
      </c>
      <c r="O272" t="n">
        <v>0</v>
      </c>
      <c r="P272" t="n">
        <v>0</v>
      </c>
      <c r="Q272" t="n">
        <v>0</v>
      </c>
      <c r="R272" s="2" t="inlineStr"/>
    </row>
    <row r="273" ht="15" customHeight="1">
      <c r="A273" t="inlineStr">
        <is>
          <t>A 16648-2019</t>
        </is>
      </c>
      <c r="B273" s="1" t="n">
        <v>43549</v>
      </c>
      <c r="C273" s="1" t="n">
        <v>45358</v>
      </c>
      <c r="D273" t="inlineStr">
        <is>
          <t>JÄMTLANDS LÄN</t>
        </is>
      </c>
      <c r="E273" t="inlineStr">
        <is>
          <t>KROKOM</t>
        </is>
      </c>
      <c r="G273" t="n">
        <v>1</v>
      </c>
      <c r="H273" t="n">
        <v>0</v>
      </c>
      <c r="I273" t="n">
        <v>0</v>
      </c>
      <c r="J273" t="n">
        <v>0</v>
      </c>
      <c r="K273" t="n">
        <v>0</v>
      </c>
      <c r="L273" t="n">
        <v>0</v>
      </c>
      <c r="M273" t="n">
        <v>0</v>
      </c>
      <c r="N273" t="n">
        <v>0</v>
      </c>
      <c r="O273" t="n">
        <v>0</v>
      </c>
      <c r="P273" t="n">
        <v>0</v>
      </c>
      <c r="Q273" t="n">
        <v>0</v>
      </c>
      <c r="R273" s="2" t="inlineStr"/>
    </row>
    <row r="274" ht="15" customHeight="1">
      <c r="A274" t="inlineStr">
        <is>
          <t>A 17108-2019</t>
        </is>
      </c>
      <c r="B274" s="1" t="n">
        <v>43551</v>
      </c>
      <c r="C274" s="1" t="n">
        <v>45358</v>
      </c>
      <c r="D274" t="inlineStr">
        <is>
          <t>JÄMTLANDS LÄN</t>
        </is>
      </c>
      <c r="E274" t="inlineStr">
        <is>
          <t>KROKOM</t>
        </is>
      </c>
      <c r="G274" t="n">
        <v>2.8</v>
      </c>
      <c r="H274" t="n">
        <v>0</v>
      </c>
      <c r="I274" t="n">
        <v>0</v>
      </c>
      <c r="J274" t="n">
        <v>0</v>
      </c>
      <c r="K274" t="n">
        <v>0</v>
      </c>
      <c r="L274" t="n">
        <v>0</v>
      </c>
      <c r="M274" t="n">
        <v>0</v>
      </c>
      <c r="N274" t="n">
        <v>0</v>
      </c>
      <c r="O274" t="n">
        <v>0</v>
      </c>
      <c r="P274" t="n">
        <v>0</v>
      </c>
      <c r="Q274" t="n">
        <v>0</v>
      </c>
      <c r="R274" s="2" t="inlineStr"/>
    </row>
    <row r="275" ht="15" customHeight="1">
      <c r="A275" t="inlineStr">
        <is>
          <t>A 17853-2019</t>
        </is>
      </c>
      <c r="B275" s="1" t="n">
        <v>43556</v>
      </c>
      <c r="C275" s="1" t="n">
        <v>45358</v>
      </c>
      <c r="D275" t="inlineStr">
        <is>
          <t>JÄMTLANDS LÄN</t>
        </is>
      </c>
      <c r="E275" t="inlineStr">
        <is>
          <t>KROKOM</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18183-2019</t>
        </is>
      </c>
      <c r="B276" s="1" t="n">
        <v>43558</v>
      </c>
      <c r="C276" s="1" t="n">
        <v>45358</v>
      </c>
      <c r="D276" t="inlineStr">
        <is>
          <t>JÄMTLANDS LÄN</t>
        </is>
      </c>
      <c r="E276" t="inlineStr">
        <is>
          <t>KROKOM</t>
        </is>
      </c>
      <c r="G276" t="n">
        <v>5.3</v>
      </c>
      <c r="H276" t="n">
        <v>0</v>
      </c>
      <c r="I276" t="n">
        <v>0</v>
      </c>
      <c r="J276" t="n">
        <v>0</v>
      </c>
      <c r="K276" t="n">
        <v>0</v>
      </c>
      <c r="L276" t="n">
        <v>0</v>
      </c>
      <c r="M276" t="n">
        <v>0</v>
      </c>
      <c r="N276" t="n">
        <v>0</v>
      </c>
      <c r="O276" t="n">
        <v>0</v>
      </c>
      <c r="P276" t="n">
        <v>0</v>
      </c>
      <c r="Q276" t="n">
        <v>0</v>
      </c>
      <c r="R276" s="2" t="inlineStr"/>
    </row>
    <row r="277" ht="15" customHeight="1">
      <c r="A277" t="inlineStr">
        <is>
          <t>A 18477-2019</t>
        </is>
      </c>
      <c r="B277" s="1" t="n">
        <v>43559</v>
      </c>
      <c r="C277" s="1" t="n">
        <v>45358</v>
      </c>
      <c r="D277" t="inlineStr">
        <is>
          <t>JÄMTLANDS LÄN</t>
        </is>
      </c>
      <c r="E277" t="inlineStr">
        <is>
          <t>KROKOM</t>
        </is>
      </c>
      <c r="G277" t="n">
        <v>3</v>
      </c>
      <c r="H277" t="n">
        <v>0</v>
      </c>
      <c r="I277" t="n">
        <v>0</v>
      </c>
      <c r="J277" t="n">
        <v>0</v>
      </c>
      <c r="K277" t="n">
        <v>0</v>
      </c>
      <c r="L277" t="n">
        <v>0</v>
      </c>
      <c r="M277" t="n">
        <v>0</v>
      </c>
      <c r="N277" t="n">
        <v>0</v>
      </c>
      <c r="O277" t="n">
        <v>0</v>
      </c>
      <c r="P277" t="n">
        <v>0</v>
      </c>
      <c r="Q277" t="n">
        <v>0</v>
      </c>
      <c r="R277" s="2" t="inlineStr"/>
    </row>
    <row r="278" ht="15" customHeight="1">
      <c r="A278" t="inlineStr">
        <is>
          <t>A 18565-2019</t>
        </is>
      </c>
      <c r="B278" s="1" t="n">
        <v>43559</v>
      </c>
      <c r="C278" s="1" t="n">
        <v>45358</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18407-2019</t>
        </is>
      </c>
      <c r="B279" s="1" t="n">
        <v>43559</v>
      </c>
      <c r="C279" s="1" t="n">
        <v>45358</v>
      </c>
      <c r="D279" t="inlineStr">
        <is>
          <t>JÄMTLANDS LÄN</t>
        </is>
      </c>
      <c r="E279" t="inlineStr">
        <is>
          <t>KROKOM</t>
        </is>
      </c>
      <c r="G279" t="n">
        <v>43.1</v>
      </c>
      <c r="H279" t="n">
        <v>0</v>
      </c>
      <c r="I279" t="n">
        <v>0</v>
      </c>
      <c r="J279" t="n">
        <v>0</v>
      </c>
      <c r="K279" t="n">
        <v>0</v>
      </c>
      <c r="L279" t="n">
        <v>0</v>
      </c>
      <c r="M279" t="n">
        <v>0</v>
      </c>
      <c r="N279" t="n">
        <v>0</v>
      </c>
      <c r="O279" t="n">
        <v>0</v>
      </c>
      <c r="P279" t="n">
        <v>0</v>
      </c>
      <c r="Q279" t="n">
        <v>0</v>
      </c>
      <c r="R279" s="2" t="inlineStr"/>
    </row>
    <row r="280" ht="15" customHeight="1">
      <c r="A280" t="inlineStr">
        <is>
          <t>A 18397-2019</t>
        </is>
      </c>
      <c r="B280" s="1" t="n">
        <v>43559</v>
      </c>
      <c r="C280" s="1" t="n">
        <v>45358</v>
      </c>
      <c r="D280" t="inlineStr">
        <is>
          <t>JÄMTLANDS LÄN</t>
        </is>
      </c>
      <c r="E280" t="inlineStr">
        <is>
          <t>KROKOM</t>
        </is>
      </c>
      <c r="G280" t="n">
        <v>2.8</v>
      </c>
      <c r="H280" t="n">
        <v>0</v>
      </c>
      <c r="I280" t="n">
        <v>0</v>
      </c>
      <c r="J280" t="n">
        <v>0</v>
      </c>
      <c r="K280" t="n">
        <v>0</v>
      </c>
      <c r="L280" t="n">
        <v>0</v>
      </c>
      <c r="M280" t="n">
        <v>0</v>
      </c>
      <c r="N280" t="n">
        <v>0</v>
      </c>
      <c r="O280" t="n">
        <v>0</v>
      </c>
      <c r="P280" t="n">
        <v>0</v>
      </c>
      <c r="Q280" t="n">
        <v>0</v>
      </c>
      <c r="R280" s="2" t="inlineStr"/>
    </row>
    <row r="281" ht="15" customHeight="1">
      <c r="A281" t="inlineStr">
        <is>
          <t>A 18602-2019</t>
        </is>
      </c>
      <c r="B281" s="1" t="n">
        <v>43560</v>
      </c>
      <c r="C281" s="1" t="n">
        <v>45358</v>
      </c>
      <c r="D281" t="inlineStr">
        <is>
          <t>JÄMTLANDS LÄN</t>
        </is>
      </c>
      <c r="E281" t="inlineStr">
        <is>
          <t>KROKOM</t>
        </is>
      </c>
      <c r="G281" t="n">
        <v>1.7</v>
      </c>
      <c r="H281" t="n">
        <v>0</v>
      </c>
      <c r="I281" t="n">
        <v>0</v>
      </c>
      <c r="J281" t="n">
        <v>0</v>
      </c>
      <c r="K281" t="n">
        <v>0</v>
      </c>
      <c r="L281" t="n">
        <v>0</v>
      </c>
      <c r="M281" t="n">
        <v>0</v>
      </c>
      <c r="N281" t="n">
        <v>0</v>
      </c>
      <c r="O281" t="n">
        <v>0</v>
      </c>
      <c r="P281" t="n">
        <v>0</v>
      </c>
      <c r="Q281" t="n">
        <v>0</v>
      </c>
      <c r="R281" s="2" t="inlineStr"/>
    </row>
    <row r="282" ht="15" customHeight="1">
      <c r="A282" t="inlineStr">
        <is>
          <t>A 18831-2019</t>
        </is>
      </c>
      <c r="B282" s="1" t="n">
        <v>43563</v>
      </c>
      <c r="C282" s="1" t="n">
        <v>45358</v>
      </c>
      <c r="D282" t="inlineStr">
        <is>
          <t>JÄMTLANDS LÄN</t>
        </is>
      </c>
      <c r="E282" t="inlineStr">
        <is>
          <t>KROKOM</t>
        </is>
      </c>
      <c r="G282" t="n">
        <v>2.5</v>
      </c>
      <c r="H282" t="n">
        <v>0</v>
      </c>
      <c r="I282" t="n">
        <v>0</v>
      </c>
      <c r="J282" t="n">
        <v>0</v>
      </c>
      <c r="K282" t="n">
        <v>0</v>
      </c>
      <c r="L282" t="n">
        <v>0</v>
      </c>
      <c r="M282" t="n">
        <v>0</v>
      </c>
      <c r="N282" t="n">
        <v>0</v>
      </c>
      <c r="O282" t="n">
        <v>0</v>
      </c>
      <c r="P282" t="n">
        <v>0</v>
      </c>
      <c r="Q282" t="n">
        <v>0</v>
      </c>
      <c r="R282" s="2" t="inlineStr"/>
    </row>
    <row r="283" ht="15" customHeight="1">
      <c r="A283" t="inlineStr">
        <is>
          <t>A 18847-2019</t>
        </is>
      </c>
      <c r="B283" s="1" t="n">
        <v>43563</v>
      </c>
      <c r="C283" s="1" t="n">
        <v>45358</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19152-2019</t>
        </is>
      </c>
      <c r="B284" s="1" t="n">
        <v>43564</v>
      </c>
      <c r="C284" s="1" t="n">
        <v>45358</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19325-2019</t>
        </is>
      </c>
      <c r="B285" s="1" t="n">
        <v>43565</v>
      </c>
      <c r="C285" s="1" t="n">
        <v>45358</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19708-2019</t>
        </is>
      </c>
      <c r="B286" s="1" t="n">
        <v>43566</v>
      </c>
      <c r="C286" s="1" t="n">
        <v>45358</v>
      </c>
      <c r="D286" t="inlineStr">
        <is>
          <t>JÄMTLANDS LÄN</t>
        </is>
      </c>
      <c r="E286" t="inlineStr">
        <is>
          <t>KROKOM</t>
        </is>
      </c>
      <c r="G286" t="n">
        <v>8.9</v>
      </c>
      <c r="H286" t="n">
        <v>0</v>
      </c>
      <c r="I286" t="n">
        <v>0</v>
      </c>
      <c r="J286" t="n">
        <v>0</v>
      </c>
      <c r="K286" t="n">
        <v>0</v>
      </c>
      <c r="L286" t="n">
        <v>0</v>
      </c>
      <c r="M286" t="n">
        <v>0</v>
      </c>
      <c r="N286" t="n">
        <v>0</v>
      </c>
      <c r="O286" t="n">
        <v>0</v>
      </c>
      <c r="P286" t="n">
        <v>0</v>
      </c>
      <c r="Q286" t="n">
        <v>0</v>
      </c>
      <c r="R286" s="2" t="inlineStr"/>
    </row>
    <row r="287" ht="15" customHeight="1">
      <c r="A287" t="inlineStr">
        <is>
          <t>A 20378-2019</t>
        </is>
      </c>
      <c r="B287" s="1" t="n">
        <v>43571</v>
      </c>
      <c r="C287" s="1" t="n">
        <v>45358</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20596-2019</t>
        </is>
      </c>
      <c r="B288" s="1" t="n">
        <v>43572</v>
      </c>
      <c r="C288" s="1" t="n">
        <v>45358</v>
      </c>
      <c r="D288" t="inlineStr">
        <is>
          <t>JÄMTLANDS LÄN</t>
        </is>
      </c>
      <c r="E288" t="inlineStr">
        <is>
          <t>KROKOM</t>
        </is>
      </c>
      <c r="G288" t="n">
        <v>10.6</v>
      </c>
      <c r="H288" t="n">
        <v>0</v>
      </c>
      <c r="I288" t="n">
        <v>0</v>
      </c>
      <c r="J288" t="n">
        <v>0</v>
      </c>
      <c r="K288" t="n">
        <v>0</v>
      </c>
      <c r="L288" t="n">
        <v>0</v>
      </c>
      <c r="M288" t="n">
        <v>0</v>
      </c>
      <c r="N288" t="n">
        <v>0</v>
      </c>
      <c r="O288" t="n">
        <v>0</v>
      </c>
      <c r="P288" t="n">
        <v>0</v>
      </c>
      <c r="Q288" t="n">
        <v>0</v>
      </c>
      <c r="R288" s="2" t="inlineStr"/>
    </row>
    <row r="289" ht="15" customHeight="1">
      <c r="A289" t="inlineStr">
        <is>
          <t>A 21269-2019</t>
        </is>
      </c>
      <c r="B289" s="1" t="n">
        <v>43579</v>
      </c>
      <c r="C289" s="1" t="n">
        <v>45358</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21421-2019</t>
        </is>
      </c>
      <c r="B290" s="1" t="n">
        <v>43580</v>
      </c>
      <c r="C290" s="1" t="n">
        <v>45358</v>
      </c>
      <c r="D290" t="inlineStr">
        <is>
          <t>JÄMTLANDS LÄN</t>
        </is>
      </c>
      <c r="E290" t="inlineStr">
        <is>
          <t>KROKOM</t>
        </is>
      </c>
      <c r="G290" t="n">
        <v>13.1</v>
      </c>
      <c r="H290" t="n">
        <v>0</v>
      </c>
      <c r="I290" t="n">
        <v>0</v>
      </c>
      <c r="J290" t="n">
        <v>0</v>
      </c>
      <c r="K290" t="n">
        <v>0</v>
      </c>
      <c r="L290" t="n">
        <v>0</v>
      </c>
      <c r="M290" t="n">
        <v>0</v>
      </c>
      <c r="N290" t="n">
        <v>0</v>
      </c>
      <c r="O290" t="n">
        <v>0</v>
      </c>
      <c r="P290" t="n">
        <v>0</v>
      </c>
      <c r="Q290" t="n">
        <v>0</v>
      </c>
      <c r="R290" s="2" t="inlineStr"/>
    </row>
    <row r="291" ht="15" customHeight="1">
      <c r="A291" t="inlineStr">
        <is>
          <t>A 21669-2019</t>
        </is>
      </c>
      <c r="B291" s="1" t="n">
        <v>43581</v>
      </c>
      <c r="C291" s="1" t="n">
        <v>45358</v>
      </c>
      <c r="D291" t="inlineStr">
        <is>
          <t>JÄMTLANDS LÄN</t>
        </is>
      </c>
      <c r="E291" t="inlineStr">
        <is>
          <t>KROKOM</t>
        </is>
      </c>
      <c r="G291" t="n">
        <v>13.2</v>
      </c>
      <c r="H291" t="n">
        <v>0</v>
      </c>
      <c r="I291" t="n">
        <v>0</v>
      </c>
      <c r="J291" t="n">
        <v>0</v>
      </c>
      <c r="K291" t="n">
        <v>0</v>
      </c>
      <c r="L291" t="n">
        <v>0</v>
      </c>
      <c r="M291" t="n">
        <v>0</v>
      </c>
      <c r="N291" t="n">
        <v>0</v>
      </c>
      <c r="O291" t="n">
        <v>0</v>
      </c>
      <c r="P291" t="n">
        <v>0</v>
      </c>
      <c r="Q291" t="n">
        <v>0</v>
      </c>
      <c r="R291" s="2" t="inlineStr"/>
    </row>
    <row r="292" ht="15" customHeight="1">
      <c r="A292" t="inlineStr">
        <is>
          <t>A 21716-2019</t>
        </is>
      </c>
      <c r="B292" s="1" t="n">
        <v>43581</v>
      </c>
      <c r="C292" s="1" t="n">
        <v>45358</v>
      </c>
      <c r="D292" t="inlineStr">
        <is>
          <t>JÄMTLANDS LÄN</t>
        </is>
      </c>
      <c r="E292" t="inlineStr">
        <is>
          <t>KROKOM</t>
        </is>
      </c>
      <c r="G292" t="n">
        <v>4.2</v>
      </c>
      <c r="H292" t="n">
        <v>0</v>
      </c>
      <c r="I292" t="n">
        <v>0</v>
      </c>
      <c r="J292" t="n">
        <v>0</v>
      </c>
      <c r="K292" t="n">
        <v>0</v>
      </c>
      <c r="L292" t="n">
        <v>0</v>
      </c>
      <c r="M292" t="n">
        <v>0</v>
      </c>
      <c r="N292" t="n">
        <v>0</v>
      </c>
      <c r="O292" t="n">
        <v>0</v>
      </c>
      <c r="P292" t="n">
        <v>0</v>
      </c>
      <c r="Q292" t="n">
        <v>0</v>
      </c>
      <c r="R292" s="2" t="inlineStr"/>
    </row>
    <row r="293" ht="15" customHeight="1">
      <c r="A293" t="inlineStr">
        <is>
          <t>A 21933-2019</t>
        </is>
      </c>
      <c r="B293" s="1" t="n">
        <v>43584</v>
      </c>
      <c r="C293" s="1" t="n">
        <v>45358</v>
      </c>
      <c r="D293" t="inlineStr">
        <is>
          <t>JÄMTLANDS LÄN</t>
        </is>
      </c>
      <c r="E293" t="inlineStr">
        <is>
          <t>KROKOM</t>
        </is>
      </c>
      <c r="G293" t="n">
        <v>12.8</v>
      </c>
      <c r="H293" t="n">
        <v>0</v>
      </c>
      <c r="I293" t="n">
        <v>0</v>
      </c>
      <c r="J293" t="n">
        <v>0</v>
      </c>
      <c r="K293" t="n">
        <v>0</v>
      </c>
      <c r="L293" t="n">
        <v>0</v>
      </c>
      <c r="M293" t="n">
        <v>0</v>
      </c>
      <c r="N293" t="n">
        <v>0</v>
      </c>
      <c r="O293" t="n">
        <v>0</v>
      </c>
      <c r="P293" t="n">
        <v>0</v>
      </c>
      <c r="Q293" t="n">
        <v>0</v>
      </c>
      <c r="R293" s="2" t="inlineStr"/>
    </row>
    <row r="294" ht="15" customHeight="1">
      <c r="A294" t="inlineStr">
        <is>
          <t>A 22208-2019</t>
        </is>
      </c>
      <c r="B294" s="1" t="n">
        <v>43585</v>
      </c>
      <c r="C294" s="1" t="n">
        <v>45358</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22135-2019</t>
        </is>
      </c>
      <c r="B295" s="1" t="n">
        <v>43585</v>
      </c>
      <c r="C295" s="1" t="n">
        <v>45358</v>
      </c>
      <c r="D295" t="inlineStr">
        <is>
          <t>JÄMTLANDS LÄN</t>
        </is>
      </c>
      <c r="E295" t="inlineStr">
        <is>
          <t>KROKOM</t>
        </is>
      </c>
      <c r="G295" t="n">
        <v>8.1</v>
      </c>
      <c r="H295" t="n">
        <v>0</v>
      </c>
      <c r="I295" t="n">
        <v>0</v>
      </c>
      <c r="J295" t="n">
        <v>0</v>
      </c>
      <c r="K295" t="n">
        <v>0</v>
      </c>
      <c r="L295" t="n">
        <v>0</v>
      </c>
      <c r="M295" t="n">
        <v>0</v>
      </c>
      <c r="N295" t="n">
        <v>0</v>
      </c>
      <c r="O295" t="n">
        <v>0</v>
      </c>
      <c r="P295" t="n">
        <v>0</v>
      </c>
      <c r="Q295" t="n">
        <v>0</v>
      </c>
      <c r="R295" s="2" t="inlineStr"/>
    </row>
    <row r="296" ht="15" customHeight="1">
      <c r="A296" t="inlineStr">
        <is>
          <t>A 22129-2019</t>
        </is>
      </c>
      <c r="B296" s="1" t="n">
        <v>43585</v>
      </c>
      <c r="C296" s="1" t="n">
        <v>45358</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22521-2019</t>
        </is>
      </c>
      <c r="B297" s="1" t="n">
        <v>43587</v>
      </c>
      <c r="C297" s="1" t="n">
        <v>45358</v>
      </c>
      <c r="D297" t="inlineStr">
        <is>
          <t>JÄMTLANDS LÄN</t>
        </is>
      </c>
      <c r="E297" t="inlineStr">
        <is>
          <t>KROKOM</t>
        </is>
      </c>
      <c r="F297" t="inlineStr">
        <is>
          <t>Kyrkan</t>
        </is>
      </c>
      <c r="G297" t="n">
        <v>14.5</v>
      </c>
      <c r="H297" t="n">
        <v>0</v>
      </c>
      <c r="I297" t="n">
        <v>0</v>
      </c>
      <c r="J297" t="n">
        <v>0</v>
      </c>
      <c r="K297" t="n">
        <v>0</v>
      </c>
      <c r="L297" t="n">
        <v>0</v>
      </c>
      <c r="M297" t="n">
        <v>0</v>
      </c>
      <c r="N297" t="n">
        <v>0</v>
      </c>
      <c r="O297" t="n">
        <v>0</v>
      </c>
      <c r="P297" t="n">
        <v>0</v>
      </c>
      <c r="Q297" t="n">
        <v>0</v>
      </c>
      <c r="R297" s="2" t="inlineStr"/>
    </row>
    <row r="298" ht="15" customHeight="1">
      <c r="A298" t="inlineStr">
        <is>
          <t>A 22533-2019</t>
        </is>
      </c>
      <c r="B298" s="1" t="n">
        <v>43587</v>
      </c>
      <c r="C298" s="1" t="n">
        <v>45358</v>
      </c>
      <c r="D298" t="inlineStr">
        <is>
          <t>JÄMTLANDS LÄN</t>
        </is>
      </c>
      <c r="E298" t="inlineStr">
        <is>
          <t>KROKOM</t>
        </is>
      </c>
      <c r="F298" t="inlineStr">
        <is>
          <t>Kyrkan</t>
        </is>
      </c>
      <c r="G298" t="n">
        <v>1.5</v>
      </c>
      <c r="H298" t="n">
        <v>0</v>
      </c>
      <c r="I298" t="n">
        <v>0</v>
      </c>
      <c r="J298" t="n">
        <v>0</v>
      </c>
      <c r="K298" t="n">
        <v>0</v>
      </c>
      <c r="L298" t="n">
        <v>0</v>
      </c>
      <c r="M298" t="n">
        <v>0</v>
      </c>
      <c r="N298" t="n">
        <v>0</v>
      </c>
      <c r="O298" t="n">
        <v>0</v>
      </c>
      <c r="P298" t="n">
        <v>0</v>
      </c>
      <c r="Q298" t="n">
        <v>0</v>
      </c>
      <c r="R298" s="2" t="inlineStr"/>
    </row>
    <row r="299" ht="15" customHeight="1">
      <c r="A299" t="inlineStr">
        <is>
          <t>A 22877-2019</t>
        </is>
      </c>
      <c r="B299" s="1" t="n">
        <v>43591</v>
      </c>
      <c r="C299" s="1" t="n">
        <v>45358</v>
      </c>
      <c r="D299" t="inlineStr">
        <is>
          <t>JÄMTLANDS LÄN</t>
        </is>
      </c>
      <c r="E299" t="inlineStr">
        <is>
          <t>KROKOM</t>
        </is>
      </c>
      <c r="G299" t="n">
        <v>11</v>
      </c>
      <c r="H299" t="n">
        <v>0</v>
      </c>
      <c r="I299" t="n">
        <v>0</v>
      </c>
      <c r="J299" t="n">
        <v>0</v>
      </c>
      <c r="K299" t="n">
        <v>0</v>
      </c>
      <c r="L299" t="n">
        <v>0</v>
      </c>
      <c r="M299" t="n">
        <v>0</v>
      </c>
      <c r="N299" t="n">
        <v>0</v>
      </c>
      <c r="O299" t="n">
        <v>0</v>
      </c>
      <c r="P299" t="n">
        <v>0</v>
      </c>
      <c r="Q299" t="n">
        <v>0</v>
      </c>
      <c r="R299" s="2" t="inlineStr"/>
    </row>
    <row r="300" ht="15" customHeight="1">
      <c r="A300" t="inlineStr">
        <is>
          <t>A 23698-2019</t>
        </is>
      </c>
      <c r="B300" s="1" t="n">
        <v>43594</v>
      </c>
      <c r="C300" s="1" t="n">
        <v>45358</v>
      </c>
      <c r="D300" t="inlineStr">
        <is>
          <t>JÄMTLANDS LÄN</t>
        </is>
      </c>
      <c r="E300" t="inlineStr">
        <is>
          <t>KROKOM</t>
        </is>
      </c>
      <c r="G300" t="n">
        <v>14.3</v>
      </c>
      <c r="H300" t="n">
        <v>0</v>
      </c>
      <c r="I300" t="n">
        <v>0</v>
      </c>
      <c r="J300" t="n">
        <v>0</v>
      </c>
      <c r="K300" t="n">
        <v>0</v>
      </c>
      <c r="L300" t="n">
        <v>0</v>
      </c>
      <c r="M300" t="n">
        <v>0</v>
      </c>
      <c r="N300" t="n">
        <v>0</v>
      </c>
      <c r="O300" t="n">
        <v>0</v>
      </c>
      <c r="P300" t="n">
        <v>0</v>
      </c>
      <c r="Q300" t="n">
        <v>0</v>
      </c>
      <c r="R300" s="2" t="inlineStr"/>
    </row>
    <row r="301" ht="15" customHeight="1">
      <c r="A301" t="inlineStr">
        <is>
          <t>A 24900-2019</t>
        </is>
      </c>
      <c r="B301" s="1" t="n">
        <v>43599</v>
      </c>
      <c r="C301" s="1" t="n">
        <v>45358</v>
      </c>
      <c r="D301" t="inlineStr">
        <is>
          <t>JÄMTLANDS LÄN</t>
        </is>
      </c>
      <c r="E301" t="inlineStr">
        <is>
          <t>KROKOM</t>
        </is>
      </c>
      <c r="G301" t="n">
        <v>3.3</v>
      </c>
      <c r="H301" t="n">
        <v>0</v>
      </c>
      <c r="I301" t="n">
        <v>0</v>
      </c>
      <c r="J301" t="n">
        <v>0</v>
      </c>
      <c r="K301" t="n">
        <v>0</v>
      </c>
      <c r="L301" t="n">
        <v>0</v>
      </c>
      <c r="M301" t="n">
        <v>0</v>
      </c>
      <c r="N301" t="n">
        <v>0</v>
      </c>
      <c r="O301" t="n">
        <v>0</v>
      </c>
      <c r="P301" t="n">
        <v>0</v>
      </c>
      <c r="Q301" t="n">
        <v>0</v>
      </c>
      <c r="R301" s="2" t="inlineStr"/>
    </row>
    <row r="302" ht="15" customHeight="1">
      <c r="A302" t="inlineStr">
        <is>
          <t>A 25641-2019</t>
        </is>
      </c>
      <c r="B302" s="1" t="n">
        <v>43602</v>
      </c>
      <c r="C302" s="1" t="n">
        <v>45358</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25644-2019</t>
        </is>
      </c>
      <c r="B303" s="1" t="n">
        <v>43602</v>
      </c>
      <c r="C303" s="1" t="n">
        <v>45358</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25634-2019</t>
        </is>
      </c>
      <c r="B304" s="1" t="n">
        <v>43602</v>
      </c>
      <c r="C304" s="1" t="n">
        <v>45358</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25115-2019</t>
        </is>
      </c>
      <c r="B305" s="1" t="n">
        <v>43605</v>
      </c>
      <c r="C305" s="1" t="n">
        <v>45358</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25858-2019</t>
        </is>
      </c>
      <c r="B306" s="1" t="n">
        <v>43608</v>
      </c>
      <c r="C306" s="1" t="n">
        <v>45358</v>
      </c>
      <c r="D306" t="inlineStr">
        <is>
          <t>JÄMTLANDS LÄN</t>
        </is>
      </c>
      <c r="E306" t="inlineStr">
        <is>
          <t>KROKOM</t>
        </is>
      </c>
      <c r="F306" t="inlineStr">
        <is>
          <t>Övriga Aktiebolag</t>
        </is>
      </c>
      <c r="G306" t="n">
        <v>32.2</v>
      </c>
      <c r="H306" t="n">
        <v>0</v>
      </c>
      <c r="I306" t="n">
        <v>0</v>
      </c>
      <c r="J306" t="n">
        <v>0</v>
      </c>
      <c r="K306" t="n">
        <v>0</v>
      </c>
      <c r="L306" t="n">
        <v>0</v>
      </c>
      <c r="M306" t="n">
        <v>0</v>
      </c>
      <c r="N306" t="n">
        <v>0</v>
      </c>
      <c r="O306" t="n">
        <v>0</v>
      </c>
      <c r="P306" t="n">
        <v>0</v>
      </c>
      <c r="Q306" t="n">
        <v>0</v>
      </c>
      <c r="R306" s="2" t="inlineStr"/>
    </row>
    <row r="307" ht="15" customHeight="1">
      <c r="A307" t="inlineStr">
        <is>
          <t>A 26486-2019</t>
        </is>
      </c>
      <c r="B307" s="1" t="n">
        <v>43612</v>
      </c>
      <c r="C307" s="1" t="n">
        <v>45358</v>
      </c>
      <c r="D307" t="inlineStr">
        <is>
          <t>JÄMTLANDS LÄN</t>
        </is>
      </c>
      <c r="E307" t="inlineStr">
        <is>
          <t>KROKOM</t>
        </is>
      </c>
      <c r="G307" t="n">
        <v>3.5</v>
      </c>
      <c r="H307" t="n">
        <v>0</v>
      </c>
      <c r="I307" t="n">
        <v>0</v>
      </c>
      <c r="J307" t="n">
        <v>0</v>
      </c>
      <c r="K307" t="n">
        <v>0</v>
      </c>
      <c r="L307" t="n">
        <v>0</v>
      </c>
      <c r="M307" t="n">
        <v>0</v>
      </c>
      <c r="N307" t="n">
        <v>0</v>
      </c>
      <c r="O307" t="n">
        <v>0</v>
      </c>
      <c r="P307" t="n">
        <v>0</v>
      </c>
      <c r="Q307" t="n">
        <v>0</v>
      </c>
      <c r="R307" s="2" t="inlineStr"/>
    </row>
    <row r="308" ht="15" customHeight="1">
      <c r="A308" t="inlineStr">
        <is>
          <t>A 26408-2019</t>
        </is>
      </c>
      <c r="B308" s="1" t="n">
        <v>43612</v>
      </c>
      <c r="C308" s="1" t="n">
        <v>45358</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28077-2019</t>
        </is>
      </c>
      <c r="B309" s="1" t="n">
        <v>43613</v>
      </c>
      <c r="C309" s="1" t="n">
        <v>45358</v>
      </c>
      <c r="D309" t="inlineStr">
        <is>
          <t>JÄMTLANDS LÄN</t>
        </is>
      </c>
      <c r="E309" t="inlineStr">
        <is>
          <t>KROKOM</t>
        </is>
      </c>
      <c r="F309" t="inlineStr">
        <is>
          <t>Övriga Aktiebolag</t>
        </is>
      </c>
      <c r="G309" t="n">
        <v>26.1</v>
      </c>
      <c r="H309" t="n">
        <v>0</v>
      </c>
      <c r="I309" t="n">
        <v>0</v>
      </c>
      <c r="J309" t="n">
        <v>0</v>
      </c>
      <c r="K309" t="n">
        <v>0</v>
      </c>
      <c r="L309" t="n">
        <v>0</v>
      </c>
      <c r="M309" t="n">
        <v>0</v>
      </c>
      <c r="N309" t="n">
        <v>0</v>
      </c>
      <c r="O309" t="n">
        <v>0</v>
      </c>
      <c r="P309" t="n">
        <v>0</v>
      </c>
      <c r="Q309" t="n">
        <v>0</v>
      </c>
      <c r="R309" s="2" t="inlineStr"/>
    </row>
    <row r="310" ht="15" customHeight="1">
      <c r="A310" t="inlineStr">
        <is>
          <t>A 27031-2019</t>
        </is>
      </c>
      <c r="B310" s="1" t="n">
        <v>43614</v>
      </c>
      <c r="C310" s="1" t="n">
        <v>45358</v>
      </c>
      <c r="D310" t="inlineStr">
        <is>
          <t>JÄMTLANDS LÄN</t>
        </is>
      </c>
      <c r="E310" t="inlineStr">
        <is>
          <t>KROKOM</t>
        </is>
      </c>
      <c r="G310" t="n">
        <v>3.4</v>
      </c>
      <c r="H310" t="n">
        <v>0</v>
      </c>
      <c r="I310" t="n">
        <v>0</v>
      </c>
      <c r="J310" t="n">
        <v>0</v>
      </c>
      <c r="K310" t="n">
        <v>0</v>
      </c>
      <c r="L310" t="n">
        <v>0</v>
      </c>
      <c r="M310" t="n">
        <v>0</v>
      </c>
      <c r="N310" t="n">
        <v>0</v>
      </c>
      <c r="O310" t="n">
        <v>0</v>
      </c>
      <c r="P310" t="n">
        <v>0</v>
      </c>
      <c r="Q310" t="n">
        <v>0</v>
      </c>
      <c r="R310" s="2" t="inlineStr"/>
    </row>
    <row r="311" ht="15" customHeight="1">
      <c r="A311" t="inlineStr">
        <is>
          <t>A 27348-2019</t>
        </is>
      </c>
      <c r="B311" s="1" t="n">
        <v>43616</v>
      </c>
      <c r="C311" s="1" t="n">
        <v>45358</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27765-2019</t>
        </is>
      </c>
      <c r="B312" s="1" t="n">
        <v>43619</v>
      </c>
      <c r="C312" s="1" t="n">
        <v>45358</v>
      </c>
      <c r="D312" t="inlineStr">
        <is>
          <t>JÄMTLANDS LÄN</t>
        </is>
      </c>
      <c r="E312" t="inlineStr">
        <is>
          <t>KROKOM</t>
        </is>
      </c>
      <c r="G312" t="n">
        <v>20.1</v>
      </c>
      <c r="H312" t="n">
        <v>0</v>
      </c>
      <c r="I312" t="n">
        <v>0</v>
      </c>
      <c r="J312" t="n">
        <v>0</v>
      </c>
      <c r="K312" t="n">
        <v>0</v>
      </c>
      <c r="L312" t="n">
        <v>0</v>
      </c>
      <c r="M312" t="n">
        <v>0</v>
      </c>
      <c r="N312" t="n">
        <v>0</v>
      </c>
      <c r="O312" t="n">
        <v>0</v>
      </c>
      <c r="P312" t="n">
        <v>0</v>
      </c>
      <c r="Q312" t="n">
        <v>0</v>
      </c>
      <c r="R312" s="2" t="inlineStr"/>
    </row>
    <row r="313" ht="15" customHeight="1">
      <c r="A313" t="inlineStr">
        <is>
          <t>A 27766-2019</t>
        </is>
      </c>
      <c r="B313" s="1" t="n">
        <v>43619</v>
      </c>
      <c r="C313" s="1" t="n">
        <v>45358</v>
      </c>
      <c r="D313" t="inlineStr">
        <is>
          <t>JÄMTLANDS LÄN</t>
        </is>
      </c>
      <c r="E313" t="inlineStr">
        <is>
          <t>KROKOM</t>
        </is>
      </c>
      <c r="G313" t="n">
        <v>17.7</v>
      </c>
      <c r="H313" t="n">
        <v>0</v>
      </c>
      <c r="I313" t="n">
        <v>0</v>
      </c>
      <c r="J313" t="n">
        <v>0</v>
      </c>
      <c r="K313" t="n">
        <v>0</v>
      </c>
      <c r="L313" t="n">
        <v>0</v>
      </c>
      <c r="M313" t="n">
        <v>0</v>
      </c>
      <c r="N313" t="n">
        <v>0</v>
      </c>
      <c r="O313" t="n">
        <v>0</v>
      </c>
      <c r="P313" t="n">
        <v>0</v>
      </c>
      <c r="Q313" t="n">
        <v>0</v>
      </c>
      <c r="R313" s="2" t="inlineStr"/>
    </row>
    <row r="314" ht="15" customHeight="1">
      <c r="A314" t="inlineStr">
        <is>
          <t>A 27764-2019</t>
        </is>
      </c>
      <c r="B314" s="1" t="n">
        <v>43619</v>
      </c>
      <c r="C314" s="1" t="n">
        <v>45358</v>
      </c>
      <c r="D314" t="inlineStr">
        <is>
          <t>JÄMTLANDS LÄN</t>
        </is>
      </c>
      <c r="E314" t="inlineStr">
        <is>
          <t>KROKOM</t>
        </is>
      </c>
      <c r="G314" t="n">
        <v>41.8</v>
      </c>
      <c r="H314" t="n">
        <v>0</v>
      </c>
      <c r="I314" t="n">
        <v>0</v>
      </c>
      <c r="J314" t="n">
        <v>0</v>
      </c>
      <c r="K314" t="n">
        <v>0</v>
      </c>
      <c r="L314" t="n">
        <v>0</v>
      </c>
      <c r="M314" t="n">
        <v>0</v>
      </c>
      <c r="N314" t="n">
        <v>0</v>
      </c>
      <c r="O314" t="n">
        <v>0</v>
      </c>
      <c r="P314" t="n">
        <v>0</v>
      </c>
      <c r="Q314" t="n">
        <v>0</v>
      </c>
      <c r="R314" s="2" t="inlineStr"/>
    </row>
    <row r="315" ht="15" customHeight="1">
      <c r="A315" t="inlineStr">
        <is>
          <t>A 27763-2019</t>
        </is>
      </c>
      <c r="B315" s="1" t="n">
        <v>43619</v>
      </c>
      <c r="C315" s="1" t="n">
        <v>45358</v>
      </c>
      <c r="D315" t="inlineStr">
        <is>
          <t>JÄMTLANDS LÄN</t>
        </is>
      </c>
      <c r="E315" t="inlineStr">
        <is>
          <t>KROKOM</t>
        </is>
      </c>
      <c r="G315" t="n">
        <v>15.1</v>
      </c>
      <c r="H315" t="n">
        <v>0</v>
      </c>
      <c r="I315" t="n">
        <v>0</v>
      </c>
      <c r="J315" t="n">
        <v>0</v>
      </c>
      <c r="K315" t="n">
        <v>0</v>
      </c>
      <c r="L315" t="n">
        <v>0</v>
      </c>
      <c r="M315" t="n">
        <v>0</v>
      </c>
      <c r="N315" t="n">
        <v>0</v>
      </c>
      <c r="O315" t="n">
        <v>0</v>
      </c>
      <c r="P315" t="n">
        <v>0</v>
      </c>
      <c r="Q315" t="n">
        <v>0</v>
      </c>
      <c r="R315" s="2" t="inlineStr"/>
    </row>
    <row r="316" ht="15" customHeight="1">
      <c r="A316" t="inlineStr">
        <is>
          <t>A 29270-2019</t>
        </is>
      </c>
      <c r="B316" s="1" t="n">
        <v>43623</v>
      </c>
      <c r="C316" s="1" t="n">
        <v>45358</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29222-2019</t>
        </is>
      </c>
      <c r="B317" s="1" t="n">
        <v>43623</v>
      </c>
      <c r="C317" s="1" t="n">
        <v>45358</v>
      </c>
      <c r="D317" t="inlineStr">
        <is>
          <t>JÄMTLANDS LÄN</t>
        </is>
      </c>
      <c r="E317" t="inlineStr">
        <is>
          <t>KROKOM</t>
        </is>
      </c>
      <c r="G317" t="n">
        <v>5.9</v>
      </c>
      <c r="H317" t="n">
        <v>0</v>
      </c>
      <c r="I317" t="n">
        <v>0</v>
      </c>
      <c r="J317" t="n">
        <v>0</v>
      </c>
      <c r="K317" t="n">
        <v>0</v>
      </c>
      <c r="L317" t="n">
        <v>0</v>
      </c>
      <c r="M317" t="n">
        <v>0</v>
      </c>
      <c r="N317" t="n">
        <v>0</v>
      </c>
      <c r="O317" t="n">
        <v>0</v>
      </c>
      <c r="P317" t="n">
        <v>0</v>
      </c>
      <c r="Q317" t="n">
        <v>0</v>
      </c>
      <c r="R317" s="2" t="inlineStr"/>
    </row>
    <row r="318" ht="15" customHeight="1">
      <c r="A318" t="inlineStr">
        <is>
          <t>A 29211-2019</t>
        </is>
      </c>
      <c r="B318" s="1" t="n">
        <v>43623</v>
      </c>
      <c r="C318" s="1" t="n">
        <v>45358</v>
      </c>
      <c r="D318" t="inlineStr">
        <is>
          <t>JÄMTLANDS LÄN</t>
        </is>
      </c>
      <c r="E318" t="inlineStr">
        <is>
          <t>KROKOM</t>
        </is>
      </c>
      <c r="G318" t="n">
        <v>5</v>
      </c>
      <c r="H318" t="n">
        <v>0</v>
      </c>
      <c r="I318" t="n">
        <v>0</v>
      </c>
      <c r="J318" t="n">
        <v>0</v>
      </c>
      <c r="K318" t="n">
        <v>0</v>
      </c>
      <c r="L318" t="n">
        <v>0</v>
      </c>
      <c r="M318" t="n">
        <v>0</v>
      </c>
      <c r="N318" t="n">
        <v>0</v>
      </c>
      <c r="O318" t="n">
        <v>0</v>
      </c>
      <c r="P318" t="n">
        <v>0</v>
      </c>
      <c r="Q318" t="n">
        <v>0</v>
      </c>
      <c r="R318" s="2" t="inlineStr"/>
    </row>
    <row r="319" ht="15" customHeight="1">
      <c r="A319" t="inlineStr">
        <is>
          <t>A 28521-2019</t>
        </is>
      </c>
      <c r="B319" s="1" t="n">
        <v>43626</v>
      </c>
      <c r="C319" s="1" t="n">
        <v>45358</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29153-2019</t>
        </is>
      </c>
      <c r="B320" s="1" t="n">
        <v>43628</v>
      </c>
      <c r="C320" s="1" t="n">
        <v>45358</v>
      </c>
      <c r="D320" t="inlineStr">
        <is>
          <t>JÄMTLANDS LÄN</t>
        </is>
      </c>
      <c r="E320" t="inlineStr">
        <is>
          <t>KROKOM</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29705-2019</t>
        </is>
      </c>
      <c r="B321" s="1" t="n">
        <v>43628</v>
      </c>
      <c r="C321" s="1" t="n">
        <v>45358</v>
      </c>
      <c r="D321" t="inlineStr">
        <is>
          <t>JÄMTLANDS LÄN</t>
        </is>
      </c>
      <c r="E321" t="inlineStr">
        <is>
          <t>KROKOM</t>
        </is>
      </c>
      <c r="G321" t="n">
        <v>7.1</v>
      </c>
      <c r="H321" t="n">
        <v>0</v>
      </c>
      <c r="I321" t="n">
        <v>0</v>
      </c>
      <c r="J321" t="n">
        <v>0</v>
      </c>
      <c r="K321" t="n">
        <v>0</v>
      </c>
      <c r="L321" t="n">
        <v>0</v>
      </c>
      <c r="M321" t="n">
        <v>0</v>
      </c>
      <c r="N321" t="n">
        <v>0</v>
      </c>
      <c r="O321" t="n">
        <v>0</v>
      </c>
      <c r="P321" t="n">
        <v>0</v>
      </c>
      <c r="Q321" t="n">
        <v>0</v>
      </c>
      <c r="R321" s="2" t="inlineStr"/>
    </row>
    <row r="322" ht="15" customHeight="1">
      <c r="A322" t="inlineStr">
        <is>
          <t>A 29925-2019</t>
        </is>
      </c>
      <c r="B322" s="1" t="n">
        <v>43633</v>
      </c>
      <c r="C322" s="1" t="n">
        <v>45358</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29823-2019</t>
        </is>
      </c>
      <c r="B323" s="1" t="n">
        <v>43633</v>
      </c>
      <c r="C323" s="1" t="n">
        <v>45358</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30032-2019</t>
        </is>
      </c>
      <c r="B324" s="1" t="n">
        <v>43633</v>
      </c>
      <c r="C324" s="1" t="n">
        <v>45358</v>
      </c>
      <c r="D324" t="inlineStr">
        <is>
          <t>JÄMTLANDS LÄN</t>
        </is>
      </c>
      <c r="E324" t="inlineStr">
        <is>
          <t>KROKOM</t>
        </is>
      </c>
      <c r="G324" t="n">
        <v>4.1</v>
      </c>
      <c r="H324" t="n">
        <v>0</v>
      </c>
      <c r="I324" t="n">
        <v>0</v>
      </c>
      <c r="J324" t="n">
        <v>0</v>
      </c>
      <c r="K324" t="n">
        <v>0</v>
      </c>
      <c r="L324" t="n">
        <v>0</v>
      </c>
      <c r="M324" t="n">
        <v>0</v>
      </c>
      <c r="N324" t="n">
        <v>0</v>
      </c>
      <c r="O324" t="n">
        <v>0</v>
      </c>
      <c r="P324" t="n">
        <v>0</v>
      </c>
      <c r="Q324" t="n">
        <v>0</v>
      </c>
      <c r="R324" s="2" t="inlineStr"/>
    </row>
    <row r="325" ht="15" customHeight="1">
      <c r="A325" t="inlineStr">
        <is>
          <t>A 30138-2019</t>
        </is>
      </c>
      <c r="B325" s="1" t="n">
        <v>43634</v>
      </c>
      <c r="C325" s="1" t="n">
        <v>45358</v>
      </c>
      <c r="D325" t="inlineStr">
        <is>
          <t>JÄMTLANDS LÄN</t>
        </is>
      </c>
      <c r="E325" t="inlineStr">
        <is>
          <t>KROKOM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30691-2019</t>
        </is>
      </c>
      <c r="B326" s="1" t="n">
        <v>43636</v>
      </c>
      <c r="C326" s="1" t="n">
        <v>45358</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30758-2019</t>
        </is>
      </c>
      <c r="B327" s="1" t="n">
        <v>43636</v>
      </c>
      <c r="C327" s="1" t="n">
        <v>45358</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31070-2019</t>
        </is>
      </c>
      <c r="B328" s="1" t="n">
        <v>43640</v>
      </c>
      <c r="C328" s="1" t="n">
        <v>45358</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31032-2019</t>
        </is>
      </c>
      <c r="B329" s="1" t="n">
        <v>43640</v>
      </c>
      <c r="C329" s="1" t="n">
        <v>45358</v>
      </c>
      <c r="D329" t="inlineStr">
        <is>
          <t>JÄMTLANDS LÄN</t>
        </is>
      </c>
      <c r="E329" t="inlineStr">
        <is>
          <t>KROKOM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31071-2019</t>
        </is>
      </c>
      <c r="B330" s="1" t="n">
        <v>43640</v>
      </c>
      <c r="C330" s="1" t="n">
        <v>45358</v>
      </c>
      <c r="D330" t="inlineStr">
        <is>
          <t>JÄMTLANDS LÄN</t>
        </is>
      </c>
      <c r="E330" t="inlineStr">
        <is>
          <t>KROKOM</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31574-2019</t>
        </is>
      </c>
      <c r="B331" s="1" t="n">
        <v>43641</v>
      </c>
      <c r="C331" s="1" t="n">
        <v>45358</v>
      </c>
      <c r="D331" t="inlineStr">
        <is>
          <t>JÄMTLANDS LÄN</t>
        </is>
      </c>
      <c r="E331" t="inlineStr">
        <is>
          <t>KROKOM</t>
        </is>
      </c>
      <c r="G331" t="n">
        <v>5.7</v>
      </c>
      <c r="H331" t="n">
        <v>0</v>
      </c>
      <c r="I331" t="n">
        <v>0</v>
      </c>
      <c r="J331" t="n">
        <v>0</v>
      </c>
      <c r="K331" t="n">
        <v>0</v>
      </c>
      <c r="L331" t="n">
        <v>0</v>
      </c>
      <c r="M331" t="n">
        <v>0</v>
      </c>
      <c r="N331" t="n">
        <v>0</v>
      </c>
      <c r="O331" t="n">
        <v>0</v>
      </c>
      <c r="P331" t="n">
        <v>0</v>
      </c>
      <c r="Q331" t="n">
        <v>0</v>
      </c>
      <c r="R331" s="2" t="inlineStr"/>
    </row>
    <row r="332" ht="15" customHeight="1">
      <c r="A332" t="inlineStr">
        <is>
          <t>A 31575-2019</t>
        </is>
      </c>
      <c r="B332" s="1" t="n">
        <v>43641</v>
      </c>
      <c r="C332" s="1" t="n">
        <v>45358</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31911-2019</t>
        </is>
      </c>
      <c r="B333" s="1" t="n">
        <v>43642</v>
      </c>
      <c r="C333" s="1" t="n">
        <v>45358</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32053-2019</t>
        </is>
      </c>
      <c r="B334" s="1" t="n">
        <v>43642</v>
      </c>
      <c r="C334" s="1" t="n">
        <v>45358</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33001-2019</t>
        </is>
      </c>
      <c r="B335" s="1" t="n">
        <v>43649</v>
      </c>
      <c r="C335" s="1" t="n">
        <v>45358</v>
      </c>
      <c r="D335" t="inlineStr">
        <is>
          <t>JÄMTLANDS LÄN</t>
        </is>
      </c>
      <c r="E335" t="inlineStr">
        <is>
          <t>KROKOM</t>
        </is>
      </c>
      <c r="F335" t="inlineStr">
        <is>
          <t>Övriga Aktiebolag</t>
        </is>
      </c>
      <c r="G335" t="n">
        <v>7.8</v>
      </c>
      <c r="H335" t="n">
        <v>0</v>
      </c>
      <c r="I335" t="n">
        <v>0</v>
      </c>
      <c r="J335" t="n">
        <v>0</v>
      </c>
      <c r="K335" t="n">
        <v>0</v>
      </c>
      <c r="L335" t="n">
        <v>0</v>
      </c>
      <c r="M335" t="n">
        <v>0</v>
      </c>
      <c r="N335" t="n">
        <v>0</v>
      </c>
      <c r="O335" t="n">
        <v>0</v>
      </c>
      <c r="P335" t="n">
        <v>0</v>
      </c>
      <c r="Q335" t="n">
        <v>0</v>
      </c>
      <c r="R335" s="2" t="inlineStr"/>
    </row>
    <row r="336" ht="15" customHeight="1">
      <c r="A336" t="inlineStr">
        <is>
          <t>A 33015-2019</t>
        </is>
      </c>
      <c r="B336" s="1" t="n">
        <v>43649</v>
      </c>
      <c r="C336" s="1" t="n">
        <v>45358</v>
      </c>
      <c r="D336" t="inlineStr">
        <is>
          <t>JÄMTLANDS LÄN</t>
        </is>
      </c>
      <c r="E336" t="inlineStr">
        <is>
          <t>KROKOM</t>
        </is>
      </c>
      <c r="F336" t="inlineStr">
        <is>
          <t>Övriga Aktiebolag</t>
        </is>
      </c>
      <c r="G336" t="n">
        <v>12.7</v>
      </c>
      <c r="H336" t="n">
        <v>0</v>
      </c>
      <c r="I336" t="n">
        <v>0</v>
      </c>
      <c r="J336" t="n">
        <v>0</v>
      </c>
      <c r="K336" t="n">
        <v>0</v>
      </c>
      <c r="L336" t="n">
        <v>0</v>
      </c>
      <c r="M336" t="n">
        <v>0</v>
      </c>
      <c r="N336" t="n">
        <v>0</v>
      </c>
      <c r="O336" t="n">
        <v>0</v>
      </c>
      <c r="P336" t="n">
        <v>0</v>
      </c>
      <c r="Q336" t="n">
        <v>0</v>
      </c>
      <c r="R336" s="2" t="inlineStr"/>
    </row>
    <row r="337" ht="15" customHeight="1">
      <c r="A337" t="inlineStr">
        <is>
          <t>A 33360-2019</t>
        </is>
      </c>
      <c r="B337" s="1" t="n">
        <v>43650</v>
      </c>
      <c r="C337" s="1" t="n">
        <v>45358</v>
      </c>
      <c r="D337" t="inlineStr">
        <is>
          <t>JÄMTLANDS LÄN</t>
        </is>
      </c>
      <c r="E337" t="inlineStr">
        <is>
          <t>KROKOM</t>
        </is>
      </c>
      <c r="G337" t="n">
        <v>15.8</v>
      </c>
      <c r="H337" t="n">
        <v>0</v>
      </c>
      <c r="I337" t="n">
        <v>0</v>
      </c>
      <c r="J337" t="n">
        <v>0</v>
      </c>
      <c r="K337" t="n">
        <v>0</v>
      </c>
      <c r="L337" t="n">
        <v>0</v>
      </c>
      <c r="M337" t="n">
        <v>0</v>
      </c>
      <c r="N337" t="n">
        <v>0</v>
      </c>
      <c r="O337" t="n">
        <v>0</v>
      </c>
      <c r="P337" t="n">
        <v>0</v>
      </c>
      <c r="Q337" t="n">
        <v>0</v>
      </c>
      <c r="R337" s="2" t="inlineStr"/>
    </row>
    <row r="338" ht="15" customHeight="1">
      <c r="A338" t="inlineStr">
        <is>
          <t>A 35288-2019</t>
        </is>
      </c>
      <c r="B338" s="1" t="n">
        <v>43651</v>
      </c>
      <c r="C338" s="1" t="n">
        <v>45358</v>
      </c>
      <c r="D338" t="inlineStr">
        <is>
          <t>JÄMTLANDS LÄN</t>
        </is>
      </c>
      <c r="E338" t="inlineStr">
        <is>
          <t>KROKOM</t>
        </is>
      </c>
      <c r="G338" t="n">
        <v>6.9</v>
      </c>
      <c r="H338" t="n">
        <v>0</v>
      </c>
      <c r="I338" t="n">
        <v>0</v>
      </c>
      <c r="J338" t="n">
        <v>0</v>
      </c>
      <c r="K338" t="n">
        <v>0</v>
      </c>
      <c r="L338" t="n">
        <v>0</v>
      </c>
      <c r="M338" t="n">
        <v>0</v>
      </c>
      <c r="N338" t="n">
        <v>0</v>
      </c>
      <c r="O338" t="n">
        <v>0</v>
      </c>
      <c r="P338" t="n">
        <v>0</v>
      </c>
      <c r="Q338" t="n">
        <v>0</v>
      </c>
      <c r="R338" s="2" t="inlineStr"/>
    </row>
    <row r="339" ht="15" customHeight="1">
      <c r="A339" t="inlineStr">
        <is>
          <t>A 35337-2019</t>
        </is>
      </c>
      <c r="B339" s="1" t="n">
        <v>43651</v>
      </c>
      <c r="C339" s="1" t="n">
        <v>45358</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35264-2019</t>
        </is>
      </c>
      <c r="B340" s="1" t="n">
        <v>43651</v>
      </c>
      <c r="C340" s="1" t="n">
        <v>45358</v>
      </c>
      <c r="D340" t="inlineStr">
        <is>
          <t>JÄMTLANDS LÄN</t>
        </is>
      </c>
      <c r="E340" t="inlineStr">
        <is>
          <t>KROKOM</t>
        </is>
      </c>
      <c r="G340" t="n">
        <v>10</v>
      </c>
      <c r="H340" t="n">
        <v>0</v>
      </c>
      <c r="I340" t="n">
        <v>0</v>
      </c>
      <c r="J340" t="n">
        <v>0</v>
      </c>
      <c r="K340" t="n">
        <v>0</v>
      </c>
      <c r="L340" t="n">
        <v>0</v>
      </c>
      <c r="M340" t="n">
        <v>0</v>
      </c>
      <c r="N340" t="n">
        <v>0</v>
      </c>
      <c r="O340" t="n">
        <v>0</v>
      </c>
      <c r="P340" t="n">
        <v>0</v>
      </c>
      <c r="Q340" t="n">
        <v>0</v>
      </c>
      <c r="R340" s="2" t="inlineStr"/>
    </row>
    <row r="341" ht="15" customHeight="1">
      <c r="A341" t="inlineStr">
        <is>
          <t>A 35339-2019</t>
        </is>
      </c>
      <c r="B341" s="1" t="n">
        <v>43651</v>
      </c>
      <c r="C341" s="1" t="n">
        <v>45358</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35266-2019</t>
        </is>
      </c>
      <c r="B342" s="1" t="n">
        <v>43651</v>
      </c>
      <c r="C342" s="1" t="n">
        <v>45358</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34065-2019</t>
        </is>
      </c>
      <c r="B343" s="1" t="n">
        <v>43654</v>
      </c>
      <c r="C343" s="1" t="n">
        <v>45358</v>
      </c>
      <c r="D343" t="inlineStr">
        <is>
          <t>JÄMTLANDS LÄN</t>
        </is>
      </c>
      <c r="E343" t="inlineStr">
        <is>
          <t>KROKOM</t>
        </is>
      </c>
      <c r="G343" t="n">
        <v>12.3</v>
      </c>
      <c r="H343" t="n">
        <v>0</v>
      </c>
      <c r="I343" t="n">
        <v>0</v>
      </c>
      <c r="J343" t="n">
        <v>0</v>
      </c>
      <c r="K343" t="n">
        <v>0</v>
      </c>
      <c r="L343" t="n">
        <v>0</v>
      </c>
      <c r="M343" t="n">
        <v>0</v>
      </c>
      <c r="N343" t="n">
        <v>0</v>
      </c>
      <c r="O343" t="n">
        <v>0</v>
      </c>
      <c r="P343" t="n">
        <v>0</v>
      </c>
      <c r="Q343" t="n">
        <v>0</v>
      </c>
      <c r="R343" s="2" t="inlineStr"/>
    </row>
    <row r="344" ht="15" customHeight="1">
      <c r="A344" t="inlineStr">
        <is>
          <t>A 34108-2019</t>
        </is>
      </c>
      <c r="B344" s="1" t="n">
        <v>43655</v>
      </c>
      <c r="C344" s="1" t="n">
        <v>45358</v>
      </c>
      <c r="D344" t="inlineStr">
        <is>
          <t>JÄMTLANDS LÄN</t>
        </is>
      </c>
      <c r="E344" t="inlineStr">
        <is>
          <t>KROKOM</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35668-2019</t>
        </is>
      </c>
      <c r="B345" s="1" t="n">
        <v>43655</v>
      </c>
      <c r="C345" s="1" t="n">
        <v>45358</v>
      </c>
      <c r="D345" t="inlineStr">
        <is>
          <t>JÄMTLANDS LÄN</t>
        </is>
      </c>
      <c r="E345" t="inlineStr">
        <is>
          <t>KROKOM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35754-2019</t>
        </is>
      </c>
      <c r="B346" s="1" t="n">
        <v>43656</v>
      </c>
      <c r="C346" s="1" t="n">
        <v>45358</v>
      </c>
      <c r="D346" t="inlineStr">
        <is>
          <t>JÄMTLANDS LÄN</t>
        </is>
      </c>
      <c r="E346" t="inlineStr">
        <is>
          <t>KROKOM</t>
        </is>
      </c>
      <c r="G346" t="n">
        <v>4.5</v>
      </c>
      <c r="H346" t="n">
        <v>0</v>
      </c>
      <c r="I346" t="n">
        <v>0</v>
      </c>
      <c r="J346" t="n">
        <v>0</v>
      </c>
      <c r="K346" t="n">
        <v>0</v>
      </c>
      <c r="L346" t="n">
        <v>0</v>
      </c>
      <c r="M346" t="n">
        <v>0</v>
      </c>
      <c r="N346" t="n">
        <v>0</v>
      </c>
      <c r="O346" t="n">
        <v>0</v>
      </c>
      <c r="P346" t="n">
        <v>0</v>
      </c>
      <c r="Q346" t="n">
        <v>0</v>
      </c>
      <c r="R346" s="2" t="inlineStr"/>
    </row>
    <row r="347" ht="15" customHeight="1">
      <c r="A347" t="inlineStr">
        <is>
          <t>A 34739-2019</t>
        </is>
      </c>
      <c r="B347" s="1" t="n">
        <v>43657</v>
      </c>
      <c r="C347" s="1" t="n">
        <v>45358</v>
      </c>
      <c r="D347" t="inlineStr">
        <is>
          <t>JÄMTLANDS LÄN</t>
        </is>
      </c>
      <c r="E347" t="inlineStr">
        <is>
          <t>KROKOM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36009-2019</t>
        </is>
      </c>
      <c r="B348" s="1" t="n">
        <v>43657</v>
      </c>
      <c r="C348" s="1" t="n">
        <v>45358</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35131-2019</t>
        </is>
      </c>
      <c r="B349" s="1" t="n">
        <v>43661</v>
      </c>
      <c r="C349" s="1" t="n">
        <v>45358</v>
      </c>
      <c r="D349" t="inlineStr">
        <is>
          <t>JÄMTLANDS LÄN</t>
        </is>
      </c>
      <c r="E349" t="inlineStr">
        <is>
          <t>KROKOM</t>
        </is>
      </c>
      <c r="G349" t="n">
        <v>10.4</v>
      </c>
      <c r="H349" t="n">
        <v>0</v>
      </c>
      <c r="I349" t="n">
        <v>0</v>
      </c>
      <c r="J349" t="n">
        <v>0</v>
      </c>
      <c r="K349" t="n">
        <v>0</v>
      </c>
      <c r="L349" t="n">
        <v>0</v>
      </c>
      <c r="M349" t="n">
        <v>0</v>
      </c>
      <c r="N349" t="n">
        <v>0</v>
      </c>
      <c r="O349" t="n">
        <v>0</v>
      </c>
      <c r="P349" t="n">
        <v>0</v>
      </c>
      <c r="Q349" t="n">
        <v>0</v>
      </c>
      <c r="R349" s="2" t="inlineStr"/>
    </row>
    <row r="350" ht="15" customHeight="1">
      <c r="A350" t="inlineStr">
        <is>
          <t>A 35340-2019</t>
        </is>
      </c>
      <c r="B350" s="1" t="n">
        <v>43661</v>
      </c>
      <c r="C350" s="1" t="n">
        <v>45358</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36271-2019</t>
        </is>
      </c>
      <c r="B351" s="1" t="n">
        <v>43661</v>
      </c>
      <c r="C351" s="1" t="n">
        <v>45358</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37369-2019</t>
        </is>
      </c>
      <c r="B352" s="1" t="n">
        <v>43678</v>
      </c>
      <c r="C352" s="1" t="n">
        <v>45358</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37756-2019</t>
        </is>
      </c>
      <c r="B353" s="1" t="n">
        <v>43682</v>
      </c>
      <c r="C353" s="1" t="n">
        <v>45358</v>
      </c>
      <c r="D353" t="inlineStr">
        <is>
          <t>JÄMTLANDS LÄN</t>
        </is>
      </c>
      <c r="E353" t="inlineStr">
        <is>
          <t>KROKOM</t>
        </is>
      </c>
      <c r="G353" t="n">
        <v>2.1</v>
      </c>
      <c r="H353" t="n">
        <v>0</v>
      </c>
      <c r="I353" t="n">
        <v>0</v>
      </c>
      <c r="J353" t="n">
        <v>0</v>
      </c>
      <c r="K353" t="n">
        <v>0</v>
      </c>
      <c r="L353" t="n">
        <v>0</v>
      </c>
      <c r="M353" t="n">
        <v>0</v>
      </c>
      <c r="N353" t="n">
        <v>0</v>
      </c>
      <c r="O353" t="n">
        <v>0</v>
      </c>
      <c r="P353" t="n">
        <v>0</v>
      </c>
      <c r="Q353" t="n">
        <v>0</v>
      </c>
      <c r="R353" s="2" t="inlineStr"/>
    </row>
    <row r="354" ht="15" customHeight="1">
      <c r="A354" t="inlineStr">
        <is>
          <t>A 38208-2019</t>
        </is>
      </c>
      <c r="B354" s="1" t="n">
        <v>43684</v>
      </c>
      <c r="C354" s="1" t="n">
        <v>45358</v>
      </c>
      <c r="D354" t="inlineStr">
        <is>
          <t>JÄMTLANDS LÄN</t>
        </is>
      </c>
      <c r="E354" t="inlineStr">
        <is>
          <t>KROKOM</t>
        </is>
      </c>
      <c r="G354" t="n">
        <v>6.4</v>
      </c>
      <c r="H354" t="n">
        <v>0</v>
      </c>
      <c r="I354" t="n">
        <v>0</v>
      </c>
      <c r="J354" t="n">
        <v>0</v>
      </c>
      <c r="K354" t="n">
        <v>0</v>
      </c>
      <c r="L354" t="n">
        <v>0</v>
      </c>
      <c r="M354" t="n">
        <v>0</v>
      </c>
      <c r="N354" t="n">
        <v>0</v>
      </c>
      <c r="O354" t="n">
        <v>0</v>
      </c>
      <c r="P354" t="n">
        <v>0</v>
      </c>
      <c r="Q354" t="n">
        <v>0</v>
      </c>
      <c r="R354" s="2" t="inlineStr"/>
    </row>
    <row r="355" ht="15" customHeight="1">
      <c r="A355" t="inlineStr">
        <is>
          <t>A 39353-2019</t>
        </is>
      </c>
      <c r="B355" s="1" t="n">
        <v>43690</v>
      </c>
      <c r="C355" s="1" t="n">
        <v>45358</v>
      </c>
      <c r="D355" t="inlineStr">
        <is>
          <t>JÄMTLANDS LÄN</t>
        </is>
      </c>
      <c r="E355" t="inlineStr">
        <is>
          <t>KROKOM</t>
        </is>
      </c>
      <c r="G355" t="n">
        <v>7.8</v>
      </c>
      <c r="H355" t="n">
        <v>0</v>
      </c>
      <c r="I355" t="n">
        <v>0</v>
      </c>
      <c r="J355" t="n">
        <v>0</v>
      </c>
      <c r="K355" t="n">
        <v>0</v>
      </c>
      <c r="L355" t="n">
        <v>0</v>
      </c>
      <c r="M355" t="n">
        <v>0</v>
      </c>
      <c r="N355" t="n">
        <v>0</v>
      </c>
      <c r="O355" t="n">
        <v>0</v>
      </c>
      <c r="P355" t="n">
        <v>0</v>
      </c>
      <c r="Q355" t="n">
        <v>0</v>
      </c>
      <c r="R355" s="2" t="inlineStr"/>
    </row>
    <row r="356" ht="15" customHeight="1">
      <c r="A356" t="inlineStr">
        <is>
          <t>A 39587-2019</t>
        </is>
      </c>
      <c r="B356" s="1" t="n">
        <v>43691</v>
      </c>
      <c r="C356" s="1" t="n">
        <v>45358</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39956-2019</t>
        </is>
      </c>
      <c r="B357" s="1" t="n">
        <v>43692</v>
      </c>
      <c r="C357" s="1" t="n">
        <v>45358</v>
      </c>
      <c r="D357" t="inlineStr">
        <is>
          <t>JÄMTLANDS LÄN</t>
        </is>
      </c>
      <c r="E357" t="inlineStr">
        <is>
          <t>KROKOM</t>
        </is>
      </c>
      <c r="G357" t="n">
        <v>4.3</v>
      </c>
      <c r="H357" t="n">
        <v>0</v>
      </c>
      <c r="I357" t="n">
        <v>0</v>
      </c>
      <c r="J357" t="n">
        <v>0</v>
      </c>
      <c r="K357" t="n">
        <v>0</v>
      </c>
      <c r="L357" t="n">
        <v>0</v>
      </c>
      <c r="M357" t="n">
        <v>0</v>
      </c>
      <c r="N357" t="n">
        <v>0</v>
      </c>
      <c r="O357" t="n">
        <v>0</v>
      </c>
      <c r="P357" t="n">
        <v>0</v>
      </c>
      <c r="Q357" t="n">
        <v>0</v>
      </c>
      <c r="R357" s="2" t="inlineStr"/>
    </row>
    <row r="358" ht="15" customHeight="1">
      <c r="A358" t="inlineStr">
        <is>
          <t>A 39943-2019</t>
        </is>
      </c>
      <c r="B358" s="1" t="n">
        <v>43692</v>
      </c>
      <c r="C358" s="1" t="n">
        <v>45358</v>
      </c>
      <c r="D358" t="inlineStr">
        <is>
          <t>JÄMTLANDS LÄN</t>
        </is>
      </c>
      <c r="E358" t="inlineStr">
        <is>
          <t>KROKOM</t>
        </is>
      </c>
      <c r="G358" t="n">
        <v>17.9</v>
      </c>
      <c r="H358" t="n">
        <v>0</v>
      </c>
      <c r="I358" t="n">
        <v>0</v>
      </c>
      <c r="J358" t="n">
        <v>0</v>
      </c>
      <c r="K358" t="n">
        <v>0</v>
      </c>
      <c r="L358" t="n">
        <v>0</v>
      </c>
      <c r="M358" t="n">
        <v>0</v>
      </c>
      <c r="N358" t="n">
        <v>0</v>
      </c>
      <c r="O358" t="n">
        <v>0</v>
      </c>
      <c r="P358" t="n">
        <v>0</v>
      </c>
      <c r="Q358" t="n">
        <v>0</v>
      </c>
      <c r="R358" s="2" t="inlineStr"/>
    </row>
    <row r="359" ht="15" customHeight="1">
      <c r="A359" t="inlineStr">
        <is>
          <t>A 40929-2019</t>
        </is>
      </c>
      <c r="B359" s="1" t="n">
        <v>43693</v>
      </c>
      <c r="C359" s="1" t="n">
        <v>45358</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40491-2019</t>
        </is>
      </c>
      <c r="B360" s="1" t="n">
        <v>43696</v>
      </c>
      <c r="C360" s="1" t="n">
        <v>45358</v>
      </c>
      <c r="D360" t="inlineStr">
        <is>
          <t>JÄMTLANDS LÄN</t>
        </is>
      </c>
      <c r="E360" t="inlineStr">
        <is>
          <t>KROKOM</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41491-2019</t>
        </is>
      </c>
      <c r="B361" s="1" t="n">
        <v>43699</v>
      </c>
      <c r="C361" s="1" t="n">
        <v>45358</v>
      </c>
      <c r="D361" t="inlineStr">
        <is>
          <t>JÄMTLANDS LÄN</t>
        </is>
      </c>
      <c r="E361" t="inlineStr">
        <is>
          <t>KROKOM</t>
        </is>
      </c>
      <c r="G361" t="n">
        <v>9.1</v>
      </c>
      <c r="H361" t="n">
        <v>0</v>
      </c>
      <c r="I361" t="n">
        <v>0</v>
      </c>
      <c r="J361" t="n">
        <v>0</v>
      </c>
      <c r="K361" t="n">
        <v>0</v>
      </c>
      <c r="L361" t="n">
        <v>0</v>
      </c>
      <c r="M361" t="n">
        <v>0</v>
      </c>
      <c r="N361" t="n">
        <v>0</v>
      </c>
      <c r="O361" t="n">
        <v>0</v>
      </c>
      <c r="P361" t="n">
        <v>0</v>
      </c>
      <c r="Q361" t="n">
        <v>0</v>
      </c>
      <c r="R361" s="2" t="inlineStr"/>
    </row>
    <row r="362" ht="15" customHeight="1">
      <c r="A362" t="inlineStr">
        <is>
          <t>A 42258-2019</t>
        </is>
      </c>
      <c r="B362" s="1" t="n">
        <v>43703</v>
      </c>
      <c r="C362" s="1" t="n">
        <v>45358</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42237-2019</t>
        </is>
      </c>
      <c r="B363" s="1" t="n">
        <v>43703</v>
      </c>
      <c r="C363" s="1" t="n">
        <v>45358</v>
      </c>
      <c r="D363" t="inlineStr">
        <is>
          <t>JÄMTLANDS LÄN</t>
        </is>
      </c>
      <c r="E363" t="inlineStr">
        <is>
          <t>KROKOM</t>
        </is>
      </c>
      <c r="G363" t="n">
        <v>7.1</v>
      </c>
      <c r="H363" t="n">
        <v>0</v>
      </c>
      <c r="I363" t="n">
        <v>0</v>
      </c>
      <c r="J363" t="n">
        <v>0</v>
      </c>
      <c r="K363" t="n">
        <v>0</v>
      </c>
      <c r="L363" t="n">
        <v>0</v>
      </c>
      <c r="M363" t="n">
        <v>0</v>
      </c>
      <c r="N363" t="n">
        <v>0</v>
      </c>
      <c r="O363" t="n">
        <v>0</v>
      </c>
      <c r="P363" t="n">
        <v>0</v>
      </c>
      <c r="Q363" t="n">
        <v>0</v>
      </c>
      <c r="R363" s="2" t="inlineStr"/>
    </row>
    <row r="364" ht="15" customHeight="1">
      <c r="A364" t="inlineStr">
        <is>
          <t>A 42537-2019</t>
        </is>
      </c>
      <c r="B364" s="1" t="n">
        <v>43704</v>
      </c>
      <c r="C364" s="1" t="n">
        <v>45358</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42547-2019</t>
        </is>
      </c>
      <c r="B365" s="1" t="n">
        <v>43704</v>
      </c>
      <c r="C365" s="1" t="n">
        <v>45358</v>
      </c>
      <c r="D365" t="inlineStr">
        <is>
          <t>JÄMTLANDS LÄN</t>
        </is>
      </c>
      <c r="E365" t="inlineStr">
        <is>
          <t>KROKOM</t>
        </is>
      </c>
      <c r="F365" t="inlineStr">
        <is>
          <t>Övriga Aktiebolag</t>
        </is>
      </c>
      <c r="G365" t="n">
        <v>27.5</v>
      </c>
      <c r="H365" t="n">
        <v>0</v>
      </c>
      <c r="I365" t="n">
        <v>0</v>
      </c>
      <c r="J365" t="n">
        <v>0</v>
      </c>
      <c r="K365" t="n">
        <v>0</v>
      </c>
      <c r="L365" t="n">
        <v>0</v>
      </c>
      <c r="M365" t="n">
        <v>0</v>
      </c>
      <c r="N365" t="n">
        <v>0</v>
      </c>
      <c r="O365" t="n">
        <v>0</v>
      </c>
      <c r="P365" t="n">
        <v>0</v>
      </c>
      <c r="Q365" t="n">
        <v>0</v>
      </c>
      <c r="R365" s="2" t="inlineStr"/>
    </row>
    <row r="366" ht="15" customHeight="1">
      <c r="A366" t="inlineStr">
        <is>
          <t>A 42498-2019</t>
        </is>
      </c>
      <c r="B366" s="1" t="n">
        <v>43704</v>
      </c>
      <c r="C366" s="1" t="n">
        <v>45358</v>
      </c>
      <c r="D366" t="inlineStr">
        <is>
          <t>JÄMTLANDS LÄN</t>
        </is>
      </c>
      <c r="E366" t="inlineStr">
        <is>
          <t>KROKOM</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42602-2019</t>
        </is>
      </c>
      <c r="B367" s="1" t="n">
        <v>43704</v>
      </c>
      <c r="C367" s="1" t="n">
        <v>45358</v>
      </c>
      <c r="D367" t="inlineStr">
        <is>
          <t>JÄMTLANDS LÄN</t>
        </is>
      </c>
      <c r="E367" t="inlineStr">
        <is>
          <t>KROKOM</t>
        </is>
      </c>
      <c r="G367" t="n">
        <v>3.9</v>
      </c>
      <c r="H367" t="n">
        <v>0</v>
      </c>
      <c r="I367" t="n">
        <v>0</v>
      </c>
      <c r="J367" t="n">
        <v>0</v>
      </c>
      <c r="K367" t="n">
        <v>0</v>
      </c>
      <c r="L367" t="n">
        <v>0</v>
      </c>
      <c r="M367" t="n">
        <v>0</v>
      </c>
      <c r="N367" t="n">
        <v>0</v>
      </c>
      <c r="O367" t="n">
        <v>0</v>
      </c>
      <c r="P367" t="n">
        <v>0</v>
      </c>
      <c r="Q367" t="n">
        <v>0</v>
      </c>
      <c r="R367" s="2" t="inlineStr"/>
    </row>
    <row r="368" ht="15" customHeight="1">
      <c r="A368" t="inlineStr">
        <is>
          <t>A 42512-2019</t>
        </is>
      </c>
      <c r="B368" s="1" t="n">
        <v>43704</v>
      </c>
      <c r="C368" s="1" t="n">
        <v>45358</v>
      </c>
      <c r="D368" t="inlineStr">
        <is>
          <t>JÄMTLANDS LÄN</t>
        </is>
      </c>
      <c r="E368" t="inlineStr">
        <is>
          <t>KROKOM</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42635-2019</t>
        </is>
      </c>
      <c r="B369" s="1" t="n">
        <v>43704</v>
      </c>
      <c r="C369" s="1" t="n">
        <v>45358</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43708-2019</t>
        </is>
      </c>
      <c r="B370" s="1" t="n">
        <v>43707</v>
      </c>
      <c r="C370" s="1" t="n">
        <v>45358</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43721-2019</t>
        </is>
      </c>
      <c r="B371" s="1" t="n">
        <v>43707</v>
      </c>
      <c r="C371" s="1" t="n">
        <v>45358</v>
      </c>
      <c r="D371" t="inlineStr">
        <is>
          <t>JÄMTLANDS LÄN</t>
        </is>
      </c>
      <c r="E371" t="inlineStr">
        <is>
          <t>KROKOM</t>
        </is>
      </c>
      <c r="G371" t="n">
        <v>7.1</v>
      </c>
      <c r="H371" t="n">
        <v>0</v>
      </c>
      <c r="I371" t="n">
        <v>0</v>
      </c>
      <c r="J371" t="n">
        <v>0</v>
      </c>
      <c r="K371" t="n">
        <v>0</v>
      </c>
      <c r="L371" t="n">
        <v>0</v>
      </c>
      <c r="M371" t="n">
        <v>0</v>
      </c>
      <c r="N371" t="n">
        <v>0</v>
      </c>
      <c r="O371" t="n">
        <v>0</v>
      </c>
      <c r="P371" t="n">
        <v>0</v>
      </c>
      <c r="Q371" t="n">
        <v>0</v>
      </c>
      <c r="R371" s="2" t="inlineStr"/>
    </row>
    <row r="372" ht="15" customHeight="1">
      <c r="A372" t="inlineStr">
        <is>
          <t>A 44128-2019</t>
        </is>
      </c>
      <c r="B372" s="1" t="n">
        <v>43710</v>
      </c>
      <c r="C372" s="1" t="n">
        <v>45358</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44190-2019</t>
        </is>
      </c>
      <c r="B373" s="1" t="n">
        <v>43710</v>
      </c>
      <c r="C373" s="1" t="n">
        <v>45358</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44653-2019</t>
        </is>
      </c>
      <c r="B374" s="1" t="n">
        <v>43712</v>
      </c>
      <c r="C374" s="1" t="n">
        <v>45358</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46288-2019</t>
        </is>
      </c>
      <c r="B375" s="1" t="n">
        <v>43717</v>
      </c>
      <c r="C375" s="1" t="n">
        <v>45358</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47406-2019</t>
        </is>
      </c>
      <c r="B376" s="1" t="n">
        <v>43722</v>
      </c>
      <c r="C376" s="1" t="n">
        <v>45358</v>
      </c>
      <c r="D376" t="inlineStr">
        <is>
          <t>JÄMTLANDS LÄN</t>
        </is>
      </c>
      <c r="E376" t="inlineStr">
        <is>
          <t>KROKOM</t>
        </is>
      </c>
      <c r="G376" t="n">
        <v>7.4</v>
      </c>
      <c r="H376" t="n">
        <v>0</v>
      </c>
      <c r="I376" t="n">
        <v>0</v>
      </c>
      <c r="J376" t="n">
        <v>0</v>
      </c>
      <c r="K376" t="n">
        <v>0</v>
      </c>
      <c r="L376" t="n">
        <v>0</v>
      </c>
      <c r="M376" t="n">
        <v>0</v>
      </c>
      <c r="N376" t="n">
        <v>0</v>
      </c>
      <c r="O376" t="n">
        <v>0</v>
      </c>
      <c r="P376" t="n">
        <v>0</v>
      </c>
      <c r="Q376" t="n">
        <v>0</v>
      </c>
      <c r="R376" s="2" t="inlineStr"/>
    </row>
    <row r="377" ht="15" customHeight="1">
      <c r="A377" t="inlineStr">
        <is>
          <t>A 48311-2019</t>
        </is>
      </c>
      <c r="B377" s="1" t="n">
        <v>43726</v>
      </c>
      <c r="C377" s="1" t="n">
        <v>45358</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48613-2019</t>
        </is>
      </c>
      <c r="B378" s="1" t="n">
        <v>43727</v>
      </c>
      <c r="C378" s="1" t="n">
        <v>45358</v>
      </c>
      <c r="D378" t="inlineStr">
        <is>
          <t>JÄMTLANDS LÄN</t>
        </is>
      </c>
      <c r="E378" t="inlineStr">
        <is>
          <t>KROKOM</t>
        </is>
      </c>
      <c r="G378" t="n">
        <v>0.1</v>
      </c>
      <c r="H378" t="n">
        <v>0</v>
      </c>
      <c r="I378" t="n">
        <v>0</v>
      </c>
      <c r="J378" t="n">
        <v>0</v>
      </c>
      <c r="K378" t="n">
        <v>0</v>
      </c>
      <c r="L378" t="n">
        <v>0</v>
      </c>
      <c r="M378" t="n">
        <v>0</v>
      </c>
      <c r="N378" t="n">
        <v>0</v>
      </c>
      <c r="O378" t="n">
        <v>0</v>
      </c>
      <c r="P378" t="n">
        <v>0</v>
      </c>
      <c r="Q378" t="n">
        <v>0</v>
      </c>
      <c r="R378" s="2" t="inlineStr"/>
    </row>
    <row r="379" ht="15" customHeight="1">
      <c r="A379" t="inlineStr">
        <is>
          <t>A 49213-2019</t>
        </is>
      </c>
      <c r="B379" s="1" t="n">
        <v>43731</v>
      </c>
      <c r="C379" s="1" t="n">
        <v>45358</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50104-2019</t>
        </is>
      </c>
      <c r="B380" s="1" t="n">
        <v>43731</v>
      </c>
      <c r="C380" s="1" t="n">
        <v>45358</v>
      </c>
      <c r="D380" t="inlineStr">
        <is>
          <t>JÄMTLANDS LÄN</t>
        </is>
      </c>
      <c r="E380" t="inlineStr">
        <is>
          <t>KROKOM</t>
        </is>
      </c>
      <c r="G380" t="n">
        <v>4.2</v>
      </c>
      <c r="H380" t="n">
        <v>0</v>
      </c>
      <c r="I380" t="n">
        <v>0</v>
      </c>
      <c r="J380" t="n">
        <v>0</v>
      </c>
      <c r="K380" t="n">
        <v>0</v>
      </c>
      <c r="L380" t="n">
        <v>0</v>
      </c>
      <c r="M380" t="n">
        <v>0</v>
      </c>
      <c r="N380" t="n">
        <v>0</v>
      </c>
      <c r="O380" t="n">
        <v>0</v>
      </c>
      <c r="P380" t="n">
        <v>0</v>
      </c>
      <c r="Q380" t="n">
        <v>0</v>
      </c>
      <c r="R380" s="2" t="inlineStr"/>
    </row>
    <row r="381" ht="15" customHeight="1">
      <c r="A381" t="inlineStr">
        <is>
          <t>A 50115-2019</t>
        </is>
      </c>
      <c r="B381" s="1" t="n">
        <v>43731</v>
      </c>
      <c r="C381" s="1" t="n">
        <v>45358</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50084-2019</t>
        </is>
      </c>
      <c r="B382" s="1" t="n">
        <v>43731</v>
      </c>
      <c r="C382" s="1" t="n">
        <v>45358</v>
      </c>
      <c r="D382" t="inlineStr">
        <is>
          <t>JÄMTLANDS LÄN</t>
        </is>
      </c>
      <c r="E382" t="inlineStr">
        <is>
          <t>KROKOM</t>
        </is>
      </c>
      <c r="G382" t="n">
        <v>12.5</v>
      </c>
      <c r="H382" t="n">
        <v>0</v>
      </c>
      <c r="I382" t="n">
        <v>0</v>
      </c>
      <c r="J382" t="n">
        <v>0</v>
      </c>
      <c r="K382" t="n">
        <v>0</v>
      </c>
      <c r="L382" t="n">
        <v>0</v>
      </c>
      <c r="M382" t="n">
        <v>0</v>
      </c>
      <c r="N382" t="n">
        <v>0</v>
      </c>
      <c r="O382" t="n">
        <v>0</v>
      </c>
      <c r="P382" t="n">
        <v>0</v>
      </c>
      <c r="Q382" t="n">
        <v>0</v>
      </c>
      <c r="R382" s="2" t="inlineStr"/>
    </row>
    <row r="383" ht="15" customHeight="1">
      <c r="A383" t="inlineStr">
        <is>
          <t>A 50112-2019</t>
        </is>
      </c>
      <c r="B383" s="1" t="n">
        <v>43731</v>
      </c>
      <c r="C383" s="1" t="n">
        <v>45358</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50144-2019</t>
        </is>
      </c>
      <c r="B384" s="1" t="n">
        <v>43734</v>
      </c>
      <c r="C384" s="1" t="n">
        <v>45358</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52049-2019</t>
        </is>
      </c>
      <c r="B385" s="1" t="n">
        <v>43734</v>
      </c>
      <c r="C385" s="1" t="n">
        <v>45358</v>
      </c>
      <c r="D385" t="inlineStr">
        <is>
          <t>JÄMTLANDS LÄN</t>
        </is>
      </c>
      <c r="E385" t="inlineStr">
        <is>
          <t>KROKOM</t>
        </is>
      </c>
      <c r="G385" t="n">
        <v>6.3</v>
      </c>
      <c r="H385" t="n">
        <v>0</v>
      </c>
      <c r="I385" t="n">
        <v>0</v>
      </c>
      <c r="J385" t="n">
        <v>0</v>
      </c>
      <c r="K385" t="n">
        <v>0</v>
      </c>
      <c r="L385" t="n">
        <v>0</v>
      </c>
      <c r="M385" t="n">
        <v>0</v>
      </c>
      <c r="N385" t="n">
        <v>0</v>
      </c>
      <c r="O385" t="n">
        <v>0</v>
      </c>
      <c r="P385" t="n">
        <v>0</v>
      </c>
      <c r="Q385" t="n">
        <v>0</v>
      </c>
      <c r="R385" s="2" t="inlineStr"/>
    </row>
    <row r="386" ht="15" customHeight="1">
      <c r="A386" t="inlineStr">
        <is>
          <t>A 52028-2019</t>
        </is>
      </c>
      <c r="B386" s="1" t="n">
        <v>43734</v>
      </c>
      <c r="C386" s="1" t="n">
        <v>45358</v>
      </c>
      <c r="D386" t="inlineStr">
        <is>
          <t>JÄMTLANDS LÄN</t>
        </is>
      </c>
      <c r="E386" t="inlineStr">
        <is>
          <t>KROKOM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52059-2019</t>
        </is>
      </c>
      <c r="B387" s="1" t="n">
        <v>43734</v>
      </c>
      <c r="C387" s="1" t="n">
        <v>45358</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50360-2019</t>
        </is>
      </c>
      <c r="B388" s="1" t="n">
        <v>43735</v>
      </c>
      <c r="C388" s="1" t="n">
        <v>45358</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52446-2019</t>
        </is>
      </c>
      <c r="B389" s="1" t="n">
        <v>43735</v>
      </c>
      <c r="C389" s="1" t="n">
        <v>45358</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52462-2019</t>
        </is>
      </c>
      <c r="B390" s="1" t="n">
        <v>43735</v>
      </c>
      <c r="C390" s="1" t="n">
        <v>45358</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53662-2019</t>
        </is>
      </c>
      <c r="B391" s="1" t="n">
        <v>43741</v>
      </c>
      <c r="C391" s="1" t="n">
        <v>45358</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54154-2019</t>
        </is>
      </c>
      <c r="B392" s="1" t="n">
        <v>43745</v>
      </c>
      <c r="C392" s="1" t="n">
        <v>45358</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53023-2019</t>
        </is>
      </c>
      <c r="B393" s="1" t="n">
        <v>43747</v>
      </c>
      <c r="C393" s="1" t="n">
        <v>45358</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54494-2019</t>
        </is>
      </c>
      <c r="B394" s="1" t="n">
        <v>43747</v>
      </c>
      <c r="C394" s="1" t="n">
        <v>45358</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53941-2019</t>
        </is>
      </c>
      <c r="B395" s="1" t="n">
        <v>43752</v>
      </c>
      <c r="C395" s="1" t="n">
        <v>45358</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54013-2019</t>
        </is>
      </c>
      <c r="B396" s="1" t="n">
        <v>43752</v>
      </c>
      <c r="C396" s="1" t="n">
        <v>45358</v>
      </c>
      <c r="D396" t="inlineStr">
        <is>
          <t>JÄMTLANDS LÄN</t>
        </is>
      </c>
      <c r="E396" t="inlineStr">
        <is>
          <t>KROKOM</t>
        </is>
      </c>
      <c r="F396" t="inlineStr">
        <is>
          <t>Övriga Aktiebolag</t>
        </is>
      </c>
      <c r="G396" t="n">
        <v>32.6</v>
      </c>
      <c r="H396" t="n">
        <v>0</v>
      </c>
      <c r="I396" t="n">
        <v>0</v>
      </c>
      <c r="J396" t="n">
        <v>0</v>
      </c>
      <c r="K396" t="n">
        <v>0</v>
      </c>
      <c r="L396" t="n">
        <v>0</v>
      </c>
      <c r="M396" t="n">
        <v>0</v>
      </c>
      <c r="N396" t="n">
        <v>0</v>
      </c>
      <c r="O396" t="n">
        <v>0</v>
      </c>
      <c r="P396" t="n">
        <v>0</v>
      </c>
      <c r="Q396" t="n">
        <v>0</v>
      </c>
      <c r="R396" s="2" t="inlineStr"/>
    </row>
    <row r="397" ht="15" customHeight="1">
      <c r="A397" t="inlineStr">
        <is>
          <t>A 54045-2019</t>
        </is>
      </c>
      <c r="B397" s="1" t="n">
        <v>43752</v>
      </c>
      <c r="C397" s="1" t="n">
        <v>45358</v>
      </c>
      <c r="D397" t="inlineStr">
        <is>
          <t>JÄMTLANDS LÄN</t>
        </is>
      </c>
      <c r="E397" t="inlineStr">
        <is>
          <t>KROKOM</t>
        </is>
      </c>
      <c r="F397" t="inlineStr">
        <is>
          <t>Övriga Aktiebolag</t>
        </is>
      </c>
      <c r="G397" t="n">
        <v>15.2</v>
      </c>
      <c r="H397" t="n">
        <v>0</v>
      </c>
      <c r="I397" t="n">
        <v>0</v>
      </c>
      <c r="J397" t="n">
        <v>0</v>
      </c>
      <c r="K397" t="n">
        <v>0</v>
      </c>
      <c r="L397" t="n">
        <v>0</v>
      </c>
      <c r="M397" t="n">
        <v>0</v>
      </c>
      <c r="N397" t="n">
        <v>0</v>
      </c>
      <c r="O397" t="n">
        <v>0</v>
      </c>
      <c r="P397" t="n">
        <v>0</v>
      </c>
      <c r="Q397" t="n">
        <v>0</v>
      </c>
      <c r="R397" s="2" t="inlineStr"/>
    </row>
    <row r="398" ht="15" customHeight="1">
      <c r="A398" t="inlineStr">
        <is>
          <t>A 54820-2019</t>
        </is>
      </c>
      <c r="B398" s="1" t="n">
        <v>43755</v>
      </c>
      <c r="C398" s="1" t="n">
        <v>45358</v>
      </c>
      <c r="D398" t="inlineStr">
        <is>
          <t>JÄMTLANDS LÄN</t>
        </is>
      </c>
      <c r="E398" t="inlineStr">
        <is>
          <t>KROKOM</t>
        </is>
      </c>
      <c r="G398" t="n">
        <v>5.4</v>
      </c>
      <c r="H398" t="n">
        <v>0</v>
      </c>
      <c r="I398" t="n">
        <v>0</v>
      </c>
      <c r="J398" t="n">
        <v>0</v>
      </c>
      <c r="K398" t="n">
        <v>0</v>
      </c>
      <c r="L398" t="n">
        <v>0</v>
      </c>
      <c r="M398" t="n">
        <v>0</v>
      </c>
      <c r="N398" t="n">
        <v>0</v>
      </c>
      <c r="O398" t="n">
        <v>0</v>
      </c>
      <c r="P398" t="n">
        <v>0</v>
      </c>
      <c r="Q398" t="n">
        <v>0</v>
      </c>
      <c r="R398" s="2" t="inlineStr"/>
    </row>
    <row r="399" ht="15" customHeight="1">
      <c r="A399" t="inlineStr">
        <is>
          <t>A 55013-2019</t>
        </is>
      </c>
      <c r="B399" s="1" t="n">
        <v>43755</v>
      </c>
      <c r="C399" s="1" t="n">
        <v>45358</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55804-2019</t>
        </is>
      </c>
      <c r="B400" s="1" t="n">
        <v>43759</v>
      </c>
      <c r="C400" s="1" t="n">
        <v>45358</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56672-2019</t>
        </is>
      </c>
      <c r="B401" s="1" t="n">
        <v>43759</v>
      </c>
      <c r="C401" s="1" t="n">
        <v>45358</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56321-2019</t>
        </is>
      </c>
      <c r="B402" s="1" t="n">
        <v>43762</v>
      </c>
      <c r="C402" s="1" t="n">
        <v>45358</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56397-2019</t>
        </is>
      </c>
      <c r="B403" s="1" t="n">
        <v>43762</v>
      </c>
      <c r="C403" s="1" t="n">
        <v>45358</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56389-2019</t>
        </is>
      </c>
      <c r="B404" s="1" t="n">
        <v>43762</v>
      </c>
      <c r="C404" s="1" t="n">
        <v>45358</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56320-2019</t>
        </is>
      </c>
      <c r="B405" s="1" t="n">
        <v>43762</v>
      </c>
      <c r="C405" s="1" t="n">
        <v>45358</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56403-2019</t>
        </is>
      </c>
      <c r="B406" s="1" t="n">
        <v>43762</v>
      </c>
      <c r="C406" s="1" t="n">
        <v>45358</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56510-2019</t>
        </is>
      </c>
      <c r="B407" s="1" t="n">
        <v>43762</v>
      </c>
      <c r="C407" s="1" t="n">
        <v>45358</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56332-2019</t>
        </is>
      </c>
      <c r="B408" s="1" t="n">
        <v>43762</v>
      </c>
      <c r="C408" s="1" t="n">
        <v>45358</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57796-2019</t>
        </is>
      </c>
      <c r="B409" s="1" t="n">
        <v>43762</v>
      </c>
      <c r="C409" s="1" t="n">
        <v>45358</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56763-2019</t>
        </is>
      </c>
      <c r="B410" s="1" t="n">
        <v>43763</v>
      </c>
      <c r="C410" s="1" t="n">
        <v>45358</v>
      </c>
      <c r="D410" t="inlineStr">
        <is>
          <t>JÄMTLANDS LÄN</t>
        </is>
      </c>
      <c r="E410" t="inlineStr">
        <is>
          <t>KROKOM</t>
        </is>
      </c>
      <c r="F410" t="inlineStr">
        <is>
          <t>Övriga Aktiebolag</t>
        </is>
      </c>
      <c r="G410" t="n">
        <v>29.4</v>
      </c>
      <c r="H410" t="n">
        <v>0</v>
      </c>
      <c r="I410" t="n">
        <v>0</v>
      </c>
      <c r="J410" t="n">
        <v>0</v>
      </c>
      <c r="K410" t="n">
        <v>0</v>
      </c>
      <c r="L410" t="n">
        <v>0</v>
      </c>
      <c r="M410" t="n">
        <v>0</v>
      </c>
      <c r="N410" t="n">
        <v>0</v>
      </c>
      <c r="O410" t="n">
        <v>0</v>
      </c>
      <c r="P410" t="n">
        <v>0</v>
      </c>
      <c r="Q410" t="n">
        <v>0</v>
      </c>
      <c r="R410" s="2" t="inlineStr"/>
    </row>
    <row r="411" ht="15" customHeight="1">
      <c r="A411" t="inlineStr">
        <is>
          <t>A 57732-2019</t>
        </is>
      </c>
      <c r="B411" s="1" t="n">
        <v>43768</v>
      </c>
      <c r="C411" s="1" t="n">
        <v>45358</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58212-2019</t>
        </is>
      </c>
      <c r="B412" s="1" t="n">
        <v>43770</v>
      </c>
      <c r="C412" s="1" t="n">
        <v>45358</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58235-2019</t>
        </is>
      </c>
      <c r="B413" s="1" t="n">
        <v>43770</v>
      </c>
      <c r="C413" s="1" t="n">
        <v>45358</v>
      </c>
      <c r="D413" t="inlineStr">
        <is>
          <t>JÄMTLANDS LÄN</t>
        </is>
      </c>
      <c r="E413" t="inlineStr">
        <is>
          <t>KROKOM</t>
        </is>
      </c>
      <c r="G413" t="n">
        <v>47.9</v>
      </c>
      <c r="H413" t="n">
        <v>0</v>
      </c>
      <c r="I413" t="n">
        <v>0</v>
      </c>
      <c r="J413" t="n">
        <v>0</v>
      </c>
      <c r="K413" t="n">
        <v>0</v>
      </c>
      <c r="L413" t="n">
        <v>0</v>
      </c>
      <c r="M413" t="n">
        <v>0</v>
      </c>
      <c r="N413" t="n">
        <v>0</v>
      </c>
      <c r="O413" t="n">
        <v>0</v>
      </c>
      <c r="P413" t="n">
        <v>0</v>
      </c>
      <c r="Q413" t="n">
        <v>0</v>
      </c>
      <c r="R413" s="2" t="inlineStr"/>
    </row>
    <row r="414" ht="15" customHeight="1">
      <c r="A414" t="inlineStr">
        <is>
          <t>A 58778-2019</t>
        </is>
      </c>
      <c r="B414" s="1" t="n">
        <v>43773</v>
      </c>
      <c r="C414" s="1" t="n">
        <v>45358</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59027-2019</t>
        </is>
      </c>
      <c r="B415" s="1" t="n">
        <v>43774</v>
      </c>
      <c r="C415" s="1" t="n">
        <v>45358</v>
      </c>
      <c r="D415" t="inlineStr">
        <is>
          <t>JÄMTLANDS LÄN</t>
        </is>
      </c>
      <c r="E415" t="inlineStr">
        <is>
          <t>KROKOM</t>
        </is>
      </c>
      <c r="F415" t="inlineStr">
        <is>
          <t>Övriga Aktiebolag</t>
        </is>
      </c>
      <c r="G415" t="n">
        <v>19.6</v>
      </c>
      <c r="H415" t="n">
        <v>0</v>
      </c>
      <c r="I415" t="n">
        <v>0</v>
      </c>
      <c r="J415" t="n">
        <v>0</v>
      </c>
      <c r="K415" t="n">
        <v>0</v>
      </c>
      <c r="L415" t="n">
        <v>0</v>
      </c>
      <c r="M415" t="n">
        <v>0</v>
      </c>
      <c r="N415" t="n">
        <v>0</v>
      </c>
      <c r="O415" t="n">
        <v>0</v>
      </c>
      <c r="P415" t="n">
        <v>0</v>
      </c>
      <c r="Q415" t="n">
        <v>0</v>
      </c>
      <c r="R415" s="2" t="inlineStr"/>
    </row>
    <row r="416" ht="15" customHeight="1">
      <c r="A416" t="inlineStr">
        <is>
          <t>A 59588-2019</t>
        </is>
      </c>
      <c r="B416" s="1" t="n">
        <v>43776</v>
      </c>
      <c r="C416" s="1" t="n">
        <v>45358</v>
      </c>
      <c r="D416" t="inlineStr">
        <is>
          <t>JÄMTLANDS LÄN</t>
        </is>
      </c>
      <c r="E416" t="inlineStr">
        <is>
          <t>KROKOM</t>
        </is>
      </c>
      <c r="F416" t="inlineStr">
        <is>
          <t>Övriga Aktiebolag</t>
        </is>
      </c>
      <c r="G416" t="n">
        <v>9</v>
      </c>
      <c r="H416" t="n">
        <v>0</v>
      </c>
      <c r="I416" t="n">
        <v>0</v>
      </c>
      <c r="J416" t="n">
        <v>0</v>
      </c>
      <c r="K416" t="n">
        <v>0</v>
      </c>
      <c r="L416" t="n">
        <v>0</v>
      </c>
      <c r="M416" t="n">
        <v>0</v>
      </c>
      <c r="N416" t="n">
        <v>0</v>
      </c>
      <c r="O416" t="n">
        <v>0</v>
      </c>
      <c r="P416" t="n">
        <v>0</v>
      </c>
      <c r="Q416" t="n">
        <v>0</v>
      </c>
      <c r="R416" s="2" t="inlineStr"/>
    </row>
    <row r="417" ht="15" customHeight="1">
      <c r="A417" t="inlineStr">
        <is>
          <t>A 59672-2019</t>
        </is>
      </c>
      <c r="B417" s="1" t="n">
        <v>43776</v>
      </c>
      <c r="C417" s="1" t="n">
        <v>45358</v>
      </c>
      <c r="D417" t="inlineStr">
        <is>
          <t>JÄMTLANDS LÄN</t>
        </is>
      </c>
      <c r="E417" t="inlineStr">
        <is>
          <t>KROKOM</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60867-2019</t>
        </is>
      </c>
      <c r="B418" s="1" t="n">
        <v>43781</v>
      </c>
      <c r="C418" s="1" t="n">
        <v>45358</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61018-2019</t>
        </is>
      </c>
      <c r="B419" s="1" t="n">
        <v>43782</v>
      </c>
      <c r="C419" s="1" t="n">
        <v>45358</v>
      </c>
      <c r="D419" t="inlineStr">
        <is>
          <t>JÄMTLANDS LÄN</t>
        </is>
      </c>
      <c r="E419" t="inlineStr">
        <is>
          <t>KROKOM</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61424-2019</t>
        </is>
      </c>
      <c r="B420" s="1" t="n">
        <v>43783</v>
      </c>
      <c r="C420" s="1" t="n">
        <v>45358</v>
      </c>
      <c r="D420" t="inlineStr">
        <is>
          <t>JÄMTLANDS LÄN</t>
        </is>
      </c>
      <c r="E420" t="inlineStr">
        <is>
          <t>KROKOM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61472-2019</t>
        </is>
      </c>
      <c r="B421" s="1" t="n">
        <v>43783</v>
      </c>
      <c r="C421" s="1" t="n">
        <v>45358</v>
      </c>
      <c r="D421" t="inlineStr">
        <is>
          <t>JÄMTLANDS LÄN</t>
        </is>
      </c>
      <c r="E421" t="inlineStr">
        <is>
          <t>KROKOM</t>
        </is>
      </c>
      <c r="G421" t="n">
        <v>13.8</v>
      </c>
      <c r="H421" t="n">
        <v>0</v>
      </c>
      <c r="I421" t="n">
        <v>0</v>
      </c>
      <c r="J421" t="n">
        <v>0</v>
      </c>
      <c r="K421" t="n">
        <v>0</v>
      </c>
      <c r="L421" t="n">
        <v>0</v>
      </c>
      <c r="M421" t="n">
        <v>0</v>
      </c>
      <c r="N421" t="n">
        <v>0</v>
      </c>
      <c r="O421" t="n">
        <v>0</v>
      </c>
      <c r="P421" t="n">
        <v>0</v>
      </c>
      <c r="Q421" t="n">
        <v>0</v>
      </c>
      <c r="R421" s="2" t="inlineStr"/>
    </row>
    <row r="422" ht="15" customHeight="1">
      <c r="A422" t="inlineStr">
        <is>
          <t>A 62400-2019</t>
        </is>
      </c>
      <c r="B422" s="1" t="n">
        <v>43783</v>
      </c>
      <c r="C422" s="1" t="n">
        <v>45358</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62927-2019</t>
        </is>
      </c>
      <c r="B423" s="1" t="n">
        <v>43784</v>
      </c>
      <c r="C423" s="1" t="n">
        <v>45358</v>
      </c>
      <c r="D423" t="inlineStr">
        <is>
          <t>JÄMTLANDS LÄN</t>
        </is>
      </c>
      <c r="E423" t="inlineStr">
        <is>
          <t>KROKOM</t>
        </is>
      </c>
      <c r="G423" t="n">
        <v>9</v>
      </c>
      <c r="H423" t="n">
        <v>0</v>
      </c>
      <c r="I423" t="n">
        <v>0</v>
      </c>
      <c r="J423" t="n">
        <v>0</v>
      </c>
      <c r="K423" t="n">
        <v>0</v>
      </c>
      <c r="L423" t="n">
        <v>0</v>
      </c>
      <c r="M423" t="n">
        <v>0</v>
      </c>
      <c r="N423" t="n">
        <v>0</v>
      </c>
      <c r="O423" t="n">
        <v>0</v>
      </c>
      <c r="P423" t="n">
        <v>0</v>
      </c>
      <c r="Q423" t="n">
        <v>0</v>
      </c>
      <c r="R423" s="2" t="inlineStr"/>
    </row>
    <row r="424" ht="15" customHeight="1">
      <c r="A424" t="inlineStr">
        <is>
          <t>A 62056-2019</t>
        </is>
      </c>
      <c r="B424" s="1" t="n">
        <v>43787</v>
      </c>
      <c r="C424" s="1" t="n">
        <v>45358</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62110-2019</t>
        </is>
      </c>
      <c r="B425" s="1" t="n">
        <v>43787</v>
      </c>
      <c r="C425" s="1" t="n">
        <v>45358</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62194-2019</t>
        </is>
      </c>
      <c r="B426" s="1" t="n">
        <v>43787</v>
      </c>
      <c r="C426" s="1" t="n">
        <v>45358</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62187-2019</t>
        </is>
      </c>
      <c r="B427" s="1" t="n">
        <v>43787</v>
      </c>
      <c r="C427" s="1" t="n">
        <v>45358</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62656-2019</t>
        </is>
      </c>
      <c r="B428" s="1" t="n">
        <v>43789</v>
      </c>
      <c r="C428" s="1" t="n">
        <v>45358</v>
      </c>
      <c r="D428" t="inlineStr">
        <is>
          <t>JÄMTLANDS LÄN</t>
        </is>
      </c>
      <c r="E428" t="inlineStr">
        <is>
          <t>KROKOM</t>
        </is>
      </c>
      <c r="F428" t="inlineStr">
        <is>
          <t>Övriga Aktiebolag</t>
        </is>
      </c>
      <c r="G428" t="n">
        <v>58.5</v>
      </c>
      <c r="H428" t="n">
        <v>0</v>
      </c>
      <c r="I428" t="n">
        <v>0</v>
      </c>
      <c r="J428" t="n">
        <v>0</v>
      </c>
      <c r="K428" t="n">
        <v>0</v>
      </c>
      <c r="L428" t="n">
        <v>0</v>
      </c>
      <c r="M428" t="n">
        <v>0</v>
      </c>
      <c r="N428" t="n">
        <v>0</v>
      </c>
      <c r="O428" t="n">
        <v>0</v>
      </c>
      <c r="P428" t="n">
        <v>0</v>
      </c>
      <c r="Q428" t="n">
        <v>0</v>
      </c>
      <c r="R428" s="2" t="inlineStr"/>
    </row>
    <row r="429" ht="15" customHeight="1">
      <c r="A429" t="inlineStr">
        <is>
          <t>A 62568-2019</t>
        </is>
      </c>
      <c r="B429" s="1" t="n">
        <v>43789</v>
      </c>
      <c r="C429" s="1" t="n">
        <v>45358</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62864-2019</t>
        </is>
      </c>
      <c r="B430" s="1" t="n">
        <v>43790</v>
      </c>
      <c r="C430" s="1" t="n">
        <v>45358</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63987-2019</t>
        </is>
      </c>
      <c r="B431" s="1" t="n">
        <v>43791</v>
      </c>
      <c r="C431" s="1" t="n">
        <v>45358</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63338-2019</t>
        </is>
      </c>
      <c r="B432" s="1" t="n">
        <v>43794</v>
      </c>
      <c r="C432" s="1" t="n">
        <v>45358</v>
      </c>
      <c r="D432" t="inlineStr">
        <is>
          <t>JÄMTLANDS LÄN</t>
        </is>
      </c>
      <c r="E432" t="inlineStr">
        <is>
          <t>KROKOM</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63345-2019</t>
        </is>
      </c>
      <c r="B433" s="1" t="n">
        <v>43794</v>
      </c>
      <c r="C433" s="1" t="n">
        <v>45358</v>
      </c>
      <c r="D433" t="inlineStr">
        <is>
          <t>JÄMTLANDS LÄN</t>
        </is>
      </c>
      <c r="E433" t="inlineStr">
        <is>
          <t>KROKOM</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65065-2019</t>
        </is>
      </c>
      <c r="B434" s="1" t="n">
        <v>43801</v>
      </c>
      <c r="C434" s="1" t="n">
        <v>45358</v>
      </c>
      <c r="D434" t="inlineStr">
        <is>
          <t>JÄMTLANDS LÄN</t>
        </is>
      </c>
      <c r="E434" t="inlineStr">
        <is>
          <t>KROKOM</t>
        </is>
      </c>
      <c r="F434" t="inlineStr">
        <is>
          <t>Övriga Aktiebolag</t>
        </is>
      </c>
      <c r="G434" t="n">
        <v>30.7</v>
      </c>
      <c r="H434" t="n">
        <v>0</v>
      </c>
      <c r="I434" t="n">
        <v>0</v>
      </c>
      <c r="J434" t="n">
        <v>0</v>
      </c>
      <c r="K434" t="n">
        <v>0</v>
      </c>
      <c r="L434" t="n">
        <v>0</v>
      </c>
      <c r="M434" t="n">
        <v>0</v>
      </c>
      <c r="N434" t="n">
        <v>0</v>
      </c>
      <c r="O434" t="n">
        <v>0</v>
      </c>
      <c r="P434" t="n">
        <v>0</v>
      </c>
      <c r="Q434" t="n">
        <v>0</v>
      </c>
      <c r="R434" s="2" t="inlineStr"/>
    </row>
    <row r="435" ht="15" customHeight="1">
      <c r="A435" t="inlineStr">
        <is>
          <t>A 65323-2019</t>
        </is>
      </c>
      <c r="B435" s="1" t="n">
        <v>43802</v>
      </c>
      <c r="C435" s="1" t="n">
        <v>45358</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65322-2019</t>
        </is>
      </c>
      <c r="B436" s="1" t="n">
        <v>43802</v>
      </c>
      <c r="C436" s="1" t="n">
        <v>45358</v>
      </c>
      <c r="D436" t="inlineStr">
        <is>
          <t>JÄMTLANDS LÄN</t>
        </is>
      </c>
      <c r="E436" t="inlineStr">
        <is>
          <t>KROKOM</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65786-2019</t>
        </is>
      </c>
      <c r="B437" s="1" t="n">
        <v>43804</v>
      </c>
      <c r="C437" s="1" t="n">
        <v>45358</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65780-2019</t>
        </is>
      </c>
      <c r="B438" s="1" t="n">
        <v>43804</v>
      </c>
      <c r="C438" s="1" t="n">
        <v>45358</v>
      </c>
      <c r="D438" t="inlineStr">
        <is>
          <t>JÄMTLANDS LÄN</t>
        </is>
      </c>
      <c r="E438" t="inlineStr">
        <is>
          <t>KROKOM</t>
        </is>
      </c>
      <c r="G438" t="n">
        <v>0.2</v>
      </c>
      <c r="H438" t="n">
        <v>0</v>
      </c>
      <c r="I438" t="n">
        <v>0</v>
      </c>
      <c r="J438" t="n">
        <v>0</v>
      </c>
      <c r="K438" t="n">
        <v>0</v>
      </c>
      <c r="L438" t="n">
        <v>0</v>
      </c>
      <c r="M438" t="n">
        <v>0</v>
      </c>
      <c r="N438" t="n">
        <v>0</v>
      </c>
      <c r="O438" t="n">
        <v>0</v>
      </c>
      <c r="P438" t="n">
        <v>0</v>
      </c>
      <c r="Q438" t="n">
        <v>0</v>
      </c>
      <c r="R438" s="2" t="inlineStr"/>
    </row>
    <row r="439" ht="15" customHeight="1">
      <c r="A439" t="inlineStr">
        <is>
          <t>A 66051-2019</t>
        </is>
      </c>
      <c r="B439" s="1" t="n">
        <v>43805</v>
      </c>
      <c r="C439" s="1" t="n">
        <v>45358</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66444-2019</t>
        </is>
      </c>
      <c r="B440" s="1" t="n">
        <v>43809</v>
      </c>
      <c r="C440" s="1" t="n">
        <v>45358</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67323-2019</t>
        </is>
      </c>
      <c r="B441" s="1" t="n">
        <v>43810</v>
      </c>
      <c r="C441" s="1" t="n">
        <v>45358</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67098-2019</t>
        </is>
      </c>
      <c r="B442" s="1" t="n">
        <v>43811</v>
      </c>
      <c r="C442" s="1" t="n">
        <v>45358</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67102-2019</t>
        </is>
      </c>
      <c r="B443" s="1" t="n">
        <v>43811</v>
      </c>
      <c r="C443" s="1" t="n">
        <v>45358</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67071-2019</t>
        </is>
      </c>
      <c r="B444" s="1" t="n">
        <v>43811</v>
      </c>
      <c r="C444" s="1" t="n">
        <v>45358</v>
      </c>
      <c r="D444" t="inlineStr">
        <is>
          <t>JÄMTLANDS LÄN</t>
        </is>
      </c>
      <c r="E444" t="inlineStr">
        <is>
          <t>KROKOM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67081-2019</t>
        </is>
      </c>
      <c r="B445" s="1" t="n">
        <v>43811</v>
      </c>
      <c r="C445" s="1" t="n">
        <v>45358</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68480-2019</t>
        </is>
      </c>
      <c r="B446" s="1" t="n">
        <v>43811</v>
      </c>
      <c r="C446" s="1" t="n">
        <v>45358</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68081-2019</t>
        </is>
      </c>
      <c r="B447" s="1" t="n">
        <v>43816</v>
      </c>
      <c r="C447" s="1" t="n">
        <v>45358</v>
      </c>
      <c r="D447" t="inlineStr">
        <is>
          <t>JÄMTLANDS LÄN</t>
        </is>
      </c>
      <c r="E447" t="inlineStr">
        <is>
          <t>KROKOM</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908-2020</t>
        </is>
      </c>
      <c r="B448" s="1" t="n">
        <v>43818</v>
      </c>
      <c r="C448" s="1" t="n">
        <v>45358</v>
      </c>
      <c r="D448" t="inlineStr">
        <is>
          <t>JÄMTLANDS LÄN</t>
        </is>
      </c>
      <c r="E448" t="inlineStr">
        <is>
          <t>KROKOM</t>
        </is>
      </c>
      <c r="G448" t="n">
        <v>5.8</v>
      </c>
      <c r="H448" t="n">
        <v>0</v>
      </c>
      <c r="I448" t="n">
        <v>0</v>
      </c>
      <c r="J448" t="n">
        <v>0</v>
      </c>
      <c r="K448" t="n">
        <v>0</v>
      </c>
      <c r="L448" t="n">
        <v>0</v>
      </c>
      <c r="M448" t="n">
        <v>0</v>
      </c>
      <c r="N448" t="n">
        <v>0</v>
      </c>
      <c r="O448" t="n">
        <v>0</v>
      </c>
      <c r="P448" t="n">
        <v>0</v>
      </c>
      <c r="Q448" t="n">
        <v>0</v>
      </c>
      <c r="R448" s="2" t="inlineStr"/>
    </row>
    <row r="449" ht="15" customHeight="1">
      <c r="A449" t="inlineStr">
        <is>
          <t>A 911-2020</t>
        </is>
      </c>
      <c r="B449" s="1" t="n">
        <v>43818</v>
      </c>
      <c r="C449" s="1" t="n">
        <v>45358</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69010-2019</t>
        </is>
      </c>
      <c r="B450" s="1" t="n">
        <v>43826</v>
      </c>
      <c r="C450" s="1" t="n">
        <v>45358</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68996-2019</t>
        </is>
      </c>
      <c r="B451" s="1" t="n">
        <v>43826</v>
      </c>
      <c r="C451" s="1" t="n">
        <v>45358</v>
      </c>
      <c r="D451" t="inlineStr">
        <is>
          <t>JÄMTLANDS LÄN</t>
        </is>
      </c>
      <c r="E451" t="inlineStr">
        <is>
          <t>KROKOM</t>
        </is>
      </c>
      <c r="G451" t="n">
        <v>5</v>
      </c>
      <c r="H451" t="n">
        <v>0</v>
      </c>
      <c r="I451" t="n">
        <v>0</v>
      </c>
      <c r="J451" t="n">
        <v>0</v>
      </c>
      <c r="K451" t="n">
        <v>0</v>
      </c>
      <c r="L451" t="n">
        <v>0</v>
      </c>
      <c r="M451" t="n">
        <v>0</v>
      </c>
      <c r="N451" t="n">
        <v>0</v>
      </c>
      <c r="O451" t="n">
        <v>0</v>
      </c>
      <c r="P451" t="n">
        <v>0</v>
      </c>
      <c r="Q451" t="n">
        <v>0</v>
      </c>
      <c r="R451" s="2" t="inlineStr"/>
    </row>
    <row r="452" ht="15" customHeight="1">
      <c r="A452" t="inlineStr">
        <is>
          <t>A 12-2020</t>
        </is>
      </c>
      <c r="B452" s="1" t="n">
        <v>43831</v>
      </c>
      <c r="C452" s="1" t="n">
        <v>45358</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327-2020</t>
        </is>
      </c>
      <c r="B453" s="1" t="n">
        <v>43837</v>
      </c>
      <c r="C453" s="1" t="n">
        <v>45358</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735-2020</t>
        </is>
      </c>
      <c r="B454" s="1" t="n">
        <v>43838</v>
      </c>
      <c r="C454" s="1" t="n">
        <v>45358</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4599-2020</t>
        </is>
      </c>
      <c r="B455" s="1" t="n">
        <v>43858</v>
      </c>
      <c r="C455" s="1" t="n">
        <v>45358</v>
      </c>
      <c r="D455" t="inlineStr">
        <is>
          <t>JÄMTLANDS LÄN</t>
        </is>
      </c>
      <c r="E455" t="inlineStr">
        <is>
          <t>KROKOM</t>
        </is>
      </c>
      <c r="G455" t="n">
        <v>32.1</v>
      </c>
      <c r="H455" t="n">
        <v>0</v>
      </c>
      <c r="I455" t="n">
        <v>0</v>
      </c>
      <c r="J455" t="n">
        <v>0</v>
      </c>
      <c r="K455" t="n">
        <v>0</v>
      </c>
      <c r="L455" t="n">
        <v>0</v>
      </c>
      <c r="M455" t="n">
        <v>0</v>
      </c>
      <c r="N455" t="n">
        <v>0</v>
      </c>
      <c r="O455" t="n">
        <v>0</v>
      </c>
      <c r="P455" t="n">
        <v>0</v>
      </c>
      <c r="Q455" t="n">
        <v>0</v>
      </c>
      <c r="R455" s="2" t="inlineStr"/>
    </row>
    <row r="456" ht="15" customHeight="1">
      <c r="A456" t="inlineStr">
        <is>
          <t>A 4762-2020</t>
        </is>
      </c>
      <c r="B456" s="1" t="n">
        <v>43859</v>
      </c>
      <c r="C456" s="1" t="n">
        <v>45358</v>
      </c>
      <c r="D456" t="inlineStr">
        <is>
          <t>JÄMTLANDS LÄN</t>
        </is>
      </c>
      <c r="E456" t="inlineStr">
        <is>
          <t>KROKOM</t>
        </is>
      </c>
      <c r="G456" t="n">
        <v>2.2</v>
      </c>
      <c r="H456" t="n">
        <v>0</v>
      </c>
      <c r="I456" t="n">
        <v>0</v>
      </c>
      <c r="J456" t="n">
        <v>0</v>
      </c>
      <c r="K456" t="n">
        <v>0</v>
      </c>
      <c r="L456" t="n">
        <v>0</v>
      </c>
      <c r="M456" t="n">
        <v>0</v>
      </c>
      <c r="N456" t="n">
        <v>0</v>
      </c>
      <c r="O456" t="n">
        <v>0</v>
      </c>
      <c r="P456" t="n">
        <v>0</v>
      </c>
      <c r="Q456" t="n">
        <v>0</v>
      </c>
      <c r="R456" s="2" t="inlineStr"/>
    </row>
    <row r="457" ht="15" customHeight="1">
      <c r="A457" t="inlineStr">
        <is>
          <t>A 5337-2020</t>
        </is>
      </c>
      <c r="B457" s="1" t="n">
        <v>43860</v>
      </c>
      <c r="C457" s="1" t="n">
        <v>45358</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8110-2020</t>
        </is>
      </c>
      <c r="B458" s="1" t="n">
        <v>43874</v>
      </c>
      <c r="C458" s="1" t="n">
        <v>45358</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8380-2020</t>
        </is>
      </c>
      <c r="B459" s="1" t="n">
        <v>43874</v>
      </c>
      <c r="C459" s="1" t="n">
        <v>45358</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9049-2020</t>
        </is>
      </c>
      <c r="B460" s="1" t="n">
        <v>43879</v>
      </c>
      <c r="C460" s="1" t="n">
        <v>45358</v>
      </c>
      <c r="D460" t="inlineStr">
        <is>
          <t>JÄMTLANDS LÄN</t>
        </is>
      </c>
      <c r="E460" t="inlineStr">
        <is>
          <t>KROKOM</t>
        </is>
      </c>
      <c r="G460" t="n">
        <v>9.5</v>
      </c>
      <c r="H460" t="n">
        <v>0</v>
      </c>
      <c r="I460" t="n">
        <v>0</v>
      </c>
      <c r="J460" t="n">
        <v>0</v>
      </c>
      <c r="K460" t="n">
        <v>0</v>
      </c>
      <c r="L460" t="n">
        <v>0</v>
      </c>
      <c r="M460" t="n">
        <v>0</v>
      </c>
      <c r="N460" t="n">
        <v>0</v>
      </c>
      <c r="O460" t="n">
        <v>0</v>
      </c>
      <c r="P460" t="n">
        <v>0</v>
      </c>
      <c r="Q460" t="n">
        <v>0</v>
      </c>
      <c r="R460" s="2" t="inlineStr"/>
    </row>
    <row r="461" ht="15" customHeight="1">
      <c r="A461" t="inlineStr">
        <is>
          <t>A 9091-2020</t>
        </is>
      </c>
      <c r="B461" s="1" t="n">
        <v>43879</v>
      </c>
      <c r="C461" s="1" t="n">
        <v>45358</v>
      </c>
      <c r="D461" t="inlineStr">
        <is>
          <t>JÄMTLANDS LÄN</t>
        </is>
      </c>
      <c r="E461" t="inlineStr">
        <is>
          <t>KROKOM</t>
        </is>
      </c>
      <c r="G461" t="n">
        <v>13.4</v>
      </c>
      <c r="H461" t="n">
        <v>0</v>
      </c>
      <c r="I461" t="n">
        <v>0</v>
      </c>
      <c r="J461" t="n">
        <v>0</v>
      </c>
      <c r="K461" t="n">
        <v>0</v>
      </c>
      <c r="L461" t="n">
        <v>0</v>
      </c>
      <c r="M461" t="n">
        <v>0</v>
      </c>
      <c r="N461" t="n">
        <v>0</v>
      </c>
      <c r="O461" t="n">
        <v>0</v>
      </c>
      <c r="P461" t="n">
        <v>0</v>
      </c>
      <c r="Q461" t="n">
        <v>0</v>
      </c>
      <c r="R461" s="2" t="inlineStr"/>
    </row>
    <row r="462" ht="15" customHeight="1">
      <c r="A462" t="inlineStr">
        <is>
          <t>A 9412-2020</t>
        </is>
      </c>
      <c r="B462" s="1" t="n">
        <v>43880</v>
      </c>
      <c r="C462" s="1" t="n">
        <v>45358</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10206-2020</t>
        </is>
      </c>
      <c r="B463" s="1" t="n">
        <v>43885</v>
      </c>
      <c r="C463" s="1" t="n">
        <v>45358</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10180-2020</t>
        </is>
      </c>
      <c r="B464" s="1" t="n">
        <v>43887</v>
      </c>
      <c r="C464" s="1" t="n">
        <v>45358</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11021-2020</t>
        </is>
      </c>
      <c r="B465" s="1" t="n">
        <v>43889</v>
      </c>
      <c r="C465" s="1" t="n">
        <v>45358</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11500-2020</t>
        </is>
      </c>
      <c r="B466" s="1" t="n">
        <v>43893</v>
      </c>
      <c r="C466" s="1" t="n">
        <v>45358</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11487-2020</t>
        </is>
      </c>
      <c r="B467" s="1" t="n">
        <v>43893</v>
      </c>
      <c r="C467" s="1" t="n">
        <v>45358</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13367-2020</t>
        </is>
      </c>
      <c r="B468" s="1" t="n">
        <v>43894</v>
      </c>
      <c r="C468" s="1" t="n">
        <v>45358</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12914-2020</t>
        </is>
      </c>
      <c r="B469" s="1" t="n">
        <v>43900</v>
      </c>
      <c r="C469" s="1" t="n">
        <v>45358</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13502-2020</t>
        </is>
      </c>
      <c r="B470" s="1" t="n">
        <v>43900</v>
      </c>
      <c r="C470" s="1" t="n">
        <v>45358</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12908-2020</t>
        </is>
      </c>
      <c r="B471" s="1" t="n">
        <v>43900</v>
      </c>
      <c r="C471" s="1" t="n">
        <v>45358</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14281-2020</t>
        </is>
      </c>
      <c r="B472" s="1" t="n">
        <v>43907</v>
      </c>
      <c r="C472" s="1" t="n">
        <v>45358</v>
      </c>
      <c r="D472" t="inlineStr">
        <is>
          <t>JÄMTLANDS LÄN</t>
        </is>
      </c>
      <c r="E472" t="inlineStr">
        <is>
          <t>KROKOM</t>
        </is>
      </c>
      <c r="G472" t="n">
        <v>31.3</v>
      </c>
      <c r="H472" t="n">
        <v>0</v>
      </c>
      <c r="I472" t="n">
        <v>0</v>
      </c>
      <c r="J472" t="n">
        <v>0</v>
      </c>
      <c r="K472" t="n">
        <v>0</v>
      </c>
      <c r="L472" t="n">
        <v>0</v>
      </c>
      <c r="M472" t="n">
        <v>0</v>
      </c>
      <c r="N472" t="n">
        <v>0</v>
      </c>
      <c r="O472" t="n">
        <v>0</v>
      </c>
      <c r="P472" t="n">
        <v>0</v>
      </c>
      <c r="Q472" t="n">
        <v>0</v>
      </c>
      <c r="R472" s="2" t="inlineStr"/>
    </row>
    <row r="473" ht="15" customHeight="1">
      <c r="A473" t="inlineStr">
        <is>
          <t>A 14285-2020</t>
        </is>
      </c>
      <c r="B473" s="1" t="n">
        <v>43907</v>
      </c>
      <c r="C473" s="1" t="n">
        <v>45358</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15315-2020</t>
        </is>
      </c>
      <c r="B474" s="1" t="n">
        <v>43913</v>
      </c>
      <c r="C474" s="1" t="n">
        <v>45358</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17527-2020</t>
        </is>
      </c>
      <c r="B475" s="1" t="n">
        <v>43920</v>
      </c>
      <c r="C475" s="1" t="n">
        <v>45358</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18445-2020</t>
        </is>
      </c>
      <c r="B476" s="1" t="n">
        <v>43927</v>
      </c>
      <c r="C476" s="1" t="n">
        <v>45358</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18591-2020</t>
        </is>
      </c>
      <c r="B477" s="1" t="n">
        <v>43928</v>
      </c>
      <c r="C477" s="1" t="n">
        <v>45358</v>
      </c>
      <c r="D477" t="inlineStr">
        <is>
          <t>JÄMTLANDS LÄN</t>
        </is>
      </c>
      <c r="E477" t="inlineStr">
        <is>
          <t>KROKOM</t>
        </is>
      </c>
      <c r="G477" t="n">
        <v>13.6</v>
      </c>
      <c r="H477" t="n">
        <v>0</v>
      </c>
      <c r="I477" t="n">
        <v>0</v>
      </c>
      <c r="J477" t="n">
        <v>0</v>
      </c>
      <c r="K477" t="n">
        <v>0</v>
      </c>
      <c r="L477" t="n">
        <v>0</v>
      </c>
      <c r="M477" t="n">
        <v>0</v>
      </c>
      <c r="N477" t="n">
        <v>0</v>
      </c>
      <c r="O477" t="n">
        <v>0</v>
      </c>
      <c r="P477" t="n">
        <v>0</v>
      </c>
      <c r="Q477" t="n">
        <v>0</v>
      </c>
      <c r="R477" s="2" t="inlineStr"/>
    </row>
    <row r="478" ht="15" customHeight="1">
      <c r="A478" t="inlineStr">
        <is>
          <t>A 19031-2020</t>
        </is>
      </c>
      <c r="B478" s="1" t="n">
        <v>43936</v>
      </c>
      <c r="C478" s="1" t="n">
        <v>45358</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19827-2020</t>
        </is>
      </c>
      <c r="B479" s="1" t="n">
        <v>43938</v>
      </c>
      <c r="C479" s="1" t="n">
        <v>45358</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19648-2020</t>
        </is>
      </c>
      <c r="B480" s="1" t="n">
        <v>43941</v>
      </c>
      <c r="C480" s="1" t="n">
        <v>45358</v>
      </c>
      <c r="D480" t="inlineStr">
        <is>
          <t>JÄMTLANDS LÄN</t>
        </is>
      </c>
      <c r="E480" t="inlineStr">
        <is>
          <t>KROKOM</t>
        </is>
      </c>
      <c r="G480" t="n">
        <v>21.6</v>
      </c>
      <c r="H480" t="n">
        <v>0</v>
      </c>
      <c r="I480" t="n">
        <v>0</v>
      </c>
      <c r="J480" t="n">
        <v>0</v>
      </c>
      <c r="K480" t="n">
        <v>0</v>
      </c>
      <c r="L480" t="n">
        <v>0</v>
      </c>
      <c r="M480" t="n">
        <v>0</v>
      </c>
      <c r="N480" t="n">
        <v>0</v>
      </c>
      <c r="O480" t="n">
        <v>0</v>
      </c>
      <c r="P480" t="n">
        <v>0</v>
      </c>
      <c r="Q480" t="n">
        <v>0</v>
      </c>
      <c r="R480" s="2" t="inlineStr"/>
    </row>
    <row r="481" ht="15" customHeight="1">
      <c r="A481" t="inlineStr">
        <is>
          <t>A 19777-2020</t>
        </is>
      </c>
      <c r="B481" s="1" t="n">
        <v>43942</v>
      </c>
      <c r="C481" s="1" t="n">
        <v>45358</v>
      </c>
      <c r="D481" t="inlineStr">
        <is>
          <t>JÄMTLANDS LÄN</t>
        </is>
      </c>
      <c r="E481" t="inlineStr">
        <is>
          <t>KROKOM</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19768-2020</t>
        </is>
      </c>
      <c r="B482" s="1" t="n">
        <v>43942</v>
      </c>
      <c r="C482" s="1" t="n">
        <v>45358</v>
      </c>
      <c r="D482" t="inlineStr">
        <is>
          <t>JÄMTLANDS LÄN</t>
        </is>
      </c>
      <c r="E482" t="inlineStr">
        <is>
          <t>KROKOM</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21106-2020</t>
        </is>
      </c>
      <c r="B483" s="1" t="n">
        <v>43951</v>
      </c>
      <c r="C483" s="1" t="n">
        <v>45358</v>
      </c>
      <c r="D483" t="inlineStr">
        <is>
          <t>JÄMTLANDS LÄN</t>
        </is>
      </c>
      <c r="E483" t="inlineStr">
        <is>
          <t>KROKOM</t>
        </is>
      </c>
      <c r="G483" t="n">
        <v>17.7</v>
      </c>
      <c r="H483" t="n">
        <v>0</v>
      </c>
      <c r="I483" t="n">
        <v>0</v>
      </c>
      <c r="J483" t="n">
        <v>0</v>
      </c>
      <c r="K483" t="n">
        <v>0</v>
      </c>
      <c r="L483" t="n">
        <v>0</v>
      </c>
      <c r="M483" t="n">
        <v>0</v>
      </c>
      <c r="N483" t="n">
        <v>0</v>
      </c>
      <c r="O483" t="n">
        <v>0</v>
      </c>
      <c r="P483" t="n">
        <v>0</v>
      </c>
      <c r="Q483" t="n">
        <v>0</v>
      </c>
      <c r="R483" s="2" t="inlineStr"/>
    </row>
    <row r="484" ht="15" customHeight="1">
      <c r="A484" t="inlineStr">
        <is>
          <t>A 21144-2020</t>
        </is>
      </c>
      <c r="B484" s="1" t="n">
        <v>43951</v>
      </c>
      <c r="C484" s="1" t="n">
        <v>45358</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21443-2020</t>
        </is>
      </c>
      <c r="B485" s="1" t="n">
        <v>43955</v>
      </c>
      <c r="C485" s="1" t="n">
        <v>45358</v>
      </c>
      <c r="D485" t="inlineStr">
        <is>
          <t>JÄMTLANDS LÄN</t>
        </is>
      </c>
      <c r="E485" t="inlineStr">
        <is>
          <t>KROKOM</t>
        </is>
      </c>
      <c r="G485" t="n">
        <v>7.7</v>
      </c>
      <c r="H485" t="n">
        <v>0</v>
      </c>
      <c r="I485" t="n">
        <v>0</v>
      </c>
      <c r="J485" t="n">
        <v>0</v>
      </c>
      <c r="K485" t="n">
        <v>0</v>
      </c>
      <c r="L485" t="n">
        <v>0</v>
      </c>
      <c r="M485" t="n">
        <v>0</v>
      </c>
      <c r="N485" t="n">
        <v>0</v>
      </c>
      <c r="O485" t="n">
        <v>0</v>
      </c>
      <c r="P485" t="n">
        <v>0</v>
      </c>
      <c r="Q485" t="n">
        <v>0</v>
      </c>
      <c r="R485" s="2" t="inlineStr"/>
    </row>
    <row r="486" ht="15" customHeight="1">
      <c r="A486" t="inlineStr">
        <is>
          <t>A 22005-2020</t>
        </is>
      </c>
      <c r="B486" s="1" t="n">
        <v>43959</v>
      </c>
      <c r="C486" s="1" t="n">
        <v>45358</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25520-2020</t>
        </is>
      </c>
      <c r="B487" s="1" t="n">
        <v>43983</v>
      </c>
      <c r="C487" s="1" t="n">
        <v>45358</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25489-2020</t>
        </is>
      </c>
      <c r="B488" s="1" t="n">
        <v>43983</v>
      </c>
      <c r="C488" s="1" t="n">
        <v>45358</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27056-2020</t>
        </is>
      </c>
      <c r="B489" s="1" t="n">
        <v>43991</v>
      </c>
      <c r="C489" s="1" t="n">
        <v>45358</v>
      </c>
      <c r="D489" t="inlineStr">
        <is>
          <t>JÄMTLANDS LÄN</t>
        </is>
      </c>
      <c r="E489" t="inlineStr">
        <is>
          <t>KROKOM</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30368-2020</t>
        </is>
      </c>
      <c r="B490" s="1" t="n">
        <v>44007</v>
      </c>
      <c r="C490" s="1" t="n">
        <v>45358</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31421-2020</t>
        </is>
      </c>
      <c r="B491" s="1" t="n">
        <v>44013</v>
      </c>
      <c r="C491" s="1" t="n">
        <v>45358</v>
      </c>
      <c r="D491" t="inlineStr">
        <is>
          <t>JÄMTLANDS LÄN</t>
        </is>
      </c>
      <c r="E491" t="inlineStr">
        <is>
          <t>KROKOM</t>
        </is>
      </c>
      <c r="G491" t="n">
        <v>14.1</v>
      </c>
      <c r="H491" t="n">
        <v>0</v>
      </c>
      <c r="I491" t="n">
        <v>0</v>
      </c>
      <c r="J491" t="n">
        <v>0</v>
      </c>
      <c r="K491" t="n">
        <v>0</v>
      </c>
      <c r="L491" t="n">
        <v>0</v>
      </c>
      <c r="M491" t="n">
        <v>0</v>
      </c>
      <c r="N491" t="n">
        <v>0</v>
      </c>
      <c r="O491" t="n">
        <v>0</v>
      </c>
      <c r="P491" t="n">
        <v>0</v>
      </c>
      <c r="Q491" t="n">
        <v>0</v>
      </c>
      <c r="R491" s="2" t="inlineStr"/>
    </row>
    <row r="492" ht="15" customHeight="1">
      <c r="A492" t="inlineStr">
        <is>
          <t>A 32084-2020</t>
        </is>
      </c>
      <c r="B492" s="1" t="n">
        <v>44015</v>
      </c>
      <c r="C492" s="1" t="n">
        <v>45358</v>
      </c>
      <c r="D492" t="inlineStr">
        <is>
          <t>JÄMTLANDS LÄN</t>
        </is>
      </c>
      <c r="E492" t="inlineStr">
        <is>
          <t>KROKOM</t>
        </is>
      </c>
      <c r="G492" t="n">
        <v>3</v>
      </c>
      <c r="H492" t="n">
        <v>0</v>
      </c>
      <c r="I492" t="n">
        <v>0</v>
      </c>
      <c r="J492" t="n">
        <v>0</v>
      </c>
      <c r="K492" t="n">
        <v>0</v>
      </c>
      <c r="L492" t="n">
        <v>0</v>
      </c>
      <c r="M492" t="n">
        <v>0</v>
      </c>
      <c r="N492" t="n">
        <v>0</v>
      </c>
      <c r="O492" t="n">
        <v>0</v>
      </c>
      <c r="P492" t="n">
        <v>0</v>
      </c>
      <c r="Q492" t="n">
        <v>0</v>
      </c>
      <c r="R492" s="2" t="inlineStr"/>
    </row>
    <row r="493" ht="15" customHeight="1">
      <c r="A493" t="inlineStr">
        <is>
          <t>A 34469-2020</t>
        </is>
      </c>
      <c r="B493" s="1" t="n">
        <v>44032</v>
      </c>
      <c r="C493" s="1" t="n">
        <v>45358</v>
      </c>
      <c r="D493" t="inlineStr">
        <is>
          <t>JÄMTLANDS LÄN</t>
        </is>
      </c>
      <c r="E493" t="inlineStr">
        <is>
          <t>KROKOM</t>
        </is>
      </c>
      <c r="G493" t="n">
        <v>0.8</v>
      </c>
      <c r="H493" t="n">
        <v>0</v>
      </c>
      <c r="I493" t="n">
        <v>0</v>
      </c>
      <c r="J493" t="n">
        <v>0</v>
      </c>
      <c r="K493" t="n">
        <v>0</v>
      </c>
      <c r="L493" t="n">
        <v>0</v>
      </c>
      <c r="M493" t="n">
        <v>0</v>
      </c>
      <c r="N493" t="n">
        <v>0</v>
      </c>
      <c r="O493" t="n">
        <v>0</v>
      </c>
      <c r="P493" t="n">
        <v>0</v>
      </c>
      <c r="Q493" t="n">
        <v>0</v>
      </c>
      <c r="R493" s="2" t="inlineStr"/>
    </row>
    <row r="494" ht="15" customHeight="1">
      <c r="A494" t="inlineStr">
        <is>
          <t>A 34619-2020</t>
        </is>
      </c>
      <c r="B494" s="1" t="n">
        <v>44033</v>
      </c>
      <c r="C494" s="1" t="n">
        <v>45358</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34954-2020</t>
        </is>
      </c>
      <c r="B495" s="1" t="n">
        <v>44038</v>
      </c>
      <c r="C495" s="1" t="n">
        <v>45358</v>
      </c>
      <c r="D495" t="inlineStr">
        <is>
          <t>JÄMTLANDS LÄN</t>
        </is>
      </c>
      <c r="E495" t="inlineStr">
        <is>
          <t>KROKOM</t>
        </is>
      </c>
      <c r="G495" t="n">
        <v>14.3</v>
      </c>
      <c r="H495" t="n">
        <v>0</v>
      </c>
      <c r="I495" t="n">
        <v>0</v>
      </c>
      <c r="J495" t="n">
        <v>0</v>
      </c>
      <c r="K495" t="n">
        <v>0</v>
      </c>
      <c r="L495" t="n">
        <v>0</v>
      </c>
      <c r="M495" t="n">
        <v>0</v>
      </c>
      <c r="N495" t="n">
        <v>0</v>
      </c>
      <c r="O495" t="n">
        <v>0</v>
      </c>
      <c r="P495" t="n">
        <v>0</v>
      </c>
      <c r="Q495" t="n">
        <v>0</v>
      </c>
      <c r="R495" s="2" t="inlineStr"/>
    </row>
    <row r="496" ht="15" customHeight="1">
      <c r="A496" t="inlineStr">
        <is>
          <t>A 36098-2020</t>
        </is>
      </c>
      <c r="B496" s="1" t="n">
        <v>44048</v>
      </c>
      <c r="C496" s="1" t="n">
        <v>45358</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36698-2020</t>
        </is>
      </c>
      <c r="B497" s="1" t="n">
        <v>44050</v>
      </c>
      <c r="C497" s="1" t="n">
        <v>45358</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36523-2020</t>
        </is>
      </c>
      <c r="B498" s="1" t="n">
        <v>44050</v>
      </c>
      <c r="C498" s="1" t="n">
        <v>45358</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36696-2020</t>
        </is>
      </c>
      <c r="B499" s="1" t="n">
        <v>44050</v>
      </c>
      <c r="C499" s="1" t="n">
        <v>45358</v>
      </c>
      <c r="D499" t="inlineStr">
        <is>
          <t>JÄMTLANDS LÄN</t>
        </is>
      </c>
      <c r="E499" t="inlineStr">
        <is>
          <t>KROKOM</t>
        </is>
      </c>
      <c r="G499" t="n">
        <v>8</v>
      </c>
      <c r="H499" t="n">
        <v>0</v>
      </c>
      <c r="I499" t="n">
        <v>0</v>
      </c>
      <c r="J499" t="n">
        <v>0</v>
      </c>
      <c r="K499" t="n">
        <v>0</v>
      </c>
      <c r="L499" t="n">
        <v>0</v>
      </c>
      <c r="M499" t="n">
        <v>0</v>
      </c>
      <c r="N499" t="n">
        <v>0</v>
      </c>
      <c r="O499" t="n">
        <v>0</v>
      </c>
      <c r="P499" t="n">
        <v>0</v>
      </c>
      <c r="Q499" t="n">
        <v>0</v>
      </c>
      <c r="R499" s="2" t="inlineStr"/>
    </row>
    <row r="500" ht="15" customHeight="1">
      <c r="A500" t="inlineStr">
        <is>
          <t>A 38001-2020</t>
        </is>
      </c>
      <c r="B500" s="1" t="n">
        <v>44057</v>
      </c>
      <c r="C500" s="1" t="n">
        <v>45358</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38720-2020</t>
        </is>
      </c>
      <c r="B501" s="1" t="n">
        <v>44061</v>
      </c>
      <c r="C501" s="1" t="n">
        <v>45358</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38866-2020</t>
        </is>
      </c>
      <c r="B502" s="1" t="n">
        <v>44062</v>
      </c>
      <c r="C502" s="1" t="n">
        <v>45358</v>
      </c>
      <c r="D502" t="inlineStr">
        <is>
          <t>JÄMTLANDS LÄN</t>
        </is>
      </c>
      <c r="E502" t="inlineStr">
        <is>
          <t>KROKOM</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42385-2020</t>
        </is>
      </c>
      <c r="B503" s="1" t="n">
        <v>44076</v>
      </c>
      <c r="C503" s="1" t="n">
        <v>45358</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42550-2020</t>
        </is>
      </c>
      <c r="B504" s="1" t="n">
        <v>44077</v>
      </c>
      <c r="C504" s="1" t="n">
        <v>45358</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45602-2020</t>
        </is>
      </c>
      <c r="B505" s="1" t="n">
        <v>44090</v>
      </c>
      <c r="C505" s="1" t="n">
        <v>45358</v>
      </c>
      <c r="D505" t="inlineStr">
        <is>
          <t>JÄMTLANDS LÄN</t>
        </is>
      </c>
      <c r="E505" t="inlineStr">
        <is>
          <t>KROKOM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46589-2020</t>
        </is>
      </c>
      <c r="B506" s="1" t="n">
        <v>44095</v>
      </c>
      <c r="C506" s="1" t="n">
        <v>45358</v>
      </c>
      <c r="D506" t="inlineStr">
        <is>
          <t>JÄMTLANDS LÄN</t>
        </is>
      </c>
      <c r="E506" t="inlineStr">
        <is>
          <t>KROKOM</t>
        </is>
      </c>
      <c r="G506" t="n">
        <v>8.5</v>
      </c>
      <c r="H506" t="n">
        <v>0</v>
      </c>
      <c r="I506" t="n">
        <v>0</v>
      </c>
      <c r="J506" t="n">
        <v>0</v>
      </c>
      <c r="K506" t="n">
        <v>0</v>
      </c>
      <c r="L506" t="n">
        <v>0</v>
      </c>
      <c r="M506" t="n">
        <v>0</v>
      </c>
      <c r="N506" t="n">
        <v>0</v>
      </c>
      <c r="O506" t="n">
        <v>0</v>
      </c>
      <c r="P506" t="n">
        <v>0</v>
      </c>
      <c r="Q506" t="n">
        <v>0</v>
      </c>
      <c r="R506" s="2" t="inlineStr"/>
    </row>
    <row r="507" ht="15" customHeight="1">
      <c r="A507" t="inlineStr">
        <is>
          <t>A 46597-2020</t>
        </is>
      </c>
      <c r="B507" s="1" t="n">
        <v>44095</v>
      </c>
      <c r="C507" s="1" t="n">
        <v>45358</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49037-2020</t>
        </is>
      </c>
      <c r="B508" s="1" t="n">
        <v>44102</v>
      </c>
      <c r="C508" s="1" t="n">
        <v>45358</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48610-2020</t>
        </is>
      </c>
      <c r="B509" s="1" t="n">
        <v>44103</v>
      </c>
      <c r="C509" s="1" t="n">
        <v>45358</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49697-2020</t>
        </is>
      </c>
      <c r="B510" s="1" t="n">
        <v>44106</v>
      </c>
      <c r="C510" s="1" t="n">
        <v>45358</v>
      </c>
      <c r="D510" t="inlineStr">
        <is>
          <t>JÄMTLANDS LÄN</t>
        </is>
      </c>
      <c r="E510" t="inlineStr">
        <is>
          <t>KROKOM</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51719-2020</t>
        </is>
      </c>
      <c r="B511" s="1" t="n">
        <v>44113</v>
      </c>
      <c r="C511" s="1" t="n">
        <v>45358</v>
      </c>
      <c r="D511" t="inlineStr">
        <is>
          <t>JÄMTLANDS LÄN</t>
        </is>
      </c>
      <c r="E511" t="inlineStr">
        <is>
          <t>KROKOM</t>
        </is>
      </c>
      <c r="F511" t="inlineStr">
        <is>
          <t>SCA</t>
        </is>
      </c>
      <c r="G511" t="n">
        <v>9</v>
      </c>
      <c r="H511" t="n">
        <v>0</v>
      </c>
      <c r="I511" t="n">
        <v>0</v>
      </c>
      <c r="J511" t="n">
        <v>0</v>
      </c>
      <c r="K511" t="n">
        <v>0</v>
      </c>
      <c r="L511" t="n">
        <v>0</v>
      </c>
      <c r="M511" t="n">
        <v>0</v>
      </c>
      <c r="N511" t="n">
        <v>0</v>
      </c>
      <c r="O511" t="n">
        <v>0</v>
      </c>
      <c r="P511" t="n">
        <v>0</v>
      </c>
      <c r="Q511" t="n">
        <v>0</v>
      </c>
      <c r="R511" s="2" t="inlineStr"/>
    </row>
    <row r="512" ht="15" customHeight="1">
      <c r="A512" t="inlineStr">
        <is>
          <t>A 51717-2020</t>
        </is>
      </c>
      <c r="B512" s="1" t="n">
        <v>44113</v>
      </c>
      <c r="C512" s="1" t="n">
        <v>45358</v>
      </c>
      <c r="D512" t="inlineStr">
        <is>
          <t>JÄMTLANDS LÄN</t>
        </is>
      </c>
      <c r="E512" t="inlineStr">
        <is>
          <t>KROKOM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52487-2020</t>
        </is>
      </c>
      <c r="B513" s="1" t="n">
        <v>44113</v>
      </c>
      <c r="C513" s="1" t="n">
        <v>45358</v>
      </c>
      <c r="D513" t="inlineStr">
        <is>
          <t>JÄMTLANDS LÄN</t>
        </is>
      </c>
      <c r="E513" t="inlineStr">
        <is>
          <t>KROKOM</t>
        </is>
      </c>
      <c r="F513" t="inlineStr">
        <is>
          <t>SCA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52491-2020</t>
        </is>
      </c>
      <c r="B514" s="1" t="n">
        <v>44113</v>
      </c>
      <c r="C514" s="1" t="n">
        <v>45358</v>
      </c>
      <c r="D514" t="inlineStr">
        <is>
          <t>JÄMTLANDS LÄN</t>
        </is>
      </c>
      <c r="E514" t="inlineStr">
        <is>
          <t>KROKOM</t>
        </is>
      </c>
      <c r="G514" t="n">
        <v>2.7</v>
      </c>
      <c r="H514" t="n">
        <v>0</v>
      </c>
      <c r="I514" t="n">
        <v>0</v>
      </c>
      <c r="J514" t="n">
        <v>0</v>
      </c>
      <c r="K514" t="n">
        <v>0</v>
      </c>
      <c r="L514" t="n">
        <v>0</v>
      </c>
      <c r="M514" t="n">
        <v>0</v>
      </c>
      <c r="N514" t="n">
        <v>0</v>
      </c>
      <c r="O514" t="n">
        <v>0</v>
      </c>
      <c r="P514" t="n">
        <v>0</v>
      </c>
      <c r="Q514" t="n">
        <v>0</v>
      </c>
      <c r="R514" s="2" t="inlineStr"/>
    </row>
    <row r="515" ht="15" customHeight="1">
      <c r="A515" t="inlineStr">
        <is>
          <t>A 52626-2020</t>
        </is>
      </c>
      <c r="B515" s="1" t="n">
        <v>44119</v>
      </c>
      <c r="C515" s="1" t="n">
        <v>45358</v>
      </c>
      <c r="D515" t="inlineStr">
        <is>
          <t>JÄMTLANDS LÄN</t>
        </is>
      </c>
      <c r="E515" t="inlineStr">
        <is>
          <t>KROKOM</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53241-2020</t>
        </is>
      </c>
      <c r="B516" s="1" t="n">
        <v>44123</v>
      </c>
      <c r="C516" s="1" t="n">
        <v>45358</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53501-2020</t>
        </is>
      </c>
      <c r="B517" s="1" t="n">
        <v>44123</v>
      </c>
      <c r="C517" s="1" t="n">
        <v>45358</v>
      </c>
      <c r="D517" t="inlineStr">
        <is>
          <t>JÄMTLANDS LÄN</t>
        </is>
      </c>
      <c r="E517" t="inlineStr">
        <is>
          <t>KROKOM</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53499-2020</t>
        </is>
      </c>
      <c r="B518" s="1" t="n">
        <v>44123</v>
      </c>
      <c r="C518" s="1" t="n">
        <v>45358</v>
      </c>
      <c r="D518" t="inlineStr">
        <is>
          <t>JÄMTLANDS LÄN</t>
        </is>
      </c>
      <c r="E518" t="inlineStr">
        <is>
          <t>KROKOM</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53500-2020</t>
        </is>
      </c>
      <c r="B519" s="1" t="n">
        <v>44123</v>
      </c>
      <c r="C519" s="1" t="n">
        <v>45358</v>
      </c>
      <c r="D519" t="inlineStr">
        <is>
          <t>JÄMTLANDS LÄN</t>
        </is>
      </c>
      <c r="E519" t="inlineStr">
        <is>
          <t>KROKOM</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54575-2020</t>
        </is>
      </c>
      <c r="B520" s="1" t="n">
        <v>44126</v>
      </c>
      <c r="C520" s="1" t="n">
        <v>45358</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54582-2020</t>
        </is>
      </c>
      <c r="B521" s="1" t="n">
        <v>44127</v>
      </c>
      <c r="C521" s="1" t="n">
        <v>45358</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56203-2020</t>
        </is>
      </c>
      <c r="B522" s="1" t="n">
        <v>44133</v>
      </c>
      <c r="C522" s="1" t="n">
        <v>45358</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56596-2020</t>
        </is>
      </c>
      <c r="B523" s="1" t="n">
        <v>44133</v>
      </c>
      <c r="C523" s="1" t="n">
        <v>45358</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56168-2020</t>
        </is>
      </c>
      <c r="B524" s="1" t="n">
        <v>44133</v>
      </c>
      <c r="C524" s="1" t="n">
        <v>45358</v>
      </c>
      <c r="D524" t="inlineStr">
        <is>
          <t>JÄMTLANDS LÄN</t>
        </is>
      </c>
      <c r="E524" t="inlineStr">
        <is>
          <t>KROKOM</t>
        </is>
      </c>
      <c r="G524" t="n">
        <v>3.5</v>
      </c>
      <c r="H524" t="n">
        <v>0</v>
      </c>
      <c r="I524" t="n">
        <v>0</v>
      </c>
      <c r="J524" t="n">
        <v>0</v>
      </c>
      <c r="K524" t="n">
        <v>0</v>
      </c>
      <c r="L524" t="n">
        <v>0</v>
      </c>
      <c r="M524" t="n">
        <v>0</v>
      </c>
      <c r="N524" t="n">
        <v>0</v>
      </c>
      <c r="O524" t="n">
        <v>0</v>
      </c>
      <c r="P524" t="n">
        <v>0</v>
      </c>
      <c r="Q524" t="n">
        <v>0</v>
      </c>
      <c r="R524" s="2" t="inlineStr"/>
    </row>
    <row r="525" ht="15" customHeight="1">
      <c r="A525" t="inlineStr">
        <is>
          <t>A 57375-2020</t>
        </is>
      </c>
      <c r="B525" s="1" t="n">
        <v>44139</v>
      </c>
      <c r="C525" s="1" t="n">
        <v>45358</v>
      </c>
      <c r="D525" t="inlineStr">
        <is>
          <t>JÄMTLANDS LÄN</t>
        </is>
      </c>
      <c r="E525" t="inlineStr">
        <is>
          <t>KROKOM</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57726-2020</t>
        </is>
      </c>
      <c r="B526" s="1" t="n">
        <v>44140</v>
      </c>
      <c r="C526" s="1" t="n">
        <v>45358</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57728-2020</t>
        </is>
      </c>
      <c r="B527" s="1" t="n">
        <v>44140</v>
      </c>
      <c r="C527" s="1" t="n">
        <v>45358</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58378-2020</t>
        </is>
      </c>
      <c r="B528" s="1" t="n">
        <v>44141</v>
      </c>
      <c r="C528" s="1" t="n">
        <v>45358</v>
      </c>
      <c r="D528" t="inlineStr">
        <is>
          <t>JÄMTLANDS LÄN</t>
        </is>
      </c>
      <c r="E528" t="inlineStr">
        <is>
          <t>KROKOM</t>
        </is>
      </c>
      <c r="G528" t="n">
        <v>14.4</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45358</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58868-2020</t>
        </is>
      </c>
      <c r="B530" s="1" t="n">
        <v>44146</v>
      </c>
      <c r="C530" s="1" t="n">
        <v>45358</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59778-2020</t>
        </is>
      </c>
      <c r="B531" s="1" t="n">
        <v>44148</v>
      </c>
      <c r="C531" s="1" t="n">
        <v>45358</v>
      </c>
      <c r="D531" t="inlineStr">
        <is>
          <t>JÄMTLANDS LÄN</t>
        </is>
      </c>
      <c r="E531" t="inlineStr">
        <is>
          <t>KROKOM</t>
        </is>
      </c>
      <c r="G531" t="n">
        <v>39.3</v>
      </c>
      <c r="H531" t="n">
        <v>0</v>
      </c>
      <c r="I531" t="n">
        <v>0</v>
      </c>
      <c r="J531" t="n">
        <v>0</v>
      </c>
      <c r="K531" t="n">
        <v>0</v>
      </c>
      <c r="L531" t="n">
        <v>0</v>
      </c>
      <c r="M531" t="n">
        <v>0</v>
      </c>
      <c r="N531" t="n">
        <v>0</v>
      </c>
      <c r="O531" t="n">
        <v>0</v>
      </c>
      <c r="P531" t="n">
        <v>0</v>
      </c>
      <c r="Q531" t="n">
        <v>0</v>
      </c>
      <c r="R531" s="2" t="inlineStr"/>
    </row>
    <row r="532" ht="15" customHeight="1">
      <c r="A532" t="inlineStr">
        <is>
          <t>A 59718-2020</t>
        </is>
      </c>
      <c r="B532" s="1" t="n">
        <v>44151</v>
      </c>
      <c r="C532" s="1" t="n">
        <v>45358</v>
      </c>
      <c r="D532" t="inlineStr">
        <is>
          <t>JÄMTLANDS LÄN</t>
        </is>
      </c>
      <c r="E532" t="inlineStr">
        <is>
          <t>KROKOM</t>
        </is>
      </c>
      <c r="G532" t="n">
        <v>3.7</v>
      </c>
      <c r="H532" t="n">
        <v>0</v>
      </c>
      <c r="I532" t="n">
        <v>0</v>
      </c>
      <c r="J532" t="n">
        <v>0</v>
      </c>
      <c r="K532" t="n">
        <v>0</v>
      </c>
      <c r="L532" t="n">
        <v>0</v>
      </c>
      <c r="M532" t="n">
        <v>0</v>
      </c>
      <c r="N532" t="n">
        <v>0</v>
      </c>
      <c r="O532" t="n">
        <v>0</v>
      </c>
      <c r="P532" t="n">
        <v>0</v>
      </c>
      <c r="Q532" t="n">
        <v>0</v>
      </c>
      <c r="R532" s="2" t="inlineStr"/>
    </row>
    <row r="533" ht="15" customHeight="1">
      <c r="A533" t="inlineStr">
        <is>
          <t>A 59706-2020</t>
        </is>
      </c>
      <c r="B533" s="1" t="n">
        <v>44151</v>
      </c>
      <c r="C533" s="1" t="n">
        <v>45358</v>
      </c>
      <c r="D533" t="inlineStr">
        <is>
          <t>JÄMTLANDS LÄN</t>
        </is>
      </c>
      <c r="E533" t="inlineStr">
        <is>
          <t>KROKOM</t>
        </is>
      </c>
      <c r="G533" t="n">
        <v>75</v>
      </c>
      <c r="H533" t="n">
        <v>0</v>
      </c>
      <c r="I533" t="n">
        <v>0</v>
      </c>
      <c r="J533" t="n">
        <v>0</v>
      </c>
      <c r="K533" t="n">
        <v>0</v>
      </c>
      <c r="L533" t="n">
        <v>0</v>
      </c>
      <c r="M533" t="n">
        <v>0</v>
      </c>
      <c r="N533" t="n">
        <v>0</v>
      </c>
      <c r="O533" t="n">
        <v>0</v>
      </c>
      <c r="P533" t="n">
        <v>0</v>
      </c>
      <c r="Q533" t="n">
        <v>0</v>
      </c>
      <c r="R533" s="2" t="inlineStr"/>
    </row>
    <row r="534" ht="15" customHeight="1">
      <c r="A534" t="inlineStr">
        <is>
          <t>A 61091-2020</t>
        </is>
      </c>
      <c r="B534" s="1" t="n">
        <v>44153</v>
      </c>
      <c r="C534" s="1" t="n">
        <v>45358</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61609-2020</t>
        </is>
      </c>
      <c r="B535" s="1" t="n">
        <v>44154</v>
      </c>
      <c r="C535" s="1" t="n">
        <v>45358</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60928-2020</t>
        </is>
      </c>
      <c r="B536" s="1" t="n">
        <v>44154</v>
      </c>
      <c r="C536" s="1" t="n">
        <v>45358</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62406-2020</t>
        </is>
      </c>
      <c r="B537" s="1" t="n">
        <v>44159</v>
      </c>
      <c r="C537" s="1" t="n">
        <v>45358</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63821-2020</t>
        </is>
      </c>
      <c r="B538" s="1" t="n">
        <v>44161</v>
      </c>
      <c r="C538" s="1" t="n">
        <v>45358</v>
      </c>
      <c r="D538" t="inlineStr">
        <is>
          <t>JÄMTLANDS LÄN</t>
        </is>
      </c>
      <c r="E538" t="inlineStr">
        <is>
          <t>KROKOM</t>
        </is>
      </c>
      <c r="G538" t="n">
        <v>6.8</v>
      </c>
      <c r="H538" t="n">
        <v>0</v>
      </c>
      <c r="I538" t="n">
        <v>0</v>
      </c>
      <c r="J538" t="n">
        <v>0</v>
      </c>
      <c r="K538" t="n">
        <v>0</v>
      </c>
      <c r="L538" t="n">
        <v>0</v>
      </c>
      <c r="M538" t="n">
        <v>0</v>
      </c>
      <c r="N538" t="n">
        <v>0</v>
      </c>
      <c r="O538" t="n">
        <v>0</v>
      </c>
      <c r="P538" t="n">
        <v>0</v>
      </c>
      <c r="Q538" t="n">
        <v>0</v>
      </c>
      <c r="R538" s="2" t="inlineStr"/>
    </row>
    <row r="539" ht="15" customHeight="1">
      <c r="A539" t="inlineStr">
        <is>
          <t>A 63701-2020</t>
        </is>
      </c>
      <c r="B539" s="1" t="n">
        <v>44162</v>
      </c>
      <c r="C539" s="1" t="n">
        <v>45358</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63787-2020</t>
        </is>
      </c>
      <c r="B540" s="1" t="n">
        <v>44162</v>
      </c>
      <c r="C540" s="1" t="n">
        <v>45358</v>
      </c>
      <c r="D540" t="inlineStr">
        <is>
          <t>JÄMTLANDS LÄN</t>
        </is>
      </c>
      <c r="E540" t="inlineStr">
        <is>
          <t>KROKOM</t>
        </is>
      </c>
      <c r="G540" t="n">
        <v>60.3</v>
      </c>
      <c r="H540" t="n">
        <v>0</v>
      </c>
      <c r="I540" t="n">
        <v>0</v>
      </c>
      <c r="J540" t="n">
        <v>0</v>
      </c>
      <c r="K540" t="n">
        <v>0</v>
      </c>
      <c r="L540" t="n">
        <v>0</v>
      </c>
      <c r="M540" t="n">
        <v>0</v>
      </c>
      <c r="N540" t="n">
        <v>0</v>
      </c>
      <c r="O540" t="n">
        <v>0</v>
      </c>
      <c r="P540" t="n">
        <v>0</v>
      </c>
      <c r="Q540" t="n">
        <v>0</v>
      </c>
      <c r="R540" s="2" t="inlineStr"/>
    </row>
    <row r="541" ht="15" customHeight="1">
      <c r="A541" t="inlineStr">
        <is>
          <t>A 64777-2020</t>
        </is>
      </c>
      <c r="B541" s="1" t="n">
        <v>44167</v>
      </c>
      <c r="C541" s="1" t="n">
        <v>45358</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65433-2020</t>
        </is>
      </c>
      <c r="B542" s="1" t="n">
        <v>44169</v>
      </c>
      <c r="C542" s="1" t="n">
        <v>45358</v>
      </c>
      <c r="D542" t="inlineStr">
        <is>
          <t>JÄMTLANDS LÄN</t>
        </is>
      </c>
      <c r="E542" t="inlineStr">
        <is>
          <t>KROKOM</t>
        </is>
      </c>
      <c r="G542" t="n">
        <v>0.3</v>
      </c>
      <c r="H542" t="n">
        <v>0</v>
      </c>
      <c r="I542" t="n">
        <v>0</v>
      </c>
      <c r="J542" t="n">
        <v>0</v>
      </c>
      <c r="K542" t="n">
        <v>0</v>
      </c>
      <c r="L542" t="n">
        <v>0</v>
      </c>
      <c r="M542" t="n">
        <v>0</v>
      </c>
      <c r="N542" t="n">
        <v>0</v>
      </c>
      <c r="O542" t="n">
        <v>0</v>
      </c>
      <c r="P542" t="n">
        <v>0</v>
      </c>
      <c r="Q542" t="n">
        <v>0</v>
      </c>
      <c r="R542" s="2" t="inlineStr"/>
    </row>
    <row r="543" ht="15" customHeight="1">
      <c r="A543" t="inlineStr">
        <is>
          <t>A 65451-2020</t>
        </is>
      </c>
      <c r="B543" s="1" t="n">
        <v>44169</v>
      </c>
      <c r="C543" s="1" t="n">
        <v>45358</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65787-2020</t>
        </is>
      </c>
      <c r="B544" s="1" t="n">
        <v>44172</v>
      </c>
      <c r="C544" s="1" t="n">
        <v>45358</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65783-2020</t>
        </is>
      </c>
      <c r="B545" s="1" t="n">
        <v>44172</v>
      </c>
      <c r="C545" s="1" t="n">
        <v>45358</v>
      </c>
      <c r="D545" t="inlineStr">
        <is>
          <t>JÄMTLANDS LÄN</t>
        </is>
      </c>
      <c r="E545" t="inlineStr">
        <is>
          <t>KROKOM</t>
        </is>
      </c>
      <c r="G545" t="n">
        <v>3.8</v>
      </c>
      <c r="H545" t="n">
        <v>0</v>
      </c>
      <c r="I545" t="n">
        <v>0</v>
      </c>
      <c r="J545" t="n">
        <v>0</v>
      </c>
      <c r="K545" t="n">
        <v>0</v>
      </c>
      <c r="L545" t="n">
        <v>0</v>
      </c>
      <c r="M545" t="n">
        <v>0</v>
      </c>
      <c r="N545" t="n">
        <v>0</v>
      </c>
      <c r="O545" t="n">
        <v>0</v>
      </c>
      <c r="P545" t="n">
        <v>0</v>
      </c>
      <c r="Q545" t="n">
        <v>0</v>
      </c>
      <c r="R545" s="2" t="inlineStr"/>
    </row>
    <row r="546" ht="15" customHeight="1">
      <c r="A546" t="inlineStr">
        <is>
          <t>A 65316-2020</t>
        </is>
      </c>
      <c r="B546" s="1" t="n">
        <v>44173</v>
      </c>
      <c r="C546" s="1" t="n">
        <v>45358</v>
      </c>
      <c r="D546" t="inlineStr">
        <is>
          <t>JÄMTLANDS LÄN</t>
        </is>
      </c>
      <c r="E546" t="inlineStr">
        <is>
          <t>KROKOM</t>
        </is>
      </c>
      <c r="F546" t="inlineStr">
        <is>
          <t>Övriga Aktiebolag</t>
        </is>
      </c>
      <c r="G546" t="n">
        <v>12.5</v>
      </c>
      <c r="H546" t="n">
        <v>0</v>
      </c>
      <c r="I546" t="n">
        <v>0</v>
      </c>
      <c r="J546" t="n">
        <v>0</v>
      </c>
      <c r="K546" t="n">
        <v>0</v>
      </c>
      <c r="L546" t="n">
        <v>0</v>
      </c>
      <c r="M546" t="n">
        <v>0</v>
      </c>
      <c r="N546" t="n">
        <v>0</v>
      </c>
      <c r="O546" t="n">
        <v>0</v>
      </c>
      <c r="P546" t="n">
        <v>0</v>
      </c>
      <c r="Q546" t="n">
        <v>0</v>
      </c>
      <c r="R546" s="2" t="inlineStr"/>
    </row>
    <row r="547" ht="15" customHeight="1">
      <c r="A547" t="inlineStr">
        <is>
          <t>A 66784-2020</t>
        </is>
      </c>
      <c r="B547" s="1" t="n">
        <v>44175</v>
      </c>
      <c r="C547" s="1" t="n">
        <v>45358</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66774-2020</t>
        </is>
      </c>
      <c r="B548" s="1" t="n">
        <v>44175</v>
      </c>
      <c r="C548" s="1" t="n">
        <v>45358</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45358</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68060-2020</t>
        </is>
      </c>
      <c r="B550" s="1" t="n">
        <v>44183</v>
      </c>
      <c r="C550" s="1" t="n">
        <v>45358</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68387-2020</t>
        </is>
      </c>
      <c r="B551" s="1" t="n">
        <v>44183</v>
      </c>
      <c r="C551" s="1" t="n">
        <v>45358</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68393-2020</t>
        </is>
      </c>
      <c r="B552" s="1" t="n">
        <v>44183</v>
      </c>
      <c r="C552" s="1" t="n">
        <v>45358</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68433-2020</t>
        </is>
      </c>
      <c r="B553" s="1" t="n">
        <v>44183</v>
      </c>
      <c r="C553" s="1" t="n">
        <v>45358</v>
      </c>
      <c r="D553" t="inlineStr">
        <is>
          <t>JÄMTLANDS LÄN</t>
        </is>
      </c>
      <c r="E553" t="inlineStr">
        <is>
          <t>KROKOM</t>
        </is>
      </c>
      <c r="G553" t="n">
        <v>7.4</v>
      </c>
      <c r="H553" t="n">
        <v>0</v>
      </c>
      <c r="I553" t="n">
        <v>0</v>
      </c>
      <c r="J553" t="n">
        <v>0</v>
      </c>
      <c r="K553" t="n">
        <v>0</v>
      </c>
      <c r="L553" t="n">
        <v>0</v>
      </c>
      <c r="M553" t="n">
        <v>0</v>
      </c>
      <c r="N553" t="n">
        <v>0</v>
      </c>
      <c r="O553" t="n">
        <v>0</v>
      </c>
      <c r="P553" t="n">
        <v>0</v>
      </c>
      <c r="Q553" t="n">
        <v>0</v>
      </c>
      <c r="R553" s="2" t="inlineStr"/>
    </row>
    <row r="554" ht="15" customHeight="1">
      <c r="A554" t="inlineStr">
        <is>
          <t>A 68395-2020</t>
        </is>
      </c>
      <c r="B554" s="1" t="n">
        <v>44183</v>
      </c>
      <c r="C554" s="1" t="n">
        <v>45358</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68658-2020</t>
        </is>
      </c>
      <c r="B555" s="1" t="n">
        <v>44186</v>
      </c>
      <c r="C555" s="1" t="n">
        <v>45358</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68764-2020</t>
        </is>
      </c>
      <c r="B556" s="1" t="n">
        <v>44186</v>
      </c>
      <c r="C556" s="1" t="n">
        <v>45358</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45358</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327-2021</t>
        </is>
      </c>
      <c r="B558" s="1" t="n">
        <v>44200</v>
      </c>
      <c r="C558" s="1" t="n">
        <v>45358</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45358</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45358</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913-2021</t>
        </is>
      </c>
      <c r="B561" s="1" t="n">
        <v>44207</v>
      </c>
      <c r="C561" s="1" t="n">
        <v>45358</v>
      </c>
      <c r="D561" t="inlineStr">
        <is>
          <t>JÄMTLANDS LÄN</t>
        </is>
      </c>
      <c r="E561" t="inlineStr">
        <is>
          <t>KROKOM</t>
        </is>
      </c>
      <c r="F561" t="inlineStr">
        <is>
          <t>Övriga Aktiebolag</t>
        </is>
      </c>
      <c r="G561" t="n">
        <v>50.8</v>
      </c>
      <c r="H561" t="n">
        <v>0</v>
      </c>
      <c r="I561" t="n">
        <v>0</v>
      </c>
      <c r="J561" t="n">
        <v>0</v>
      </c>
      <c r="K561" t="n">
        <v>0</v>
      </c>
      <c r="L561" t="n">
        <v>0</v>
      </c>
      <c r="M561" t="n">
        <v>0</v>
      </c>
      <c r="N561" t="n">
        <v>0</v>
      </c>
      <c r="O561" t="n">
        <v>0</v>
      </c>
      <c r="P561" t="n">
        <v>0</v>
      </c>
      <c r="Q561" t="n">
        <v>0</v>
      </c>
      <c r="R561" s="2" t="inlineStr"/>
    </row>
    <row r="562" ht="15" customHeight="1">
      <c r="A562" t="inlineStr">
        <is>
          <t>A 981-2021</t>
        </is>
      </c>
      <c r="B562" s="1" t="n">
        <v>44207</v>
      </c>
      <c r="C562" s="1" t="n">
        <v>45358</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915-2021</t>
        </is>
      </c>
      <c r="B563" s="1" t="n">
        <v>44207</v>
      </c>
      <c r="C563" s="1" t="n">
        <v>45358</v>
      </c>
      <c r="D563" t="inlineStr">
        <is>
          <t>JÄMTLANDS LÄN</t>
        </is>
      </c>
      <c r="E563" t="inlineStr">
        <is>
          <t>KROKOM</t>
        </is>
      </c>
      <c r="F563" t="inlineStr">
        <is>
          <t>Övriga Aktiebolag</t>
        </is>
      </c>
      <c r="G563" t="n">
        <v>107.9</v>
      </c>
      <c r="H563" t="n">
        <v>0</v>
      </c>
      <c r="I563" t="n">
        <v>0</v>
      </c>
      <c r="J563" t="n">
        <v>0</v>
      </c>
      <c r="K563" t="n">
        <v>0</v>
      </c>
      <c r="L563" t="n">
        <v>0</v>
      </c>
      <c r="M563" t="n">
        <v>0</v>
      </c>
      <c r="N563" t="n">
        <v>0</v>
      </c>
      <c r="O563" t="n">
        <v>0</v>
      </c>
      <c r="P563" t="n">
        <v>0</v>
      </c>
      <c r="Q563" t="n">
        <v>0</v>
      </c>
      <c r="R563" s="2" t="inlineStr"/>
    </row>
    <row r="564" ht="15" customHeight="1">
      <c r="A564" t="inlineStr">
        <is>
          <t>A 1287-2021</t>
        </is>
      </c>
      <c r="B564" s="1" t="n">
        <v>44207</v>
      </c>
      <c r="C564" s="1" t="n">
        <v>45358</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1696-2021</t>
        </is>
      </c>
      <c r="B565" s="1" t="n">
        <v>44209</v>
      </c>
      <c r="C565" s="1" t="n">
        <v>45358</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1718-2021</t>
        </is>
      </c>
      <c r="B566" s="1" t="n">
        <v>44209</v>
      </c>
      <c r="C566" s="1" t="n">
        <v>45358</v>
      </c>
      <c r="D566" t="inlineStr">
        <is>
          <t>JÄMTLANDS LÄN</t>
        </is>
      </c>
      <c r="E566" t="inlineStr">
        <is>
          <t>KROKOM</t>
        </is>
      </c>
      <c r="G566" t="n">
        <v>8</v>
      </c>
      <c r="H566" t="n">
        <v>0</v>
      </c>
      <c r="I566" t="n">
        <v>0</v>
      </c>
      <c r="J566" t="n">
        <v>0</v>
      </c>
      <c r="K566" t="n">
        <v>0</v>
      </c>
      <c r="L566" t="n">
        <v>0</v>
      </c>
      <c r="M566" t="n">
        <v>0</v>
      </c>
      <c r="N566" t="n">
        <v>0</v>
      </c>
      <c r="O566" t="n">
        <v>0</v>
      </c>
      <c r="P566" t="n">
        <v>0</v>
      </c>
      <c r="Q566" t="n">
        <v>0</v>
      </c>
      <c r="R566" s="2" t="inlineStr"/>
    </row>
    <row r="567" ht="15" customHeight="1">
      <c r="A567" t="inlineStr">
        <is>
          <t>A 1753-2021</t>
        </is>
      </c>
      <c r="B567" s="1" t="n">
        <v>44209</v>
      </c>
      <c r="C567" s="1" t="n">
        <v>45358</v>
      </c>
      <c r="D567" t="inlineStr">
        <is>
          <t>JÄMTLANDS LÄN</t>
        </is>
      </c>
      <c r="E567" t="inlineStr">
        <is>
          <t>KROKOM</t>
        </is>
      </c>
      <c r="G567" t="n">
        <v>17.2</v>
      </c>
      <c r="H567" t="n">
        <v>0</v>
      </c>
      <c r="I567" t="n">
        <v>0</v>
      </c>
      <c r="J567" t="n">
        <v>0</v>
      </c>
      <c r="K567" t="n">
        <v>0</v>
      </c>
      <c r="L567" t="n">
        <v>0</v>
      </c>
      <c r="M567" t="n">
        <v>0</v>
      </c>
      <c r="N567" t="n">
        <v>0</v>
      </c>
      <c r="O567" t="n">
        <v>0</v>
      </c>
      <c r="P567" t="n">
        <v>0</v>
      </c>
      <c r="Q567" t="n">
        <v>0</v>
      </c>
      <c r="R567" s="2" t="inlineStr"/>
    </row>
    <row r="568" ht="15" customHeight="1">
      <c r="A568" t="inlineStr">
        <is>
          <t>A 1756-2021</t>
        </is>
      </c>
      <c r="B568" s="1" t="n">
        <v>44209</v>
      </c>
      <c r="C568" s="1" t="n">
        <v>45358</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2062-2021</t>
        </is>
      </c>
      <c r="B569" s="1" t="n">
        <v>44211</v>
      </c>
      <c r="C569" s="1" t="n">
        <v>45358</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2356-2021</t>
        </is>
      </c>
      <c r="B570" s="1" t="n">
        <v>44214</v>
      </c>
      <c r="C570" s="1" t="n">
        <v>45358</v>
      </c>
      <c r="D570" t="inlineStr">
        <is>
          <t>JÄMTLANDS LÄN</t>
        </is>
      </c>
      <c r="E570" t="inlineStr">
        <is>
          <t>KROKOM</t>
        </is>
      </c>
      <c r="G570" t="n">
        <v>22.6</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45358</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2427-2021</t>
        </is>
      </c>
      <c r="B572" s="1" t="n">
        <v>44214</v>
      </c>
      <c r="C572" s="1" t="n">
        <v>45358</v>
      </c>
      <c r="D572" t="inlineStr">
        <is>
          <t>JÄMTLANDS LÄN</t>
        </is>
      </c>
      <c r="E572" t="inlineStr">
        <is>
          <t>KROKOM</t>
        </is>
      </c>
      <c r="G572" t="n">
        <v>20.5</v>
      </c>
      <c r="H572" t="n">
        <v>0</v>
      </c>
      <c r="I572" t="n">
        <v>0</v>
      </c>
      <c r="J572" t="n">
        <v>0</v>
      </c>
      <c r="K572" t="n">
        <v>0</v>
      </c>
      <c r="L572" t="n">
        <v>0</v>
      </c>
      <c r="M572" t="n">
        <v>0</v>
      </c>
      <c r="N572" t="n">
        <v>0</v>
      </c>
      <c r="O572" t="n">
        <v>0</v>
      </c>
      <c r="P572" t="n">
        <v>0</v>
      </c>
      <c r="Q572" t="n">
        <v>0</v>
      </c>
      <c r="R572" s="2" t="inlineStr"/>
    </row>
    <row r="573" ht="15" customHeight="1">
      <c r="A573" t="inlineStr">
        <is>
          <t>A 2442-2021</t>
        </is>
      </c>
      <c r="B573" s="1" t="n">
        <v>44214</v>
      </c>
      <c r="C573" s="1" t="n">
        <v>45358</v>
      </c>
      <c r="D573" t="inlineStr">
        <is>
          <t>JÄMTLANDS LÄN</t>
        </is>
      </c>
      <c r="E573" t="inlineStr">
        <is>
          <t>KROKOM</t>
        </is>
      </c>
      <c r="G573" t="n">
        <v>25.4</v>
      </c>
      <c r="H573" t="n">
        <v>0</v>
      </c>
      <c r="I573" t="n">
        <v>0</v>
      </c>
      <c r="J573" t="n">
        <v>0</v>
      </c>
      <c r="K573" t="n">
        <v>0</v>
      </c>
      <c r="L573" t="n">
        <v>0</v>
      </c>
      <c r="M573" t="n">
        <v>0</v>
      </c>
      <c r="N573" t="n">
        <v>0</v>
      </c>
      <c r="O573" t="n">
        <v>0</v>
      </c>
      <c r="P573" t="n">
        <v>0</v>
      </c>
      <c r="Q573" t="n">
        <v>0</v>
      </c>
      <c r="R573" s="2" t="inlineStr"/>
    </row>
    <row r="574" ht="15" customHeight="1">
      <c r="A574" t="inlineStr">
        <is>
          <t>A 2451-2021</t>
        </is>
      </c>
      <c r="B574" s="1" t="n">
        <v>44214</v>
      </c>
      <c r="C574" s="1" t="n">
        <v>45358</v>
      </c>
      <c r="D574" t="inlineStr">
        <is>
          <t>JÄMTLANDS LÄN</t>
        </is>
      </c>
      <c r="E574" t="inlineStr">
        <is>
          <t>KROKOM</t>
        </is>
      </c>
      <c r="G574" t="n">
        <v>29.5</v>
      </c>
      <c r="H574" t="n">
        <v>0</v>
      </c>
      <c r="I574" t="n">
        <v>0</v>
      </c>
      <c r="J574" t="n">
        <v>0</v>
      </c>
      <c r="K574" t="n">
        <v>0</v>
      </c>
      <c r="L574" t="n">
        <v>0</v>
      </c>
      <c r="M574" t="n">
        <v>0</v>
      </c>
      <c r="N574" t="n">
        <v>0</v>
      </c>
      <c r="O574" t="n">
        <v>0</v>
      </c>
      <c r="P574" t="n">
        <v>0</v>
      </c>
      <c r="Q574" t="n">
        <v>0</v>
      </c>
      <c r="R574" s="2" t="inlineStr"/>
    </row>
    <row r="575" ht="15" customHeight="1">
      <c r="A575" t="inlineStr">
        <is>
          <t>A 2568-2021</t>
        </is>
      </c>
      <c r="B575" s="1" t="n">
        <v>44214</v>
      </c>
      <c r="C575" s="1" t="n">
        <v>45358</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5422-2021</t>
        </is>
      </c>
      <c r="B576" s="1" t="n">
        <v>44228</v>
      </c>
      <c r="C576" s="1" t="n">
        <v>45358</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8154-2021</t>
        </is>
      </c>
      <c r="B577" s="1" t="n">
        <v>44243</v>
      </c>
      <c r="C577" s="1" t="n">
        <v>45358</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8302-2021</t>
        </is>
      </c>
      <c r="B578" s="1" t="n">
        <v>44244</v>
      </c>
      <c r="C578" s="1" t="n">
        <v>45358</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10008-2021</t>
        </is>
      </c>
      <c r="B579" s="1" t="n">
        <v>44255</v>
      </c>
      <c r="C579" s="1" t="n">
        <v>45358</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10303-2021</t>
        </is>
      </c>
      <c r="B580" s="1" t="n">
        <v>44256</v>
      </c>
      <c r="C580" s="1" t="n">
        <v>45358</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11117-2021</t>
        </is>
      </c>
      <c r="B581" s="1" t="n">
        <v>44260</v>
      </c>
      <c r="C581" s="1" t="n">
        <v>45358</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11530-2021</t>
        </is>
      </c>
      <c r="B582" s="1" t="n">
        <v>44263</v>
      </c>
      <c r="C582" s="1" t="n">
        <v>45358</v>
      </c>
      <c r="D582" t="inlineStr">
        <is>
          <t>JÄMTLANDS LÄN</t>
        </is>
      </c>
      <c r="E582" t="inlineStr">
        <is>
          <t>KROKOM</t>
        </is>
      </c>
      <c r="G582" t="n">
        <v>9</v>
      </c>
      <c r="H582" t="n">
        <v>0</v>
      </c>
      <c r="I582" t="n">
        <v>0</v>
      </c>
      <c r="J582" t="n">
        <v>0</v>
      </c>
      <c r="K582" t="n">
        <v>0</v>
      </c>
      <c r="L582" t="n">
        <v>0</v>
      </c>
      <c r="M582" t="n">
        <v>0</v>
      </c>
      <c r="N582" t="n">
        <v>0</v>
      </c>
      <c r="O582" t="n">
        <v>0</v>
      </c>
      <c r="P582" t="n">
        <v>0</v>
      </c>
      <c r="Q582" t="n">
        <v>0</v>
      </c>
      <c r="R582" s="2" t="inlineStr"/>
    </row>
    <row r="583" ht="15" customHeight="1">
      <c r="A583" t="inlineStr">
        <is>
          <t>A 12721-2021</t>
        </is>
      </c>
      <c r="B583" s="1" t="n">
        <v>44270</v>
      </c>
      <c r="C583" s="1" t="n">
        <v>45358</v>
      </c>
      <c r="D583" t="inlineStr">
        <is>
          <t>JÄMTLANDS LÄN</t>
        </is>
      </c>
      <c r="E583" t="inlineStr">
        <is>
          <t>KROKOM</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12884-2021</t>
        </is>
      </c>
      <c r="B584" s="1" t="n">
        <v>44271</v>
      </c>
      <c r="C584" s="1" t="n">
        <v>45358</v>
      </c>
      <c r="D584" t="inlineStr">
        <is>
          <t>JÄMTLANDS LÄN</t>
        </is>
      </c>
      <c r="E584" t="inlineStr">
        <is>
          <t>KROKOM</t>
        </is>
      </c>
      <c r="G584" t="n">
        <v>5.5</v>
      </c>
      <c r="H584" t="n">
        <v>0</v>
      </c>
      <c r="I584" t="n">
        <v>0</v>
      </c>
      <c r="J584" t="n">
        <v>0</v>
      </c>
      <c r="K584" t="n">
        <v>0</v>
      </c>
      <c r="L584" t="n">
        <v>0</v>
      </c>
      <c r="M584" t="n">
        <v>0</v>
      </c>
      <c r="N584" t="n">
        <v>0</v>
      </c>
      <c r="O584" t="n">
        <v>0</v>
      </c>
      <c r="P584" t="n">
        <v>0</v>
      </c>
      <c r="Q584" t="n">
        <v>0</v>
      </c>
      <c r="R584" s="2" t="inlineStr"/>
    </row>
    <row r="585" ht="15" customHeight="1">
      <c r="A585" t="inlineStr">
        <is>
          <t>A 12889-2021</t>
        </is>
      </c>
      <c r="B585" s="1" t="n">
        <v>44271</v>
      </c>
      <c r="C585" s="1" t="n">
        <v>45358</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13395-2021</t>
        </is>
      </c>
      <c r="B586" s="1" t="n">
        <v>44273</v>
      </c>
      <c r="C586" s="1" t="n">
        <v>45358</v>
      </c>
      <c r="D586" t="inlineStr">
        <is>
          <t>JÄMTLANDS LÄN</t>
        </is>
      </c>
      <c r="E586" t="inlineStr">
        <is>
          <t>KROKOM</t>
        </is>
      </c>
      <c r="G586" t="n">
        <v>13.7</v>
      </c>
      <c r="H586" t="n">
        <v>0</v>
      </c>
      <c r="I586" t="n">
        <v>0</v>
      </c>
      <c r="J586" t="n">
        <v>0</v>
      </c>
      <c r="K586" t="n">
        <v>0</v>
      </c>
      <c r="L586" t="n">
        <v>0</v>
      </c>
      <c r="M586" t="n">
        <v>0</v>
      </c>
      <c r="N586" t="n">
        <v>0</v>
      </c>
      <c r="O586" t="n">
        <v>0</v>
      </c>
      <c r="P586" t="n">
        <v>0</v>
      </c>
      <c r="Q586" t="n">
        <v>0</v>
      </c>
      <c r="R586" s="2" t="inlineStr"/>
    </row>
    <row r="587" ht="15" customHeight="1">
      <c r="A587" t="inlineStr">
        <is>
          <t>A 13989-2021</t>
        </is>
      </c>
      <c r="B587" s="1" t="n">
        <v>44277</v>
      </c>
      <c r="C587" s="1" t="n">
        <v>45358</v>
      </c>
      <c r="D587" t="inlineStr">
        <is>
          <t>JÄMTLANDS LÄN</t>
        </is>
      </c>
      <c r="E587" t="inlineStr">
        <is>
          <t>KROKOM</t>
        </is>
      </c>
      <c r="G587" t="n">
        <v>2.2</v>
      </c>
      <c r="H587" t="n">
        <v>0</v>
      </c>
      <c r="I587" t="n">
        <v>0</v>
      </c>
      <c r="J587" t="n">
        <v>0</v>
      </c>
      <c r="K587" t="n">
        <v>0</v>
      </c>
      <c r="L587" t="n">
        <v>0</v>
      </c>
      <c r="M587" t="n">
        <v>0</v>
      </c>
      <c r="N587" t="n">
        <v>0</v>
      </c>
      <c r="O587" t="n">
        <v>0</v>
      </c>
      <c r="P587" t="n">
        <v>0</v>
      </c>
      <c r="Q587" t="n">
        <v>0</v>
      </c>
      <c r="R587" s="2" t="inlineStr"/>
    </row>
    <row r="588" ht="15" customHeight="1">
      <c r="A588" t="inlineStr">
        <is>
          <t>A 14167-2021</t>
        </is>
      </c>
      <c r="B588" s="1" t="n">
        <v>44278</v>
      </c>
      <c r="C588" s="1" t="n">
        <v>45358</v>
      </c>
      <c r="D588" t="inlineStr">
        <is>
          <t>JÄMTLANDS LÄN</t>
        </is>
      </c>
      <c r="E588" t="inlineStr">
        <is>
          <t>KROKOM</t>
        </is>
      </c>
      <c r="G588" t="n">
        <v>5.4</v>
      </c>
      <c r="H588" t="n">
        <v>0</v>
      </c>
      <c r="I588" t="n">
        <v>0</v>
      </c>
      <c r="J588" t="n">
        <v>0</v>
      </c>
      <c r="K588" t="n">
        <v>0</v>
      </c>
      <c r="L588" t="n">
        <v>0</v>
      </c>
      <c r="M588" t="n">
        <v>0</v>
      </c>
      <c r="N588" t="n">
        <v>0</v>
      </c>
      <c r="O588" t="n">
        <v>0</v>
      </c>
      <c r="P588" t="n">
        <v>0</v>
      </c>
      <c r="Q588" t="n">
        <v>0</v>
      </c>
      <c r="R588" s="2" t="inlineStr"/>
    </row>
    <row r="589" ht="15" customHeight="1">
      <c r="A589" t="inlineStr">
        <is>
          <t>A 14593-2021</t>
        </is>
      </c>
      <c r="B589" s="1" t="n">
        <v>44279</v>
      </c>
      <c r="C589" s="1" t="n">
        <v>45358</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14598-2021</t>
        </is>
      </c>
      <c r="B590" s="1" t="n">
        <v>44279</v>
      </c>
      <c r="C590" s="1" t="n">
        <v>45358</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14591-2021</t>
        </is>
      </c>
      <c r="B591" s="1" t="n">
        <v>44279</v>
      </c>
      <c r="C591" s="1" t="n">
        <v>45358</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14595-2021</t>
        </is>
      </c>
      <c r="B592" s="1" t="n">
        <v>44279</v>
      </c>
      <c r="C592" s="1" t="n">
        <v>45358</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14592-2021</t>
        </is>
      </c>
      <c r="B593" s="1" t="n">
        <v>44279</v>
      </c>
      <c r="C593" s="1" t="n">
        <v>45358</v>
      </c>
      <c r="D593" t="inlineStr">
        <is>
          <t>JÄMTLANDS LÄN</t>
        </is>
      </c>
      <c r="E593" t="inlineStr">
        <is>
          <t>KROKOM</t>
        </is>
      </c>
      <c r="G593" t="n">
        <v>5.6</v>
      </c>
      <c r="H593" t="n">
        <v>0</v>
      </c>
      <c r="I593" t="n">
        <v>0</v>
      </c>
      <c r="J593" t="n">
        <v>0</v>
      </c>
      <c r="K593" t="n">
        <v>0</v>
      </c>
      <c r="L593" t="n">
        <v>0</v>
      </c>
      <c r="M593" t="n">
        <v>0</v>
      </c>
      <c r="N593" t="n">
        <v>0</v>
      </c>
      <c r="O593" t="n">
        <v>0</v>
      </c>
      <c r="P593" t="n">
        <v>0</v>
      </c>
      <c r="Q593" t="n">
        <v>0</v>
      </c>
      <c r="R593" s="2" t="inlineStr"/>
    </row>
    <row r="594" ht="15" customHeight="1">
      <c r="A594" t="inlineStr">
        <is>
          <t>A 14596-2021</t>
        </is>
      </c>
      <c r="B594" s="1" t="n">
        <v>44279</v>
      </c>
      <c r="C594" s="1" t="n">
        <v>45358</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15425-2021</t>
        </is>
      </c>
      <c r="B595" s="1" t="n">
        <v>44284</v>
      </c>
      <c r="C595" s="1" t="n">
        <v>45358</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15452-2021</t>
        </is>
      </c>
      <c r="B596" s="1" t="n">
        <v>44285</v>
      </c>
      <c r="C596" s="1" t="n">
        <v>45358</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15455-2021</t>
        </is>
      </c>
      <c r="B597" s="1" t="n">
        <v>44285</v>
      </c>
      <c r="C597" s="1" t="n">
        <v>45358</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15451-2021</t>
        </is>
      </c>
      <c r="B598" s="1" t="n">
        <v>44285</v>
      </c>
      <c r="C598" s="1" t="n">
        <v>45358</v>
      </c>
      <c r="D598" t="inlineStr">
        <is>
          <t>JÄMTLANDS LÄN</t>
        </is>
      </c>
      <c r="E598" t="inlineStr">
        <is>
          <t>KROKOM</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15748-2021</t>
        </is>
      </c>
      <c r="B599" s="1" t="n">
        <v>44286</v>
      </c>
      <c r="C599" s="1" t="n">
        <v>45358</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16188-2021</t>
        </is>
      </c>
      <c r="B600" s="1" t="n">
        <v>44287</v>
      </c>
      <c r="C600" s="1" t="n">
        <v>45358</v>
      </c>
      <c r="D600" t="inlineStr">
        <is>
          <t>JÄMTLANDS LÄN</t>
        </is>
      </c>
      <c r="E600" t="inlineStr">
        <is>
          <t>KROKOM</t>
        </is>
      </c>
      <c r="G600" t="n">
        <v>30.5</v>
      </c>
      <c r="H600" t="n">
        <v>0</v>
      </c>
      <c r="I600" t="n">
        <v>0</v>
      </c>
      <c r="J600" t="n">
        <v>0</v>
      </c>
      <c r="K600" t="n">
        <v>0</v>
      </c>
      <c r="L600" t="n">
        <v>0</v>
      </c>
      <c r="M600" t="n">
        <v>0</v>
      </c>
      <c r="N600" t="n">
        <v>0</v>
      </c>
      <c r="O600" t="n">
        <v>0</v>
      </c>
      <c r="P600" t="n">
        <v>0</v>
      </c>
      <c r="Q600" t="n">
        <v>0</v>
      </c>
      <c r="R600" s="2" t="inlineStr"/>
    </row>
    <row r="601" ht="15" customHeight="1">
      <c r="A601" t="inlineStr">
        <is>
          <t>A 16242-2021</t>
        </is>
      </c>
      <c r="B601" s="1" t="n">
        <v>44292</v>
      </c>
      <c r="C601" s="1" t="n">
        <v>45358</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17599-2021</t>
        </is>
      </c>
      <c r="B602" s="1" t="n">
        <v>44299</v>
      </c>
      <c r="C602" s="1" t="n">
        <v>45358</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17726-2021</t>
        </is>
      </c>
      <c r="B603" s="1" t="n">
        <v>44300</v>
      </c>
      <c r="C603" s="1" t="n">
        <v>45358</v>
      </c>
      <c r="D603" t="inlineStr">
        <is>
          <t>JÄMTLANDS LÄN</t>
        </is>
      </c>
      <c r="E603" t="inlineStr">
        <is>
          <t>KROKOM</t>
        </is>
      </c>
      <c r="G603" t="n">
        <v>30.7</v>
      </c>
      <c r="H603" t="n">
        <v>0</v>
      </c>
      <c r="I603" t="n">
        <v>0</v>
      </c>
      <c r="J603" t="n">
        <v>0</v>
      </c>
      <c r="K603" t="n">
        <v>0</v>
      </c>
      <c r="L603" t="n">
        <v>0</v>
      </c>
      <c r="M603" t="n">
        <v>0</v>
      </c>
      <c r="N603" t="n">
        <v>0</v>
      </c>
      <c r="O603" t="n">
        <v>0</v>
      </c>
      <c r="P603" t="n">
        <v>0</v>
      </c>
      <c r="Q603" t="n">
        <v>0</v>
      </c>
      <c r="R603" s="2" t="inlineStr"/>
    </row>
    <row r="604" ht="15" customHeight="1">
      <c r="A604" t="inlineStr">
        <is>
          <t>A 18544-2021</t>
        </is>
      </c>
      <c r="B604" s="1" t="n">
        <v>44306</v>
      </c>
      <c r="C604" s="1" t="n">
        <v>45358</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18731-2021</t>
        </is>
      </c>
      <c r="B605" s="1" t="n">
        <v>44307</v>
      </c>
      <c r="C605" s="1" t="n">
        <v>45358</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20405-2021</t>
        </is>
      </c>
      <c r="B606" s="1" t="n">
        <v>44312</v>
      </c>
      <c r="C606" s="1" t="n">
        <v>45358</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19984-2021</t>
        </is>
      </c>
      <c r="B607" s="1" t="n">
        <v>44313</v>
      </c>
      <c r="C607" s="1" t="n">
        <v>45358</v>
      </c>
      <c r="D607" t="inlineStr">
        <is>
          <t>JÄMTLANDS LÄN</t>
        </is>
      </c>
      <c r="E607" t="inlineStr">
        <is>
          <t>KROKOM</t>
        </is>
      </c>
      <c r="G607" t="n">
        <v>1.9</v>
      </c>
      <c r="H607" t="n">
        <v>0</v>
      </c>
      <c r="I607" t="n">
        <v>0</v>
      </c>
      <c r="J607" t="n">
        <v>0</v>
      </c>
      <c r="K607" t="n">
        <v>0</v>
      </c>
      <c r="L607" t="n">
        <v>0</v>
      </c>
      <c r="M607" t="n">
        <v>0</v>
      </c>
      <c r="N607" t="n">
        <v>0</v>
      </c>
      <c r="O607" t="n">
        <v>0</v>
      </c>
      <c r="P607" t="n">
        <v>0</v>
      </c>
      <c r="Q607" t="n">
        <v>0</v>
      </c>
      <c r="R607" s="2" t="inlineStr"/>
    </row>
    <row r="608" ht="15" customHeight="1">
      <c r="A608" t="inlineStr">
        <is>
          <t>A 21000-2021</t>
        </is>
      </c>
      <c r="B608" s="1" t="n">
        <v>44316</v>
      </c>
      <c r="C608" s="1" t="n">
        <v>45358</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22083-2021</t>
        </is>
      </c>
      <c r="B609" s="1" t="n">
        <v>44323</v>
      </c>
      <c r="C609" s="1" t="n">
        <v>45358</v>
      </c>
      <c r="D609" t="inlineStr">
        <is>
          <t>JÄMTLANDS LÄN</t>
        </is>
      </c>
      <c r="E609" t="inlineStr">
        <is>
          <t>KROKOM</t>
        </is>
      </c>
      <c r="G609" t="n">
        <v>12.3</v>
      </c>
      <c r="H609" t="n">
        <v>0</v>
      </c>
      <c r="I609" t="n">
        <v>0</v>
      </c>
      <c r="J609" t="n">
        <v>0</v>
      </c>
      <c r="K609" t="n">
        <v>0</v>
      </c>
      <c r="L609" t="n">
        <v>0</v>
      </c>
      <c r="M609" t="n">
        <v>0</v>
      </c>
      <c r="N609" t="n">
        <v>0</v>
      </c>
      <c r="O609" t="n">
        <v>0</v>
      </c>
      <c r="P609" t="n">
        <v>0</v>
      </c>
      <c r="Q609" t="n">
        <v>0</v>
      </c>
      <c r="R609" s="2" t="inlineStr"/>
    </row>
    <row r="610" ht="15" customHeight="1">
      <c r="A610" t="inlineStr">
        <is>
          <t>A 22078-2021</t>
        </is>
      </c>
      <c r="B610" s="1" t="n">
        <v>44323</v>
      </c>
      <c r="C610" s="1" t="n">
        <v>45358</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22511-2021</t>
        </is>
      </c>
      <c r="B611" s="1" t="n">
        <v>44326</v>
      </c>
      <c r="C611" s="1" t="n">
        <v>45358</v>
      </c>
      <c r="D611" t="inlineStr">
        <is>
          <t>JÄMTLANDS LÄN</t>
        </is>
      </c>
      <c r="E611" t="inlineStr">
        <is>
          <t>KROKOM</t>
        </is>
      </c>
      <c r="G611" t="n">
        <v>6.9</v>
      </c>
      <c r="H611" t="n">
        <v>0</v>
      </c>
      <c r="I611" t="n">
        <v>0</v>
      </c>
      <c r="J611" t="n">
        <v>0</v>
      </c>
      <c r="K611" t="n">
        <v>0</v>
      </c>
      <c r="L611" t="n">
        <v>0</v>
      </c>
      <c r="M611" t="n">
        <v>0</v>
      </c>
      <c r="N611" t="n">
        <v>0</v>
      </c>
      <c r="O611" t="n">
        <v>0</v>
      </c>
      <c r="P611" t="n">
        <v>0</v>
      </c>
      <c r="Q611" t="n">
        <v>0</v>
      </c>
      <c r="R611" s="2" t="inlineStr"/>
    </row>
    <row r="612" ht="15" customHeight="1">
      <c r="A612" t="inlineStr">
        <is>
          <t>A 23139-2021</t>
        </is>
      </c>
      <c r="B612" s="1" t="n">
        <v>44331</v>
      </c>
      <c r="C612" s="1" t="n">
        <v>45358</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23601-2021</t>
        </is>
      </c>
      <c r="B613" s="1" t="n">
        <v>44334</v>
      </c>
      <c r="C613" s="1" t="n">
        <v>45358</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23832-2021</t>
        </is>
      </c>
      <c r="B614" s="1" t="n">
        <v>44335</v>
      </c>
      <c r="C614" s="1" t="n">
        <v>45358</v>
      </c>
      <c r="D614" t="inlineStr">
        <is>
          <t>JÄMTLANDS LÄN</t>
        </is>
      </c>
      <c r="E614" t="inlineStr">
        <is>
          <t>KROKOM</t>
        </is>
      </c>
      <c r="G614" t="n">
        <v>20</v>
      </c>
      <c r="H614" t="n">
        <v>0</v>
      </c>
      <c r="I614" t="n">
        <v>0</v>
      </c>
      <c r="J614" t="n">
        <v>0</v>
      </c>
      <c r="K614" t="n">
        <v>0</v>
      </c>
      <c r="L614" t="n">
        <v>0</v>
      </c>
      <c r="M614" t="n">
        <v>0</v>
      </c>
      <c r="N614" t="n">
        <v>0</v>
      </c>
      <c r="O614" t="n">
        <v>0</v>
      </c>
      <c r="P614" t="n">
        <v>0</v>
      </c>
      <c r="Q614" t="n">
        <v>0</v>
      </c>
      <c r="R614" s="2" t="inlineStr"/>
    </row>
    <row r="615" ht="15" customHeight="1">
      <c r="A615" t="inlineStr">
        <is>
          <t>A 24436-2021</t>
        </is>
      </c>
      <c r="B615" s="1" t="n">
        <v>44337</v>
      </c>
      <c r="C615" s="1" t="n">
        <v>45358</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24677-2021</t>
        </is>
      </c>
      <c r="B616" s="1" t="n">
        <v>44337</v>
      </c>
      <c r="C616" s="1" t="n">
        <v>45358</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26077-2021</t>
        </is>
      </c>
      <c r="B617" s="1" t="n">
        <v>44344</v>
      </c>
      <c r="C617" s="1" t="n">
        <v>45358</v>
      </c>
      <c r="D617" t="inlineStr">
        <is>
          <t>JÄMTLANDS LÄN</t>
        </is>
      </c>
      <c r="E617" t="inlineStr">
        <is>
          <t>KROKOM</t>
        </is>
      </c>
      <c r="G617" t="n">
        <v>7.6</v>
      </c>
      <c r="H617" t="n">
        <v>0</v>
      </c>
      <c r="I617" t="n">
        <v>0</v>
      </c>
      <c r="J617" t="n">
        <v>0</v>
      </c>
      <c r="K617" t="n">
        <v>0</v>
      </c>
      <c r="L617" t="n">
        <v>0</v>
      </c>
      <c r="M617" t="n">
        <v>0</v>
      </c>
      <c r="N617" t="n">
        <v>0</v>
      </c>
      <c r="O617" t="n">
        <v>0</v>
      </c>
      <c r="P617" t="n">
        <v>0</v>
      </c>
      <c r="Q617" t="n">
        <v>0</v>
      </c>
      <c r="R617" s="2" t="inlineStr"/>
    </row>
    <row r="618" ht="15" customHeight="1">
      <c r="A618" t="inlineStr">
        <is>
          <t>A 26508-2021</t>
        </is>
      </c>
      <c r="B618" s="1" t="n">
        <v>44348</v>
      </c>
      <c r="C618" s="1" t="n">
        <v>45358</v>
      </c>
      <c r="D618" t="inlineStr">
        <is>
          <t>JÄMTLANDS LÄN</t>
        </is>
      </c>
      <c r="E618" t="inlineStr">
        <is>
          <t>KROKOM</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27000-2021</t>
        </is>
      </c>
      <c r="B619" s="1" t="n">
        <v>44349</v>
      </c>
      <c r="C619" s="1" t="n">
        <v>45358</v>
      </c>
      <c r="D619" t="inlineStr">
        <is>
          <t>JÄMTLANDS LÄN</t>
        </is>
      </c>
      <c r="E619" t="inlineStr">
        <is>
          <t>KROKOM</t>
        </is>
      </c>
      <c r="F619" t="inlineStr">
        <is>
          <t>Allmännings- och besparingsskogar</t>
        </is>
      </c>
      <c r="G619" t="n">
        <v>2.3</v>
      </c>
      <c r="H619" t="n">
        <v>0</v>
      </c>
      <c r="I619" t="n">
        <v>0</v>
      </c>
      <c r="J619" t="n">
        <v>0</v>
      </c>
      <c r="K619" t="n">
        <v>0</v>
      </c>
      <c r="L619" t="n">
        <v>0</v>
      </c>
      <c r="M619" t="n">
        <v>0</v>
      </c>
      <c r="N619" t="n">
        <v>0</v>
      </c>
      <c r="O619" t="n">
        <v>0</v>
      </c>
      <c r="P619" t="n">
        <v>0</v>
      </c>
      <c r="Q619" t="n">
        <v>0</v>
      </c>
      <c r="R619" s="2" t="inlineStr"/>
    </row>
    <row r="620" ht="15" customHeight="1">
      <c r="A620" t="inlineStr">
        <is>
          <t>A 28990-2021</t>
        </is>
      </c>
      <c r="B620" s="1" t="n">
        <v>44358</v>
      </c>
      <c r="C620" s="1" t="n">
        <v>45358</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29146-2021</t>
        </is>
      </c>
      <c r="B621" s="1" t="n">
        <v>44358</v>
      </c>
      <c r="C621" s="1" t="n">
        <v>45358</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29896-2021</t>
        </is>
      </c>
      <c r="B622" s="1" t="n">
        <v>44362</v>
      </c>
      <c r="C622" s="1" t="n">
        <v>45358</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30145-2021</t>
        </is>
      </c>
      <c r="B623" s="1" t="n">
        <v>44363</v>
      </c>
      <c r="C623" s="1" t="n">
        <v>45358</v>
      </c>
      <c r="D623" t="inlineStr">
        <is>
          <t>JÄMTLANDS LÄN</t>
        </is>
      </c>
      <c r="E623" t="inlineStr">
        <is>
          <t>KROKOM</t>
        </is>
      </c>
      <c r="G623" t="n">
        <v>5.1</v>
      </c>
      <c r="H623" t="n">
        <v>0</v>
      </c>
      <c r="I623" t="n">
        <v>0</v>
      </c>
      <c r="J623" t="n">
        <v>0</v>
      </c>
      <c r="K623" t="n">
        <v>0</v>
      </c>
      <c r="L623" t="n">
        <v>0</v>
      </c>
      <c r="M623" t="n">
        <v>0</v>
      </c>
      <c r="N623" t="n">
        <v>0</v>
      </c>
      <c r="O623" t="n">
        <v>0</v>
      </c>
      <c r="P623" t="n">
        <v>0</v>
      </c>
      <c r="Q623" t="n">
        <v>0</v>
      </c>
      <c r="R623" s="2" t="inlineStr"/>
    </row>
    <row r="624" ht="15" customHeight="1">
      <c r="A624" t="inlineStr">
        <is>
          <t>A 31467-2021</t>
        </is>
      </c>
      <c r="B624" s="1" t="n">
        <v>44369</v>
      </c>
      <c r="C624" s="1" t="n">
        <v>45358</v>
      </c>
      <c r="D624" t="inlineStr">
        <is>
          <t>JÄMTLANDS LÄN</t>
        </is>
      </c>
      <c r="E624" t="inlineStr">
        <is>
          <t>KROKOM</t>
        </is>
      </c>
      <c r="G624" t="n">
        <v>24.7</v>
      </c>
      <c r="H624" t="n">
        <v>0</v>
      </c>
      <c r="I624" t="n">
        <v>0</v>
      </c>
      <c r="J624" t="n">
        <v>0</v>
      </c>
      <c r="K624" t="n">
        <v>0</v>
      </c>
      <c r="L624" t="n">
        <v>0</v>
      </c>
      <c r="M624" t="n">
        <v>0</v>
      </c>
      <c r="N624" t="n">
        <v>0</v>
      </c>
      <c r="O624" t="n">
        <v>0</v>
      </c>
      <c r="P624" t="n">
        <v>0</v>
      </c>
      <c r="Q624" t="n">
        <v>0</v>
      </c>
      <c r="R624" s="2" t="inlineStr"/>
    </row>
    <row r="625" ht="15" customHeight="1">
      <c r="A625" t="inlineStr">
        <is>
          <t>A 31858-2021</t>
        </is>
      </c>
      <c r="B625" s="1" t="n">
        <v>44370</v>
      </c>
      <c r="C625" s="1" t="n">
        <v>45358</v>
      </c>
      <c r="D625" t="inlineStr">
        <is>
          <t>JÄMTLANDS LÄN</t>
        </is>
      </c>
      <c r="E625" t="inlineStr">
        <is>
          <t>KROKOM</t>
        </is>
      </c>
      <c r="G625" t="n">
        <v>3.5</v>
      </c>
      <c r="H625" t="n">
        <v>0</v>
      </c>
      <c r="I625" t="n">
        <v>0</v>
      </c>
      <c r="J625" t="n">
        <v>0</v>
      </c>
      <c r="K625" t="n">
        <v>0</v>
      </c>
      <c r="L625" t="n">
        <v>0</v>
      </c>
      <c r="M625" t="n">
        <v>0</v>
      </c>
      <c r="N625" t="n">
        <v>0</v>
      </c>
      <c r="O625" t="n">
        <v>0</v>
      </c>
      <c r="P625" t="n">
        <v>0</v>
      </c>
      <c r="Q625" t="n">
        <v>0</v>
      </c>
      <c r="R625" s="2" t="inlineStr"/>
    </row>
    <row r="626" ht="15" customHeight="1">
      <c r="A626" t="inlineStr">
        <is>
          <t>A 31905-2021</t>
        </is>
      </c>
      <c r="B626" s="1" t="n">
        <v>44370</v>
      </c>
      <c r="C626" s="1" t="n">
        <v>45358</v>
      </c>
      <c r="D626" t="inlineStr">
        <is>
          <t>JÄMTLANDS LÄN</t>
        </is>
      </c>
      <c r="E626" t="inlineStr">
        <is>
          <t>KROKOM</t>
        </is>
      </c>
      <c r="G626" t="n">
        <v>12.9</v>
      </c>
      <c r="H626" t="n">
        <v>0</v>
      </c>
      <c r="I626" t="n">
        <v>0</v>
      </c>
      <c r="J626" t="n">
        <v>0</v>
      </c>
      <c r="K626" t="n">
        <v>0</v>
      </c>
      <c r="L626" t="n">
        <v>0</v>
      </c>
      <c r="M626" t="n">
        <v>0</v>
      </c>
      <c r="N626" t="n">
        <v>0</v>
      </c>
      <c r="O626" t="n">
        <v>0</v>
      </c>
      <c r="P626" t="n">
        <v>0</v>
      </c>
      <c r="Q626" t="n">
        <v>0</v>
      </c>
      <c r="R626" s="2" t="inlineStr"/>
    </row>
    <row r="627" ht="15" customHeight="1">
      <c r="A627" t="inlineStr">
        <is>
          <t>A 32472-2021</t>
        </is>
      </c>
      <c r="B627" s="1" t="n">
        <v>44371</v>
      </c>
      <c r="C627" s="1" t="n">
        <v>45358</v>
      </c>
      <c r="D627" t="inlineStr">
        <is>
          <t>JÄMTLANDS LÄN</t>
        </is>
      </c>
      <c r="E627" t="inlineStr">
        <is>
          <t>KROKOM</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32693-2021</t>
        </is>
      </c>
      <c r="B628" s="1" t="n">
        <v>44375</v>
      </c>
      <c r="C628" s="1" t="n">
        <v>45358</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33189-2021</t>
        </is>
      </c>
      <c r="B629" s="1" t="n">
        <v>44376</v>
      </c>
      <c r="C629" s="1" t="n">
        <v>45358</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33320-2021</t>
        </is>
      </c>
      <c r="B630" s="1" t="n">
        <v>44377</v>
      </c>
      <c r="C630" s="1" t="n">
        <v>45358</v>
      </c>
      <c r="D630" t="inlineStr">
        <is>
          <t>JÄMTLANDS LÄN</t>
        </is>
      </c>
      <c r="E630" t="inlineStr">
        <is>
          <t>KROKOM</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33333-2021</t>
        </is>
      </c>
      <c r="B631" s="1" t="n">
        <v>44377</v>
      </c>
      <c r="C631" s="1" t="n">
        <v>45358</v>
      </c>
      <c r="D631" t="inlineStr">
        <is>
          <t>JÄMTLANDS LÄN</t>
        </is>
      </c>
      <c r="E631" t="inlineStr">
        <is>
          <t>KROKOM</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33347-2021</t>
        </is>
      </c>
      <c r="B632" s="1" t="n">
        <v>44377</v>
      </c>
      <c r="C632" s="1" t="n">
        <v>45358</v>
      </c>
      <c r="D632" t="inlineStr">
        <is>
          <t>JÄMTLANDS LÄN</t>
        </is>
      </c>
      <c r="E632" t="inlineStr">
        <is>
          <t>KROKOM</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33364-2021</t>
        </is>
      </c>
      <c r="B633" s="1" t="n">
        <v>44377</v>
      </c>
      <c r="C633" s="1" t="n">
        <v>45358</v>
      </c>
      <c r="D633" t="inlineStr">
        <is>
          <t>JÄMTLANDS LÄN</t>
        </is>
      </c>
      <c r="E633" t="inlineStr">
        <is>
          <t>KROKOM</t>
        </is>
      </c>
      <c r="F633" t="inlineStr">
        <is>
          <t>Övriga Aktiebolag</t>
        </is>
      </c>
      <c r="G633" t="n">
        <v>12.7</v>
      </c>
      <c r="H633" t="n">
        <v>0</v>
      </c>
      <c r="I633" t="n">
        <v>0</v>
      </c>
      <c r="J633" t="n">
        <v>0</v>
      </c>
      <c r="K633" t="n">
        <v>0</v>
      </c>
      <c r="L633" t="n">
        <v>0</v>
      </c>
      <c r="M633" t="n">
        <v>0</v>
      </c>
      <c r="N633" t="n">
        <v>0</v>
      </c>
      <c r="O633" t="n">
        <v>0</v>
      </c>
      <c r="P633" t="n">
        <v>0</v>
      </c>
      <c r="Q633" t="n">
        <v>0</v>
      </c>
      <c r="R633" s="2" t="inlineStr"/>
    </row>
    <row r="634" ht="15" customHeight="1">
      <c r="A634" t="inlineStr">
        <is>
          <t>A 33469-2021</t>
        </is>
      </c>
      <c r="B634" s="1" t="n">
        <v>44377</v>
      </c>
      <c r="C634" s="1" t="n">
        <v>45358</v>
      </c>
      <c r="D634" t="inlineStr">
        <is>
          <t>JÄMTLANDS LÄN</t>
        </is>
      </c>
      <c r="E634" t="inlineStr">
        <is>
          <t>KROKOM</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33802-2021</t>
        </is>
      </c>
      <c r="B635" s="1" t="n">
        <v>44377</v>
      </c>
      <c r="C635" s="1" t="n">
        <v>45358</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34279-2021</t>
        </is>
      </c>
      <c r="B636" s="1" t="n">
        <v>44379</v>
      </c>
      <c r="C636" s="1" t="n">
        <v>45358</v>
      </c>
      <c r="D636" t="inlineStr">
        <is>
          <t>JÄMTLANDS LÄN</t>
        </is>
      </c>
      <c r="E636" t="inlineStr">
        <is>
          <t>KROKOM</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v>
      </c>
      <c r="C637" s="1" t="n">
        <v>45358</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34769-2021</t>
        </is>
      </c>
      <c r="B638" s="1" t="n">
        <v>44383</v>
      </c>
      <c r="C638" s="1" t="n">
        <v>45358</v>
      </c>
      <c r="D638" t="inlineStr">
        <is>
          <t>JÄMTLANDS LÄN</t>
        </is>
      </c>
      <c r="E638" t="inlineStr">
        <is>
          <t>KROKOM</t>
        </is>
      </c>
      <c r="G638" t="n">
        <v>14.5</v>
      </c>
      <c r="H638" t="n">
        <v>0</v>
      </c>
      <c r="I638" t="n">
        <v>0</v>
      </c>
      <c r="J638" t="n">
        <v>0</v>
      </c>
      <c r="K638" t="n">
        <v>0</v>
      </c>
      <c r="L638" t="n">
        <v>0</v>
      </c>
      <c r="M638" t="n">
        <v>0</v>
      </c>
      <c r="N638" t="n">
        <v>0</v>
      </c>
      <c r="O638" t="n">
        <v>0</v>
      </c>
      <c r="P638" t="n">
        <v>0</v>
      </c>
      <c r="Q638" t="n">
        <v>0</v>
      </c>
      <c r="R638" s="2" t="inlineStr"/>
    </row>
    <row r="639" ht="15" customHeight="1">
      <c r="A639" t="inlineStr">
        <is>
          <t>A 36079-2021</t>
        </is>
      </c>
      <c r="B639" s="1" t="n">
        <v>44389</v>
      </c>
      <c r="C639" s="1" t="n">
        <v>45358</v>
      </c>
      <c r="D639" t="inlineStr">
        <is>
          <t>JÄMTLANDS LÄN</t>
        </is>
      </c>
      <c r="E639" t="inlineStr">
        <is>
          <t>KROKOM</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36248-2021</t>
        </is>
      </c>
      <c r="B640" s="1" t="n">
        <v>44389</v>
      </c>
      <c r="C640" s="1" t="n">
        <v>45358</v>
      </c>
      <c r="D640" t="inlineStr">
        <is>
          <t>JÄMTLANDS LÄN</t>
        </is>
      </c>
      <c r="E640" t="inlineStr">
        <is>
          <t>KROKOM</t>
        </is>
      </c>
      <c r="G640" t="n">
        <v>17.1</v>
      </c>
      <c r="H640" t="n">
        <v>0</v>
      </c>
      <c r="I640" t="n">
        <v>0</v>
      </c>
      <c r="J640" t="n">
        <v>0</v>
      </c>
      <c r="K640" t="n">
        <v>0</v>
      </c>
      <c r="L640" t="n">
        <v>0</v>
      </c>
      <c r="M640" t="n">
        <v>0</v>
      </c>
      <c r="N640" t="n">
        <v>0</v>
      </c>
      <c r="O640" t="n">
        <v>0</v>
      </c>
      <c r="P640" t="n">
        <v>0</v>
      </c>
      <c r="Q640" t="n">
        <v>0</v>
      </c>
      <c r="R640" s="2" t="inlineStr"/>
    </row>
    <row r="641" ht="15" customHeight="1">
      <c r="A641" t="inlineStr">
        <is>
          <t>A 36491-2021</t>
        </is>
      </c>
      <c r="B641" s="1" t="n">
        <v>44390</v>
      </c>
      <c r="C641" s="1" t="n">
        <v>45358</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36567-2021</t>
        </is>
      </c>
      <c r="B642" s="1" t="n">
        <v>44391</v>
      </c>
      <c r="C642" s="1" t="n">
        <v>45358</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36577-2021</t>
        </is>
      </c>
      <c r="B643" s="1" t="n">
        <v>44391</v>
      </c>
      <c r="C643" s="1" t="n">
        <v>45358</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37641-2021</t>
        </is>
      </c>
      <c r="B644" s="1" t="n">
        <v>44400</v>
      </c>
      <c r="C644" s="1" t="n">
        <v>45358</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38511-2021</t>
        </is>
      </c>
      <c r="B645" s="1" t="n">
        <v>44407</v>
      </c>
      <c r="C645" s="1" t="n">
        <v>45358</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45358</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46625-2021</t>
        </is>
      </c>
      <c r="B647" s="1" t="n">
        <v>44445</v>
      </c>
      <c r="C647" s="1" t="n">
        <v>45358</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44374-2021</t>
        </is>
      </c>
      <c r="B648" s="1" t="n">
        <v>44447</v>
      </c>
      <c r="C648" s="1" t="n">
        <v>45358</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48440-2021</t>
        </is>
      </c>
      <c r="B649" s="1" t="n">
        <v>44449</v>
      </c>
      <c r="C649" s="1" t="n">
        <v>45358</v>
      </c>
      <c r="D649" t="inlineStr">
        <is>
          <t>JÄMTLANDS LÄN</t>
        </is>
      </c>
      <c r="E649" t="inlineStr">
        <is>
          <t>KROKOM</t>
        </is>
      </c>
      <c r="G649" t="n">
        <v>8.6</v>
      </c>
      <c r="H649" t="n">
        <v>0</v>
      </c>
      <c r="I649" t="n">
        <v>0</v>
      </c>
      <c r="J649" t="n">
        <v>0</v>
      </c>
      <c r="K649" t="n">
        <v>0</v>
      </c>
      <c r="L649" t="n">
        <v>0</v>
      </c>
      <c r="M649" t="n">
        <v>0</v>
      </c>
      <c r="N649" t="n">
        <v>0</v>
      </c>
      <c r="O649" t="n">
        <v>0</v>
      </c>
      <c r="P649" t="n">
        <v>0</v>
      </c>
      <c r="Q649" t="n">
        <v>0</v>
      </c>
      <c r="R649" s="2" t="inlineStr"/>
    </row>
    <row r="650" ht="15" customHeight="1">
      <c r="A650" t="inlineStr">
        <is>
          <t>A 50177-2021</t>
        </is>
      </c>
      <c r="B650" s="1" t="n">
        <v>44456</v>
      </c>
      <c r="C650" s="1" t="n">
        <v>45358</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50476-2021</t>
        </is>
      </c>
      <c r="B651" s="1" t="n">
        <v>44459</v>
      </c>
      <c r="C651" s="1" t="n">
        <v>45358</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50887-2021</t>
        </is>
      </c>
      <c r="B652" s="1" t="n">
        <v>44459</v>
      </c>
      <c r="C652" s="1" t="n">
        <v>45358</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50790-2021</t>
        </is>
      </c>
      <c r="B653" s="1" t="n">
        <v>44460</v>
      </c>
      <c r="C653" s="1" t="n">
        <v>45358</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52557-2021</t>
        </is>
      </c>
      <c r="B654" s="1" t="n">
        <v>44466</v>
      </c>
      <c r="C654" s="1" t="n">
        <v>45358</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52578-2021</t>
        </is>
      </c>
      <c r="B655" s="1" t="n">
        <v>44466</v>
      </c>
      <c r="C655" s="1" t="n">
        <v>45358</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53191-2021</t>
        </is>
      </c>
      <c r="B656" s="1" t="n">
        <v>44468</v>
      </c>
      <c r="C656" s="1" t="n">
        <v>45358</v>
      </c>
      <c r="D656" t="inlineStr">
        <is>
          <t>JÄMTLANDS LÄN</t>
        </is>
      </c>
      <c r="E656" t="inlineStr">
        <is>
          <t>KROKOM</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54039-2021</t>
        </is>
      </c>
      <c r="B657" s="1" t="n">
        <v>44470</v>
      </c>
      <c r="C657" s="1" t="n">
        <v>45358</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54037-2021</t>
        </is>
      </c>
      <c r="B658" s="1" t="n">
        <v>44470</v>
      </c>
      <c r="C658" s="1" t="n">
        <v>45358</v>
      </c>
      <c r="D658" t="inlineStr">
        <is>
          <t>JÄMTLANDS LÄN</t>
        </is>
      </c>
      <c r="E658" t="inlineStr">
        <is>
          <t>KROKOM</t>
        </is>
      </c>
      <c r="G658" t="n">
        <v>6.3</v>
      </c>
      <c r="H658" t="n">
        <v>0</v>
      </c>
      <c r="I658" t="n">
        <v>0</v>
      </c>
      <c r="J658" t="n">
        <v>0</v>
      </c>
      <c r="K658" t="n">
        <v>0</v>
      </c>
      <c r="L658" t="n">
        <v>0</v>
      </c>
      <c r="M658" t="n">
        <v>0</v>
      </c>
      <c r="N658" t="n">
        <v>0</v>
      </c>
      <c r="O658" t="n">
        <v>0</v>
      </c>
      <c r="P658" t="n">
        <v>0</v>
      </c>
      <c r="Q658" t="n">
        <v>0</v>
      </c>
      <c r="R658" s="2" t="inlineStr"/>
    </row>
    <row r="659" ht="15" customHeight="1">
      <c r="A659" t="inlineStr">
        <is>
          <t>A 54152-2021</t>
        </is>
      </c>
      <c r="B659" s="1" t="n">
        <v>44470</v>
      </c>
      <c r="C659" s="1" t="n">
        <v>45358</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54516-2021</t>
        </is>
      </c>
      <c r="B660" s="1" t="n">
        <v>44473</v>
      </c>
      <c r="C660" s="1" t="n">
        <v>45358</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54438-2021</t>
        </is>
      </c>
      <c r="B661" s="1" t="n">
        <v>44473</v>
      </c>
      <c r="C661" s="1" t="n">
        <v>45358</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54499-2021</t>
        </is>
      </c>
      <c r="B662" s="1" t="n">
        <v>44473</v>
      </c>
      <c r="C662" s="1" t="n">
        <v>45358</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54497-2021</t>
        </is>
      </c>
      <c r="B663" s="1" t="n">
        <v>44473</v>
      </c>
      <c r="C663" s="1" t="n">
        <v>45358</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54526-2021</t>
        </is>
      </c>
      <c r="B664" s="1" t="n">
        <v>44473</v>
      </c>
      <c r="C664" s="1" t="n">
        <v>45358</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54573-2021</t>
        </is>
      </c>
      <c r="B665" s="1" t="n">
        <v>44473</v>
      </c>
      <c r="C665" s="1" t="n">
        <v>45358</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56577-2021</t>
        </is>
      </c>
      <c r="B666" s="1" t="n">
        <v>44480</v>
      </c>
      <c r="C666" s="1" t="n">
        <v>45358</v>
      </c>
      <c r="D666" t="inlineStr">
        <is>
          <t>JÄMTLANDS LÄN</t>
        </is>
      </c>
      <c r="E666" t="inlineStr">
        <is>
          <t>KROKOM</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57304-2021</t>
        </is>
      </c>
      <c r="B667" s="1" t="n">
        <v>44483</v>
      </c>
      <c r="C667" s="1" t="n">
        <v>45358</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v>
      </c>
      <c r="C668" s="1" t="n">
        <v>45358</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59506-2021</t>
        </is>
      </c>
      <c r="B669" s="1" t="n">
        <v>44491</v>
      </c>
      <c r="C669" s="1" t="n">
        <v>45358</v>
      </c>
      <c r="D669" t="inlineStr">
        <is>
          <t>JÄMTLANDS LÄN</t>
        </is>
      </c>
      <c r="E669" t="inlineStr">
        <is>
          <t>KROKOM</t>
        </is>
      </c>
      <c r="G669" t="n">
        <v>6</v>
      </c>
      <c r="H669" t="n">
        <v>0</v>
      </c>
      <c r="I669" t="n">
        <v>0</v>
      </c>
      <c r="J669" t="n">
        <v>0</v>
      </c>
      <c r="K669" t="n">
        <v>0</v>
      </c>
      <c r="L669" t="n">
        <v>0</v>
      </c>
      <c r="M669" t="n">
        <v>0</v>
      </c>
      <c r="N669" t="n">
        <v>0</v>
      </c>
      <c r="O669" t="n">
        <v>0</v>
      </c>
      <c r="P669" t="n">
        <v>0</v>
      </c>
      <c r="Q669" t="n">
        <v>0</v>
      </c>
      <c r="R669" s="2" t="inlineStr"/>
    </row>
    <row r="670" ht="15" customHeight="1">
      <c r="A670" t="inlineStr">
        <is>
          <t>A 59916-2021</t>
        </is>
      </c>
      <c r="B670" s="1" t="n">
        <v>44494</v>
      </c>
      <c r="C670" s="1" t="n">
        <v>45358</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59913-2021</t>
        </is>
      </c>
      <c r="B671" s="1" t="n">
        <v>44494</v>
      </c>
      <c r="C671" s="1" t="n">
        <v>45358</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60348-2021</t>
        </is>
      </c>
      <c r="B672" s="1" t="n">
        <v>44495</v>
      </c>
      <c r="C672" s="1" t="n">
        <v>45358</v>
      </c>
      <c r="D672" t="inlineStr">
        <is>
          <t>JÄMTLANDS LÄN</t>
        </is>
      </c>
      <c r="E672" t="inlineStr">
        <is>
          <t>KROKOM</t>
        </is>
      </c>
      <c r="G672" t="n">
        <v>11.2</v>
      </c>
      <c r="H672" t="n">
        <v>0</v>
      </c>
      <c r="I672" t="n">
        <v>0</v>
      </c>
      <c r="J672" t="n">
        <v>0</v>
      </c>
      <c r="K672" t="n">
        <v>0</v>
      </c>
      <c r="L672" t="n">
        <v>0</v>
      </c>
      <c r="M672" t="n">
        <v>0</v>
      </c>
      <c r="N672" t="n">
        <v>0</v>
      </c>
      <c r="O672" t="n">
        <v>0</v>
      </c>
      <c r="P672" t="n">
        <v>0</v>
      </c>
      <c r="Q672" t="n">
        <v>0</v>
      </c>
      <c r="R672" s="2" t="inlineStr"/>
    </row>
    <row r="673" ht="15" customHeight="1">
      <c r="A673" t="inlineStr">
        <is>
          <t>A 60351-2021</t>
        </is>
      </c>
      <c r="B673" s="1" t="n">
        <v>44495</v>
      </c>
      <c r="C673" s="1" t="n">
        <v>45358</v>
      </c>
      <c r="D673" t="inlineStr">
        <is>
          <t>JÄMTLANDS LÄN</t>
        </is>
      </c>
      <c r="E673" t="inlineStr">
        <is>
          <t>KROKOM</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61230-2021</t>
        </is>
      </c>
      <c r="B674" s="1" t="n">
        <v>44498</v>
      </c>
      <c r="C674" s="1" t="n">
        <v>45358</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61182-2021</t>
        </is>
      </c>
      <c r="B675" s="1" t="n">
        <v>44498</v>
      </c>
      <c r="C675" s="1" t="n">
        <v>45358</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61749-2021</t>
        </is>
      </c>
      <c r="B676" s="1" t="n">
        <v>44498</v>
      </c>
      <c r="C676" s="1" t="n">
        <v>45358</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45358</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62205-2021</t>
        </is>
      </c>
      <c r="B678" s="1" t="n">
        <v>44502</v>
      </c>
      <c r="C678" s="1" t="n">
        <v>45358</v>
      </c>
      <c r="D678" t="inlineStr">
        <is>
          <t>JÄMTLANDS LÄN</t>
        </is>
      </c>
      <c r="E678" t="inlineStr">
        <is>
          <t>KROKOM</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62206-2021</t>
        </is>
      </c>
      <c r="B679" s="1" t="n">
        <v>44502</v>
      </c>
      <c r="C679" s="1" t="n">
        <v>45358</v>
      </c>
      <c r="D679" t="inlineStr">
        <is>
          <t>JÄMTLANDS LÄN</t>
        </is>
      </c>
      <c r="E679" t="inlineStr">
        <is>
          <t>KROKOM</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62201-2021</t>
        </is>
      </c>
      <c r="B680" s="1" t="n">
        <v>44502</v>
      </c>
      <c r="C680" s="1" t="n">
        <v>45358</v>
      </c>
      <c r="D680" t="inlineStr">
        <is>
          <t>JÄMTLANDS LÄN</t>
        </is>
      </c>
      <c r="E680" t="inlineStr">
        <is>
          <t>KROKOM</t>
        </is>
      </c>
      <c r="G680" t="n">
        <v>1.8</v>
      </c>
      <c r="H680" t="n">
        <v>0</v>
      </c>
      <c r="I680" t="n">
        <v>0</v>
      </c>
      <c r="J680" t="n">
        <v>0</v>
      </c>
      <c r="K680" t="n">
        <v>0</v>
      </c>
      <c r="L680" t="n">
        <v>0</v>
      </c>
      <c r="M680" t="n">
        <v>0</v>
      </c>
      <c r="N680" t="n">
        <v>0</v>
      </c>
      <c r="O680" t="n">
        <v>0</v>
      </c>
      <c r="P680" t="n">
        <v>0</v>
      </c>
      <c r="Q680" t="n">
        <v>0</v>
      </c>
      <c r="R680" s="2" t="inlineStr"/>
    </row>
    <row r="681" ht="15" customHeight="1">
      <c r="A681" t="inlineStr">
        <is>
          <t>A 62739-2021</t>
        </is>
      </c>
      <c r="B681" s="1" t="n">
        <v>44504</v>
      </c>
      <c r="C681" s="1" t="n">
        <v>45358</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64299-2021</t>
        </is>
      </c>
      <c r="B682" s="1" t="n">
        <v>44510</v>
      </c>
      <c r="C682" s="1" t="n">
        <v>45358</v>
      </c>
      <c r="D682" t="inlineStr">
        <is>
          <t>JÄMTLANDS LÄN</t>
        </is>
      </c>
      <c r="E682" t="inlineStr">
        <is>
          <t>KROKOM</t>
        </is>
      </c>
      <c r="G682" t="n">
        <v>3.7</v>
      </c>
      <c r="H682" t="n">
        <v>0</v>
      </c>
      <c r="I682" t="n">
        <v>0</v>
      </c>
      <c r="J682" t="n">
        <v>0</v>
      </c>
      <c r="K682" t="n">
        <v>0</v>
      </c>
      <c r="L682" t="n">
        <v>0</v>
      </c>
      <c r="M682" t="n">
        <v>0</v>
      </c>
      <c r="N682" t="n">
        <v>0</v>
      </c>
      <c r="O682" t="n">
        <v>0</v>
      </c>
      <c r="P682" t="n">
        <v>0</v>
      </c>
      <c r="Q682" t="n">
        <v>0</v>
      </c>
      <c r="R682" s="2" t="inlineStr"/>
    </row>
    <row r="683" ht="15" customHeight="1">
      <c r="A683" t="inlineStr">
        <is>
          <t>A 64298-2021</t>
        </is>
      </c>
      <c r="B683" s="1" t="n">
        <v>44510</v>
      </c>
      <c r="C683" s="1" t="n">
        <v>45358</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64953-2021</t>
        </is>
      </c>
      <c r="B684" s="1" t="n">
        <v>44512</v>
      </c>
      <c r="C684" s="1" t="n">
        <v>45358</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64966-2021</t>
        </is>
      </c>
      <c r="B685" s="1" t="n">
        <v>44512</v>
      </c>
      <c r="C685" s="1" t="n">
        <v>45358</v>
      </c>
      <c r="D685" t="inlineStr">
        <is>
          <t>JÄMTLANDS LÄN</t>
        </is>
      </c>
      <c r="E685" t="inlineStr">
        <is>
          <t>KROKOM</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45358</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66477-2021</t>
        </is>
      </c>
      <c r="B687" s="1" t="n">
        <v>44518</v>
      </c>
      <c r="C687" s="1" t="n">
        <v>45358</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66476-2021</t>
        </is>
      </c>
      <c r="B688" s="1" t="n">
        <v>44518</v>
      </c>
      <c r="C688" s="1" t="n">
        <v>45358</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66683-2021</t>
        </is>
      </c>
      <c r="B689" s="1" t="n">
        <v>44519</v>
      </c>
      <c r="C689" s="1" t="n">
        <v>45358</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66880-2021</t>
        </is>
      </c>
      <c r="B690" s="1" t="n">
        <v>44522</v>
      </c>
      <c r="C690" s="1" t="n">
        <v>45358</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67488-2021</t>
        </is>
      </c>
      <c r="B691" s="1" t="n">
        <v>44524</v>
      </c>
      <c r="C691" s="1" t="n">
        <v>45358</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67740-2021</t>
        </is>
      </c>
      <c r="B692" s="1" t="n">
        <v>44524</v>
      </c>
      <c r="C692" s="1" t="n">
        <v>45358</v>
      </c>
      <c r="D692" t="inlineStr">
        <is>
          <t>JÄMTLANDS LÄN</t>
        </is>
      </c>
      <c r="E692" t="inlineStr">
        <is>
          <t>KROKOM</t>
        </is>
      </c>
      <c r="G692" t="n">
        <v>12.3</v>
      </c>
      <c r="H692" t="n">
        <v>0</v>
      </c>
      <c r="I692" t="n">
        <v>0</v>
      </c>
      <c r="J692" t="n">
        <v>0</v>
      </c>
      <c r="K692" t="n">
        <v>0</v>
      </c>
      <c r="L692" t="n">
        <v>0</v>
      </c>
      <c r="M692" t="n">
        <v>0</v>
      </c>
      <c r="N692" t="n">
        <v>0</v>
      </c>
      <c r="O692" t="n">
        <v>0</v>
      </c>
      <c r="P692" t="n">
        <v>0</v>
      </c>
      <c r="Q692" t="n">
        <v>0</v>
      </c>
      <c r="R692" s="2" t="inlineStr"/>
    </row>
    <row r="693" ht="15" customHeight="1">
      <c r="A693" t="inlineStr">
        <is>
          <t>A 67797-2021</t>
        </is>
      </c>
      <c r="B693" s="1" t="n">
        <v>44524</v>
      </c>
      <c r="C693" s="1" t="n">
        <v>45358</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67738-2021</t>
        </is>
      </c>
      <c r="B694" s="1" t="n">
        <v>44524</v>
      </c>
      <c r="C694" s="1" t="n">
        <v>45358</v>
      </c>
      <c r="D694" t="inlineStr">
        <is>
          <t>JÄMTLANDS LÄN</t>
        </is>
      </c>
      <c r="E694" t="inlineStr">
        <is>
          <t>KROKOM</t>
        </is>
      </c>
      <c r="G694" t="n">
        <v>3.1</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45358</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45358</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45358</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45358</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45358</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45358</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45358</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45358</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45358</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45358</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45358</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45358</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45358</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45358</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45358</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72538-2021</t>
        </is>
      </c>
      <c r="B710" s="1" t="n">
        <v>44546</v>
      </c>
      <c r="C710" s="1" t="n">
        <v>45358</v>
      </c>
      <c r="D710" t="inlineStr">
        <is>
          <t>JÄMTLANDS LÄN</t>
        </is>
      </c>
      <c r="E710" t="inlineStr">
        <is>
          <t>KROKOM</t>
        </is>
      </c>
      <c r="F710" t="inlineStr">
        <is>
          <t>Övriga Aktiebolag</t>
        </is>
      </c>
      <c r="G710" t="n">
        <v>23.4</v>
      </c>
      <c r="H710" t="n">
        <v>0</v>
      </c>
      <c r="I710" t="n">
        <v>0</v>
      </c>
      <c r="J710" t="n">
        <v>0</v>
      </c>
      <c r="K710" t="n">
        <v>0</v>
      </c>
      <c r="L710" t="n">
        <v>0</v>
      </c>
      <c r="M710" t="n">
        <v>0</v>
      </c>
      <c r="N710" t="n">
        <v>0</v>
      </c>
      <c r="O710" t="n">
        <v>0</v>
      </c>
      <c r="P710" t="n">
        <v>0</v>
      </c>
      <c r="Q710" t="n">
        <v>0</v>
      </c>
      <c r="R710" s="2" t="inlineStr"/>
    </row>
    <row r="711" ht="15" customHeight="1">
      <c r="A711" t="inlineStr">
        <is>
          <t>A 73174-2021</t>
        </is>
      </c>
      <c r="B711" s="1" t="n">
        <v>44550</v>
      </c>
      <c r="C711" s="1" t="n">
        <v>45358</v>
      </c>
      <c r="D711" t="inlineStr">
        <is>
          <t>JÄMTLANDS LÄN</t>
        </is>
      </c>
      <c r="E711" t="inlineStr">
        <is>
          <t>KROKOM</t>
        </is>
      </c>
      <c r="G711" t="n">
        <v>152.9</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45358</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804-2022</t>
        </is>
      </c>
      <c r="B713" s="1" t="n">
        <v>44568</v>
      </c>
      <c r="C713" s="1" t="n">
        <v>45358</v>
      </c>
      <c r="D713" t="inlineStr">
        <is>
          <t>JÄMTLANDS LÄN</t>
        </is>
      </c>
      <c r="E713" t="inlineStr">
        <is>
          <t>KROKOM</t>
        </is>
      </c>
      <c r="G713" t="n">
        <v>20</v>
      </c>
      <c r="H713" t="n">
        <v>0</v>
      </c>
      <c r="I713" t="n">
        <v>0</v>
      </c>
      <c r="J713" t="n">
        <v>0</v>
      </c>
      <c r="K713" t="n">
        <v>0</v>
      </c>
      <c r="L713" t="n">
        <v>0</v>
      </c>
      <c r="M713" t="n">
        <v>0</v>
      </c>
      <c r="N713" t="n">
        <v>0</v>
      </c>
      <c r="O713" t="n">
        <v>0</v>
      </c>
      <c r="P713" t="n">
        <v>0</v>
      </c>
      <c r="Q713" t="n">
        <v>0</v>
      </c>
      <c r="R713" s="2" t="inlineStr"/>
    </row>
    <row r="714" ht="15" customHeight="1">
      <c r="A714" t="inlineStr">
        <is>
          <t>A 1625-2022</t>
        </is>
      </c>
      <c r="B714" s="1" t="n">
        <v>44573</v>
      </c>
      <c r="C714" s="1" t="n">
        <v>45358</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1955-2022</t>
        </is>
      </c>
      <c r="B715" s="1" t="n">
        <v>44575</v>
      </c>
      <c r="C715" s="1" t="n">
        <v>45358</v>
      </c>
      <c r="D715" t="inlineStr">
        <is>
          <t>JÄMTLANDS LÄN</t>
        </is>
      </c>
      <c r="E715" t="inlineStr">
        <is>
          <t>KROKOM</t>
        </is>
      </c>
      <c r="G715" t="n">
        <v>16.1</v>
      </c>
      <c r="H715" t="n">
        <v>0</v>
      </c>
      <c r="I715" t="n">
        <v>0</v>
      </c>
      <c r="J715" t="n">
        <v>0</v>
      </c>
      <c r="K715" t="n">
        <v>0</v>
      </c>
      <c r="L715" t="n">
        <v>0</v>
      </c>
      <c r="M715" t="n">
        <v>0</v>
      </c>
      <c r="N715" t="n">
        <v>0</v>
      </c>
      <c r="O715" t="n">
        <v>0</v>
      </c>
      <c r="P715" t="n">
        <v>0</v>
      </c>
      <c r="Q715" t="n">
        <v>0</v>
      </c>
      <c r="R715" s="2" t="inlineStr"/>
    </row>
    <row r="716" ht="15" customHeight="1">
      <c r="A716" t="inlineStr">
        <is>
          <t>A 1959-2022</t>
        </is>
      </c>
      <c r="B716" s="1" t="n">
        <v>44575</v>
      </c>
      <c r="C716" s="1" t="n">
        <v>45358</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45358</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45358</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45358</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45358</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45358</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45358</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45358</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45358</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45358</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45358</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45358</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45358</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45358</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45358</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45358</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45358</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45358</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45358</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45358</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45358</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45358</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45358</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45358</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45358</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45358</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45358</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45358</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45358</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45358</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45358</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45358</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45358</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45358</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45358</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45358</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45358</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45358</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45358</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45358</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45358</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45358</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45358</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45358</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45358</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45358</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45358</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45358</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45358</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45358</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45358</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45358</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45358</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45358</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45358</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45358</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45358</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45358</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45358</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45358</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45358</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45358</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45358</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45358</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45358</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45358</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45358</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45358</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45358</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45358</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45358</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45358</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45358</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45358</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45358</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45358</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45358</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45358</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45358</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32142-2022</t>
        </is>
      </c>
      <c r="B795" s="1" t="n">
        <v>44780</v>
      </c>
      <c r="C795" s="1" t="n">
        <v>45358</v>
      </c>
      <c r="D795" t="inlineStr">
        <is>
          <t>JÄMTLANDS LÄN</t>
        </is>
      </c>
      <c r="E795" t="inlineStr">
        <is>
          <t>KROKOM</t>
        </is>
      </c>
      <c r="G795" t="n">
        <v>60.8</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45358</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45358</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45358</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45358</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45358</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45358</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33507-2022</t>
        </is>
      </c>
      <c r="B802" s="1" t="n">
        <v>44788</v>
      </c>
      <c r="C802" s="1" t="n">
        <v>45358</v>
      </c>
      <c r="D802" t="inlineStr">
        <is>
          <t>JÄMTLANDS LÄN</t>
        </is>
      </c>
      <c r="E802" t="inlineStr">
        <is>
          <t>KROKOM</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45358</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45358</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45358</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45358</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45358</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45358</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45358</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45358</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45358</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45358</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45358</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45358</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45358</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45358</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45358</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45358</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45358</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45358</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45358</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45358</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45358</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45358</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45358</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45358</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45358</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45358</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45358</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45358</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45358</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45358</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45358</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45358</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45358</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45358</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45358</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45358</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45358</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45358</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45358</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45358</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45358</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45358</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45358</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45358</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45358</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45358</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45358</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45358</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45358</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45358</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45358</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45358</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45358</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45358</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45358</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45358</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45358</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45358</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45358</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45358</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45358</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45358</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45358</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45358</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45358</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45358</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45358</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45358</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45358</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45358</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45358</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45358</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45358</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45358</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45358</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45358</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45358</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45358</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45358</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45358</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45358</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45358</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45358</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45358</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45358</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45358</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45358</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45358</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45358</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45358</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45358</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45358</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45358</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45358</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45358</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45358</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45358</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45358</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45358</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45358</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45358</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45358</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45358</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45358</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45358</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45358</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45358</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45358</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45358</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45358</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45358</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45358</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45358</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45358</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45358</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45358</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45358</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45358</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45358</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45358</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45358</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45358</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45358</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45358</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45358</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45358</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45358</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45358</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45358</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45358</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45358</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45358</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45358</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45358</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45358</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45358</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45358</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45358</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45358</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45358</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45358</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45358</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45358</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45358</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45358</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45358</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45358</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45358</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45358</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45358</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45358</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45358</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45358</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45358</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45358</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45358</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45358</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45358</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45358</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27753-2023</t>
        </is>
      </c>
      <c r="B962" s="1" t="n">
        <v>45098</v>
      </c>
      <c r="C962" s="1" t="n">
        <v>45358</v>
      </c>
      <c r="D962" t="inlineStr">
        <is>
          <t>JÄMTLANDS LÄN</t>
        </is>
      </c>
      <c r="E962" t="inlineStr">
        <is>
          <t>KROKOM</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45358</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45358</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45358</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45358</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45358</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45358</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45358</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45358</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45358</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45358</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31959-2023</t>
        </is>
      </c>
      <c r="B973" s="1" t="n">
        <v>45107</v>
      </c>
      <c r="C973" s="1" t="n">
        <v>45358</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32131-2023</t>
        </is>
      </c>
      <c r="B974" s="1" t="n">
        <v>45107</v>
      </c>
      <c r="C974" s="1" t="n">
        <v>45358</v>
      </c>
      <c r="D974" t="inlineStr">
        <is>
          <t>JÄMTLANDS LÄN</t>
        </is>
      </c>
      <c r="E974" t="inlineStr">
        <is>
          <t>KROKOM</t>
        </is>
      </c>
      <c r="G974" t="n">
        <v>3.1</v>
      </c>
      <c r="H974" t="n">
        <v>0</v>
      </c>
      <c r="I974" t="n">
        <v>0</v>
      </c>
      <c r="J974" t="n">
        <v>0</v>
      </c>
      <c r="K974" t="n">
        <v>0</v>
      </c>
      <c r="L974" t="n">
        <v>0</v>
      </c>
      <c r="M974" t="n">
        <v>0</v>
      </c>
      <c r="N974" t="n">
        <v>0</v>
      </c>
      <c r="O974" t="n">
        <v>0</v>
      </c>
      <c r="P974" t="n">
        <v>0</v>
      </c>
      <c r="Q974" t="n">
        <v>0</v>
      </c>
      <c r="R974" s="2" t="inlineStr"/>
    </row>
    <row r="975" ht="15" customHeight="1">
      <c r="A975" t="inlineStr">
        <is>
          <t>A 32123-2023</t>
        </is>
      </c>
      <c r="B975" s="1" t="n">
        <v>45107</v>
      </c>
      <c r="C975" s="1" t="n">
        <v>45358</v>
      </c>
      <c r="D975" t="inlineStr">
        <is>
          <t>JÄMTLANDS LÄN</t>
        </is>
      </c>
      <c r="E975" t="inlineStr">
        <is>
          <t>KROKOM</t>
        </is>
      </c>
      <c r="G975" t="n">
        <v>10.8</v>
      </c>
      <c r="H975" t="n">
        <v>0</v>
      </c>
      <c r="I975" t="n">
        <v>0</v>
      </c>
      <c r="J975" t="n">
        <v>0</v>
      </c>
      <c r="K975" t="n">
        <v>0</v>
      </c>
      <c r="L975" t="n">
        <v>0</v>
      </c>
      <c r="M975" t="n">
        <v>0</v>
      </c>
      <c r="N975" t="n">
        <v>0</v>
      </c>
      <c r="O975" t="n">
        <v>0</v>
      </c>
      <c r="P975" t="n">
        <v>0</v>
      </c>
      <c r="Q975" t="n">
        <v>0</v>
      </c>
      <c r="R975" s="2" t="inlineStr"/>
    </row>
    <row r="976" ht="15" customHeight="1">
      <c r="A976" t="inlineStr">
        <is>
          <t>A 29986-2023</t>
        </is>
      </c>
      <c r="B976" s="1" t="n">
        <v>45109</v>
      </c>
      <c r="C976" s="1" t="n">
        <v>45358</v>
      </c>
      <c r="D976" t="inlineStr">
        <is>
          <t>JÄMTLANDS LÄN</t>
        </is>
      </c>
      <c r="E976" t="inlineStr">
        <is>
          <t>KROKOM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30314-2023</t>
        </is>
      </c>
      <c r="B977" s="1" t="n">
        <v>45111</v>
      </c>
      <c r="C977" s="1" t="n">
        <v>45358</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30486-2023</t>
        </is>
      </c>
      <c r="B978" s="1" t="n">
        <v>45111</v>
      </c>
      <c r="C978" s="1" t="n">
        <v>45358</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30488-2023</t>
        </is>
      </c>
      <c r="B979" s="1" t="n">
        <v>45111</v>
      </c>
      <c r="C979" s="1" t="n">
        <v>45358</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30429-2023</t>
        </is>
      </c>
      <c r="B980" s="1" t="n">
        <v>45111</v>
      </c>
      <c r="C980" s="1" t="n">
        <v>45358</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30566-2023</t>
        </is>
      </c>
      <c r="B981" s="1" t="n">
        <v>45112</v>
      </c>
      <c r="C981" s="1" t="n">
        <v>45358</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30771-2023</t>
        </is>
      </c>
      <c r="B982" s="1" t="n">
        <v>45112</v>
      </c>
      <c r="C982" s="1" t="n">
        <v>45358</v>
      </c>
      <c r="D982" t="inlineStr">
        <is>
          <t>JÄMTLANDS LÄN</t>
        </is>
      </c>
      <c r="E982" t="inlineStr">
        <is>
          <t>KROKOM</t>
        </is>
      </c>
      <c r="G982" t="n">
        <v>10.6</v>
      </c>
      <c r="H982" t="n">
        <v>0</v>
      </c>
      <c r="I982" t="n">
        <v>0</v>
      </c>
      <c r="J982" t="n">
        <v>0</v>
      </c>
      <c r="K982" t="n">
        <v>0</v>
      </c>
      <c r="L982" t="n">
        <v>0</v>
      </c>
      <c r="M982" t="n">
        <v>0</v>
      </c>
      <c r="N982" t="n">
        <v>0</v>
      </c>
      <c r="O982" t="n">
        <v>0</v>
      </c>
      <c r="P982" t="n">
        <v>0</v>
      </c>
      <c r="Q982" t="n">
        <v>0</v>
      </c>
      <c r="R982" s="2" t="inlineStr"/>
    </row>
    <row r="983" ht="15" customHeight="1">
      <c r="A983" t="inlineStr">
        <is>
          <t>A 32692-2023</t>
        </is>
      </c>
      <c r="B983" s="1" t="n">
        <v>45112</v>
      </c>
      <c r="C983" s="1" t="n">
        <v>45358</v>
      </c>
      <c r="D983" t="inlineStr">
        <is>
          <t>JÄMTLANDS LÄN</t>
        </is>
      </c>
      <c r="E983" t="inlineStr">
        <is>
          <t>KROKOM</t>
        </is>
      </c>
      <c r="G983" t="n">
        <v>6.6</v>
      </c>
      <c r="H983" t="n">
        <v>0</v>
      </c>
      <c r="I983" t="n">
        <v>0</v>
      </c>
      <c r="J983" t="n">
        <v>0</v>
      </c>
      <c r="K983" t="n">
        <v>0</v>
      </c>
      <c r="L983" t="n">
        <v>0</v>
      </c>
      <c r="M983" t="n">
        <v>0</v>
      </c>
      <c r="N983" t="n">
        <v>0</v>
      </c>
      <c r="O983" t="n">
        <v>0</v>
      </c>
      <c r="P983" t="n">
        <v>0</v>
      </c>
      <c r="Q983" t="n">
        <v>0</v>
      </c>
      <c r="R983" s="2" t="inlineStr"/>
    </row>
    <row r="984" ht="15" customHeight="1">
      <c r="A984" t="inlineStr">
        <is>
          <t>A 32650-2023</t>
        </is>
      </c>
      <c r="B984" s="1" t="n">
        <v>45112</v>
      </c>
      <c r="C984" s="1" t="n">
        <v>45358</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32881-2023</t>
        </is>
      </c>
      <c r="B985" s="1" t="n">
        <v>45112</v>
      </c>
      <c r="C985" s="1" t="n">
        <v>45358</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32837-2023</t>
        </is>
      </c>
      <c r="B986" s="1" t="n">
        <v>45112</v>
      </c>
      <c r="C986" s="1" t="n">
        <v>45358</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31386-2023</t>
        </is>
      </c>
      <c r="B987" s="1" t="n">
        <v>45114</v>
      </c>
      <c r="C987" s="1" t="n">
        <v>45358</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31395-2023</t>
        </is>
      </c>
      <c r="B988" s="1" t="n">
        <v>45114</v>
      </c>
      <c r="C988" s="1" t="n">
        <v>45358</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31580-2023</t>
        </is>
      </c>
      <c r="B989" s="1" t="n">
        <v>45117</v>
      </c>
      <c r="C989" s="1" t="n">
        <v>45358</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31584-2023</t>
        </is>
      </c>
      <c r="B990" s="1" t="n">
        <v>45117</v>
      </c>
      <c r="C990" s="1" t="n">
        <v>45358</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31537-2023</t>
        </is>
      </c>
      <c r="B991" s="1" t="n">
        <v>45117</v>
      </c>
      <c r="C991" s="1" t="n">
        <v>45358</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31538-2023</t>
        </is>
      </c>
      <c r="B992" s="1" t="n">
        <v>45117</v>
      </c>
      <c r="C992" s="1" t="n">
        <v>45358</v>
      </c>
      <c r="D992" t="inlineStr">
        <is>
          <t>JÄMTLANDS LÄN</t>
        </is>
      </c>
      <c r="E992" t="inlineStr">
        <is>
          <t>KROKOM</t>
        </is>
      </c>
      <c r="F992" t="inlineStr">
        <is>
          <t>Övriga Aktiebolag</t>
        </is>
      </c>
      <c r="G992" t="n">
        <v>9.9</v>
      </c>
      <c r="H992" t="n">
        <v>0</v>
      </c>
      <c r="I992" t="n">
        <v>0</v>
      </c>
      <c r="J992" t="n">
        <v>0</v>
      </c>
      <c r="K992" t="n">
        <v>0</v>
      </c>
      <c r="L992" t="n">
        <v>0</v>
      </c>
      <c r="M992" t="n">
        <v>0</v>
      </c>
      <c r="N992" t="n">
        <v>0</v>
      </c>
      <c r="O992" t="n">
        <v>0</v>
      </c>
      <c r="P992" t="n">
        <v>0</v>
      </c>
      <c r="Q992" t="n">
        <v>0</v>
      </c>
      <c r="R992" s="2" t="inlineStr"/>
    </row>
    <row r="993" ht="15" customHeight="1">
      <c r="A993" t="inlineStr">
        <is>
          <t>A 31601-2023</t>
        </is>
      </c>
      <c r="B993" s="1" t="n">
        <v>45117</v>
      </c>
      <c r="C993" s="1" t="n">
        <v>45358</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31550-2023</t>
        </is>
      </c>
      <c r="B994" s="1" t="n">
        <v>45117</v>
      </c>
      <c r="C994" s="1" t="n">
        <v>45358</v>
      </c>
      <c r="D994" t="inlineStr">
        <is>
          <t>JÄMTLANDS LÄN</t>
        </is>
      </c>
      <c r="E994" t="inlineStr">
        <is>
          <t>KROKOM</t>
        </is>
      </c>
      <c r="G994" t="n">
        <v>4.5</v>
      </c>
      <c r="H994" t="n">
        <v>0</v>
      </c>
      <c r="I994" t="n">
        <v>0</v>
      </c>
      <c r="J994" t="n">
        <v>0</v>
      </c>
      <c r="K994" t="n">
        <v>0</v>
      </c>
      <c r="L994" t="n">
        <v>0</v>
      </c>
      <c r="M994" t="n">
        <v>0</v>
      </c>
      <c r="N994" t="n">
        <v>0</v>
      </c>
      <c r="O994" t="n">
        <v>0</v>
      </c>
      <c r="P994" t="n">
        <v>0</v>
      </c>
      <c r="Q994" t="n">
        <v>0</v>
      </c>
      <c r="R994" s="2" t="inlineStr"/>
    </row>
    <row r="995" ht="15" customHeight="1">
      <c r="A995" t="inlineStr">
        <is>
          <t>A 31927-2023</t>
        </is>
      </c>
      <c r="B995" s="1" t="n">
        <v>45119</v>
      </c>
      <c r="C995" s="1" t="n">
        <v>45358</v>
      </c>
      <c r="D995" t="inlineStr">
        <is>
          <t>JÄMTLANDS LÄN</t>
        </is>
      </c>
      <c r="E995" t="inlineStr">
        <is>
          <t>KROKOM</t>
        </is>
      </c>
      <c r="G995" t="n">
        <v>56.6</v>
      </c>
      <c r="H995" t="n">
        <v>0</v>
      </c>
      <c r="I995" t="n">
        <v>0</v>
      </c>
      <c r="J995" t="n">
        <v>0</v>
      </c>
      <c r="K995" t="n">
        <v>0</v>
      </c>
      <c r="L995" t="n">
        <v>0</v>
      </c>
      <c r="M995" t="n">
        <v>0</v>
      </c>
      <c r="N995" t="n">
        <v>0</v>
      </c>
      <c r="O995" t="n">
        <v>0</v>
      </c>
      <c r="P995" t="n">
        <v>0</v>
      </c>
      <c r="Q995" t="n">
        <v>0</v>
      </c>
      <c r="R995" s="2" t="inlineStr"/>
    </row>
    <row r="996" ht="15" customHeight="1">
      <c r="A996" t="inlineStr">
        <is>
          <t>A 31877-2023</t>
        </is>
      </c>
      <c r="B996" s="1" t="n">
        <v>45118</v>
      </c>
      <c r="C996" s="1" t="n">
        <v>45358</v>
      </c>
      <c r="D996" t="inlineStr">
        <is>
          <t>JÄMTLANDS LÄN</t>
        </is>
      </c>
      <c r="E996" t="inlineStr">
        <is>
          <t>KROKOM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32019-2023</t>
        </is>
      </c>
      <c r="B997" s="1" t="n">
        <v>45119</v>
      </c>
      <c r="C997" s="1" t="n">
        <v>45358</v>
      </c>
      <c r="D997" t="inlineStr">
        <is>
          <t>JÄMTLANDS LÄN</t>
        </is>
      </c>
      <c r="E997" t="inlineStr">
        <is>
          <t>KROKOM</t>
        </is>
      </c>
      <c r="F997" t="inlineStr">
        <is>
          <t>Övriga Aktiebolag</t>
        </is>
      </c>
      <c r="G997" t="n">
        <v>37.5</v>
      </c>
      <c r="H997" t="n">
        <v>0</v>
      </c>
      <c r="I997" t="n">
        <v>0</v>
      </c>
      <c r="J997" t="n">
        <v>0</v>
      </c>
      <c r="K997" t="n">
        <v>0</v>
      </c>
      <c r="L997" t="n">
        <v>0</v>
      </c>
      <c r="M997" t="n">
        <v>0</v>
      </c>
      <c r="N997" t="n">
        <v>0</v>
      </c>
      <c r="O997" t="n">
        <v>0</v>
      </c>
      <c r="P997" t="n">
        <v>0</v>
      </c>
      <c r="Q997" t="n">
        <v>0</v>
      </c>
      <c r="R997" s="2" t="inlineStr"/>
    </row>
    <row r="998" ht="15" customHeight="1">
      <c r="A998" t="inlineStr">
        <is>
          <t>A 32090-2023</t>
        </is>
      </c>
      <c r="B998" s="1" t="n">
        <v>45119</v>
      </c>
      <c r="C998" s="1" t="n">
        <v>45358</v>
      </c>
      <c r="D998" t="inlineStr">
        <is>
          <t>JÄMTLANDS LÄN</t>
        </is>
      </c>
      <c r="E998" t="inlineStr">
        <is>
          <t>KROKOM</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33653-2023</t>
        </is>
      </c>
      <c r="B999" s="1" t="n">
        <v>45119</v>
      </c>
      <c r="C999" s="1" t="n">
        <v>45358</v>
      </c>
      <c r="D999" t="inlineStr">
        <is>
          <t>JÄMTLANDS LÄN</t>
        </is>
      </c>
      <c r="E999" t="inlineStr">
        <is>
          <t>KROKOM</t>
        </is>
      </c>
      <c r="G999" t="n">
        <v>0.4</v>
      </c>
      <c r="H999" t="n">
        <v>0</v>
      </c>
      <c r="I999" t="n">
        <v>0</v>
      </c>
      <c r="J999" t="n">
        <v>0</v>
      </c>
      <c r="K999" t="n">
        <v>0</v>
      </c>
      <c r="L999" t="n">
        <v>0</v>
      </c>
      <c r="M999" t="n">
        <v>0</v>
      </c>
      <c r="N999" t="n">
        <v>0</v>
      </c>
      <c r="O999" t="n">
        <v>0</v>
      </c>
      <c r="P999" t="n">
        <v>0</v>
      </c>
      <c r="Q999" t="n">
        <v>0</v>
      </c>
      <c r="R999" s="2" t="inlineStr"/>
    </row>
    <row r="1000" ht="15" customHeight="1">
      <c r="A1000" t="inlineStr">
        <is>
          <t>A 32676-2023</t>
        </is>
      </c>
      <c r="B1000" s="1" t="n">
        <v>45121</v>
      </c>
      <c r="C1000" s="1" t="n">
        <v>45358</v>
      </c>
      <c r="D1000" t="inlineStr">
        <is>
          <t>JÄMTLANDS LÄN</t>
        </is>
      </c>
      <c r="E1000" t="inlineStr">
        <is>
          <t>KROKOM</t>
        </is>
      </c>
      <c r="F1000" t="inlineStr">
        <is>
          <t>Övriga Aktiebolag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32765-2023</t>
        </is>
      </c>
      <c r="B1001" s="1" t="n">
        <v>45123</v>
      </c>
      <c r="C1001" s="1" t="n">
        <v>45358</v>
      </c>
      <c r="D1001" t="inlineStr">
        <is>
          <t>JÄMTLANDS LÄN</t>
        </is>
      </c>
      <c r="E1001" t="inlineStr">
        <is>
          <t>KROKOM</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34070-2023</t>
        </is>
      </c>
      <c r="B1002" s="1" t="n">
        <v>45125</v>
      </c>
      <c r="C1002" s="1" t="n">
        <v>45358</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34502-2023</t>
        </is>
      </c>
      <c r="B1003" s="1" t="n">
        <v>45133</v>
      </c>
      <c r="C1003" s="1" t="n">
        <v>45358</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34155-2023</t>
        </is>
      </c>
      <c r="B1004" s="1" t="n">
        <v>45137</v>
      </c>
      <c r="C1004" s="1" t="n">
        <v>45358</v>
      </c>
      <c r="D1004" t="inlineStr">
        <is>
          <t>JÄMTLANDS LÄN</t>
        </is>
      </c>
      <c r="E1004" t="inlineStr">
        <is>
          <t>KROKOM</t>
        </is>
      </c>
      <c r="F1004" t="inlineStr">
        <is>
          <t>Övriga Aktiebolag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34720-2023</t>
        </is>
      </c>
      <c r="B1005" s="1" t="n">
        <v>45139</v>
      </c>
      <c r="C1005" s="1" t="n">
        <v>45358</v>
      </c>
      <c r="D1005" t="inlineStr">
        <is>
          <t>JÄMTLANDS LÄN</t>
        </is>
      </c>
      <c r="E1005" t="inlineStr">
        <is>
          <t>KROKOM</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34801-2023</t>
        </is>
      </c>
      <c r="B1006" s="1" t="n">
        <v>45140</v>
      </c>
      <c r="C1006" s="1" t="n">
        <v>45358</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34803-2023</t>
        </is>
      </c>
      <c r="B1007" s="1" t="n">
        <v>45140</v>
      </c>
      <c r="C1007" s="1" t="n">
        <v>45358</v>
      </c>
      <c r="D1007" t="inlineStr">
        <is>
          <t>JÄMTLANDS LÄN</t>
        </is>
      </c>
      <c r="E1007" t="inlineStr">
        <is>
          <t>KROKOM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35257-2023</t>
        </is>
      </c>
      <c r="B1008" s="1" t="n">
        <v>45146</v>
      </c>
      <c r="C1008" s="1" t="n">
        <v>45358</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35281-2023</t>
        </is>
      </c>
      <c r="B1009" s="1" t="n">
        <v>45146</v>
      </c>
      <c r="C1009" s="1" t="n">
        <v>45358</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35282-2023</t>
        </is>
      </c>
      <c r="B1010" s="1" t="n">
        <v>45146</v>
      </c>
      <c r="C1010" s="1" t="n">
        <v>45358</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35334-2023</t>
        </is>
      </c>
      <c r="B1011" s="1" t="n">
        <v>45146</v>
      </c>
      <c r="C1011" s="1" t="n">
        <v>45358</v>
      </c>
      <c r="D1011" t="inlineStr">
        <is>
          <t>JÄMTLANDS LÄN</t>
        </is>
      </c>
      <c r="E1011" t="inlineStr">
        <is>
          <t>KROKOM</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35350-2023</t>
        </is>
      </c>
      <c r="B1012" s="1" t="n">
        <v>45146</v>
      </c>
      <c r="C1012" s="1" t="n">
        <v>45358</v>
      </c>
      <c r="D1012" t="inlineStr">
        <is>
          <t>JÄMTLANDS LÄN</t>
        </is>
      </c>
      <c r="E1012" t="inlineStr">
        <is>
          <t>KROKOM</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35887-2023</t>
        </is>
      </c>
      <c r="B1013" s="1" t="n">
        <v>45148</v>
      </c>
      <c r="C1013" s="1" t="n">
        <v>45358</v>
      </c>
      <c r="D1013" t="inlineStr">
        <is>
          <t>JÄMTLANDS LÄN</t>
        </is>
      </c>
      <c r="E1013" t="inlineStr">
        <is>
          <t>KROKOM</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36396-2023</t>
        </is>
      </c>
      <c r="B1014" s="1" t="n">
        <v>45149</v>
      </c>
      <c r="C1014" s="1" t="n">
        <v>45358</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36439-2023</t>
        </is>
      </c>
      <c r="B1015" s="1" t="n">
        <v>45152</v>
      </c>
      <c r="C1015" s="1" t="n">
        <v>45358</v>
      </c>
      <c r="D1015" t="inlineStr">
        <is>
          <t>JÄMTLANDS LÄN</t>
        </is>
      </c>
      <c r="E1015" t="inlineStr">
        <is>
          <t>KROKOM</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36424-2023</t>
        </is>
      </c>
      <c r="B1016" s="1" t="n">
        <v>45152</v>
      </c>
      <c r="C1016" s="1" t="n">
        <v>45358</v>
      </c>
      <c r="D1016" t="inlineStr">
        <is>
          <t>JÄMTLANDS LÄN</t>
        </is>
      </c>
      <c r="E1016" t="inlineStr">
        <is>
          <t>KROKOM</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36488-2023</t>
        </is>
      </c>
      <c r="B1017" s="1" t="n">
        <v>45152</v>
      </c>
      <c r="C1017" s="1" t="n">
        <v>45358</v>
      </c>
      <c r="D1017" t="inlineStr">
        <is>
          <t>JÄMTLANDS LÄN</t>
        </is>
      </c>
      <c r="E1017" t="inlineStr">
        <is>
          <t>KROKOM</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36535-2023</t>
        </is>
      </c>
      <c r="B1018" s="1" t="n">
        <v>45152</v>
      </c>
      <c r="C1018" s="1" t="n">
        <v>45358</v>
      </c>
      <c r="D1018" t="inlineStr">
        <is>
          <t>JÄMTLANDS LÄN</t>
        </is>
      </c>
      <c r="E1018" t="inlineStr">
        <is>
          <t>KROKOM</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36990-2023</t>
        </is>
      </c>
      <c r="B1019" s="1" t="n">
        <v>45154</v>
      </c>
      <c r="C1019" s="1" t="n">
        <v>45358</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37019-2023</t>
        </is>
      </c>
      <c r="B1020" s="1" t="n">
        <v>45155</v>
      </c>
      <c r="C1020" s="1" t="n">
        <v>45358</v>
      </c>
      <c r="D1020" t="inlineStr">
        <is>
          <t>JÄMTLANDS LÄN</t>
        </is>
      </c>
      <c r="E1020" t="inlineStr">
        <is>
          <t>KROKOM</t>
        </is>
      </c>
      <c r="F1020" t="inlineStr">
        <is>
          <t>Kyrkan</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37844-2023</t>
        </is>
      </c>
      <c r="B1021" s="1" t="n">
        <v>45158</v>
      </c>
      <c r="C1021" s="1" t="n">
        <v>45358</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37946-2023</t>
        </is>
      </c>
      <c r="B1022" s="1" t="n">
        <v>45159</v>
      </c>
      <c r="C1022" s="1" t="n">
        <v>45358</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38043-2023</t>
        </is>
      </c>
      <c r="B1023" s="1" t="n">
        <v>45160</v>
      </c>
      <c r="C1023" s="1" t="n">
        <v>45358</v>
      </c>
      <c r="D1023" t="inlineStr">
        <is>
          <t>JÄMTLANDS LÄN</t>
        </is>
      </c>
      <c r="E1023" t="inlineStr">
        <is>
          <t>KROKOM</t>
        </is>
      </c>
      <c r="F1023" t="inlineStr">
        <is>
          <t>Övriga Aktiebolag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38589-2023</t>
        </is>
      </c>
      <c r="B1024" s="1" t="n">
        <v>45162</v>
      </c>
      <c r="C1024" s="1" t="n">
        <v>45358</v>
      </c>
      <c r="D1024" t="inlineStr">
        <is>
          <t>JÄMTLANDS LÄN</t>
        </is>
      </c>
      <c r="E1024" t="inlineStr">
        <is>
          <t>KROKOM</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39063-2023</t>
        </is>
      </c>
      <c r="B1025" s="1" t="n">
        <v>45163</v>
      </c>
      <c r="C1025" s="1" t="n">
        <v>45358</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39078-2023</t>
        </is>
      </c>
      <c r="B1026" s="1" t="n">
        <v>45164</v>
      </c>
      <c r="C1026" s="1" t="n">
        <v>45358</v>
      </c>
      <c r="D1026" t="inlineStr">
        <is>
          <t>JÄMTLANDS LÄN</t>
        </is>
      </c>
      <c r="E1026" t="inlineStr">
        <is>
          <t>KROKOM</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39127-2023</t>
        </is>
      </c>
      <c r="B1027" s="1" t="n">
        <v>45165</v>
      </c>
      <c r="C1027" s="1" t="n">
        <v>45358</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39126-2023</t>
        </is>
      </c>
      <c r="B1028" s="1" t="n">
        <v>45165</v>
      </c>
      <c r="C1028" s="1" t="n">
        <v>45358</v>
      </c>
      <c r="D1028" t="inlineStr">
        <is>
          <t>JÄMTLANDS LÄN</t>
        </is>
      </c>
      <c r="E1028" t="inlineStr">
        <is>
          <t>KROKOM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39169-2023</t>
        </is>
      </c>
      <c r="B1029" s="1" t="n">
        <v>45166</v>
      </c>
      <c r="C1029" s="1" t="n">
        <v>45358</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39701-2023</t>
        </is>
      </c>
      <c r="B1030" s="1" t="n">
        <v>45166</v>
      </c>
      <c r="C1030" s="1" t="n">
        <v>45358</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39563-2023</t>
        </is>
      </c>
      <c r="B1031" s="1" t="n">
        <v>45167</v>
      </c>
      <c r="C1031" s="1" t="n">
        <v>45358</v>
      </c>
      <c r="D1031" t="inlineStr">
        <is>
          <t>JÄMTLANDS LÄN</t>
        </is>
      </c>
      <c r="E1031" t="inlineStr">
        <is>
          <t>KROKOM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39683-2023</t>
        </is>
      </c>
      <c r="B1032" s="1" t="n">
        <v>45167</v>
      </c>
      <c r="C1032" s="1" t="n">
        <v>45358</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39902-2023</t>
        </is>
      </c>
      <c r="B1033" s="1" t="n">
        <v>45168</v>
      </c>
      <c r="C1033" s="1" t="n">
        <v>45358</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40364-2023</t>
        </is>
      </c>
      <c r="B1034" s="1" t="n">
        <v>45168</v>
      </c>
      <c r="C1034" s="1" t="n">
        <v>45358</v>
      </c>
      <c r="D1034" t="inlineStr">
        <is>
          <t>JÄMTLANDS LÄN</t>
        </is>
      </c>
      <c r="E1034" t="inlineStr">
        <is>
          <t>KROKOM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41090-2023</t>
        </is>
      </c>
      <c r="B1035" s="1" t="n">
        <v>45173</v>
      </c>
      <c r="C1035" s="1" t="n">
        <v>45358</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45358</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41543-2023</t>
        </is>
      </c>
      <c r="B1037" s="1" t="n">
        <v>45173</v>
      </c>
      <c r="C1037" s="1" t="n">
        <v>45358</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41553-2023</t>
        </is>
      </c>
      <c r="B1038" s="1" t="n">
        <v>45173</v>
      </c>
      <c r="C1038" s="1" t="n">
        <v>45358</v>
      </c>
      <c r="D1038" t="inlineStr">
        <is>
          <t>JÄMTLANDS LÄN</t>
        </is>
      </c>
      <c r="E1038" t="inlineStr">
        <is>
          <t>KROKOM</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41404-2023</t>
        </is>
      </c>
      <c r="B1039" s="1" t="n">
        <v>45174</v>
      </c>
      <c r="C1039" s="1" t="n">
        <v>45358</v>
      </c>
      <c r="D1039" t="inlineStr">
        <is>
          <t>JÄMTLANDS LÄN</t>
        </is>
      </c>
      <c r="E1039" t="inlineStr">
        <is>
          <t>KROKOM</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41769-2023</t>
        </is>
      </c>
      <c r="B1040" s="1" t="n">
        <v>45176</v>
      </c>
      <c r="C1040" s="1" t="n">
        <v>45358</v>
      </c>
      <c r="D1040" t="inlineStr">
        <is>
          <t>JÄMTLANDS LÄN</t>
        </is>
      </c>
      <c r="E1040" t="inlineStr">
        <is>
          <t>KROKOM</t>
        </is>
      </c>
      <c r="F1040" t="inlineStr">
        <is>
          <t>Övriga Aktiebolag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41784-2023</t>
        </is>
      </c>
      <c r="B1041" s="1" t="n">
        <v>45176</v>
      </c>
      <c r="C1041" s="1" t="n">
        <v>45358</v>
      </c>
      <c r="D1041" t="inlineStr">
        <is>
          <t>JÄMTLANDS LÄN</t>
        </is>
      </c>
      <c r="E1041" t="inlineStr">
        <is>
          <t>KROKOM</t>
        </is>
      </c>
      <c r="F1041" t="inlineStr">
        <is>
          <t>Övriga Aktiebolag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42154-2023</t>
        </is>
      </c>
      <c r="B1042" s="1" t="n">
        <v>45177</v>
      </c>
      <c r="C1042" s="1" t="n">
        <v>45358</v>
      </c>
      <c r="D1042" t="inlineStr">
        <is>
          <t>JÄMTLANDS LÄN</t>
        </is>
      </c>
      <c r="E1042" t="inlineStr">
        <is>
          <t>KROKOM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42155-2023</t>
        </is>
      </c>
      <c r="B1043" s="1" t="n">
        <v>45177</v>
      </c>
      <c r="C1043" s="1" t="n">
        <v>45358</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42372-2023</t>
        </is>
      </c>
      <c r="B1044" s="1" t="n">
        <v>45180</v>
      </c>
      <c r="C1044" s="1" t="n">
        <v>45358</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42422-2023</t>
        </is>
      </c>
      <c r="B1045" s="1" t="n">
        <v>45180</v>
      </c>
      <c r="C1045" s="1" t="n">
        <v>45358</v>
      </c>
      <c r="D1045" t="inlineStr">
        <is>
          <t>JÄMTLANDS LÄN</t>
        </is>
      </c>
      <c r="E1045" t="inlineStr">
        <is>
          <t>KROKOM</t>
        </is>
      </c>
      <c r="F1045" t="inlineStr">
        <is>
          <t>Övriga Aktiebolag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45358</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42437-2023</t>
        </is>
      </c>
      <c r="B1047" s="1" t="n">
        <v>45180</v>
      </c>
      <c r="C1047" s="1" t="n">
        <v>45358</v>
      </c>
      <c r="D1047" t="inlineStr">
        <is>
          <t>JÄMTLANDS LÄN</t>
        </is>
      </c>
      <c r="E1047" t="inlineStr">
        <is>
          <t>KROKOM</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42417-2023</t>
        </is>
      </c>
      <c r="B1048" s="1" t="n">
        <v>45180</v>
      </c>
      <c r="C1048" s="1" t="n">
        <v>45358</v>
      </c>
      <c r="D1048" t="inlineStr">
        <is>
          <t>JÄMTLANDS LÄN</t>
        </is>
      </c>
      <c r="E1048" t="inlineStr">
        <is>
          <t>KROKOM</t>
        </is>
      </c>
      <c r="F1048" t="inlineStr">
        <is>
          <t>Övriga Aktiebolag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42439-2023</t>
        </is>
      </c>
      <c r="B1049" s="1" t="n">
        <v>45180</v>
      </c>
      <c r="C1049" s="1" t="n">
        <v>45358</v>
      </c>
      <c r="D1049" t="inlineStr">
        <is>
          <t>JÄMTLANDS LÄN</t>
        </is>
      </c>
      <c r="E1049" t="inlineStr">
        <is>
          <t>KROKOM</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42424-2023</t>
        </is>
      </c>
      <c r="B1050" s="1" t="n">
        <v>45180</v>
      </c>
      <c r="C1050" s="1" t="n">
        <v>45358</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42828-2023</t>
        </is>
      </c>
      <c r="B1051" s="1" t="n">
        <v>45182</v>
      </c>
      <c r="C1051" s="1" t="n">
        <v>45358</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42816-2023</t>
        </is>
      </c>
      <c r="B1052" s="1" t="n">
        <v>45182</v>
      </c>
      <c r="C1052" s="1" t="n">
        <v>45358</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42825-2023</t>
        </is>
      </c>
      <c r="B1053" s="1" t="n">
        <v>45182</v>
      </c>
      <c r="C1053" s="1" t="n">
        <v>45358</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44751-2023</t>
        </is>
      </c>
      <c r="B1054" s="1" t="n">
        <v>45184</v>
      </c>
      <c r="C1054" s="1" t="n">
        <v>45358</v>
      </c>
      <c r="D1054" t="inlineStr">
        <is>
          <t>JÄMTLANDS LÄN</t>
        </is>
      </c>
      <c r="E1054" t="inlineStr">
        <is>
          <t>KROKOM</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44594-2023</t>
        </is>
      </c>
      <c r="B1055" s="1" t="n">
        <v>45189</v>
      </c>
      <c r="C1055" s="1" t="n">
        <v>45358</v>
      </c>
      <c r="D1055" t="inlineStr">
        <is>
          <t>JÄMTLANDS LÄN</t>
        </is>
      </c>
      <c r="E1055" t="inlineStr">
        <is>
          <t>KROKOM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44453-2023</t>
        </is>
      </c>
      <c r="B1056" s="1" t="n">
        <v>45189</v>
      </c>
      <c r="C1056" s="1" t="n">
        <v>45358</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46061-2023</t>
        </is>
      </c>
      <c r="B1057" s="1" t="n">
        <v>45190</v>
      </c>
      <c r="C1057" s="1" t="n">
        <v>45358</v>
      </c>
      <c r="D1057" t="inlineStr">
        <is>
          <t>JÄMTLANDS LÄN</t>
        </is>
      </c>
      <c r="E1057" t="inlineStr">
        <is>
          <t>KROKOM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46046-2023</t>
        </is>
      </c>
      <c r="B1058" s="1" t="n">
        <v>45190</v>
      </c>
      <c r="C1058" s="1" t="n">
        <v>45358</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45455-2023</t>
        </is>
      </c>
      <c r="B1059" s="1" t="n">
        <v>45194</v>
      </c>
      <c r="C1059" s="1" t="n">
        <v>45358</v>
      </c>
      <c r="D1059" t="inlineStr">
        <is>
          <t>JÄMTLANDS LÄN</t>
        </is>
      </c>
      <c r="E1059" t="inlineStr">
        <is>
          <t>KROKOM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45494-2023</t>
        </is>
      </c>
      <c r="B1060" s="1" t="n">
        <v>45194</v>
      </c>
      <c r="C1060" s="1" t="n">
        <v>45358</v>
      </c>
      <c r="D1060" t="inlineStr">
        <is>
          <t>JÄMTLANDS LÄN</t>
        </is>
      </c>
      <c r="E1060" t="inlineStr">
        <is>
          <t>KROKOM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46676-2023</t>
        </is>
      </c>
      <c r="B1061" s="1" t="n">
        <v>45194</v>
      </c>
      <c r="C1061" s="1" t="n">
        <v>45358</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45786-2023</t>
        </is>
      </c>
      <c r="B1062" s="1" t="n">
        <v>45195</v>
      </c>
      <c r="C1062" s="1" t="n">
        <v>45358</v>
      </c>
      <c r="D1062" t="inlineStr">
        <is>
          <t>JÄMTLANDS LÄN</t>
        </is>
      </c>
      <c r="E1062" t="inlineStr">
        <is>
          <t>KROKOM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45822-2023</t>
        </is>
      </c>
      <c r="B1063" s="1" t="n">
        <v>45195</v>
      </c>
      <c r="C1063" s="1" t="n">
        <v>45358</v>
      </c>
      <c r="D1063" t="inlineStr">
        <is>
          <t>JÄMTLANDS LÄN</t>
        </is>
      </c>
      <c r="E1063" t="inlineStr">
        <is>
          <t>KROKOM</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45827-2023</t>
        </is>
      </c>
      <c r="B1064" s="1" t="n">
        <v>45195</v>
      </c>
      <c r="C1064" s="1" t="n">
        <v>45358</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46592-2023</t>
        </is>
      </c>
      <c r="B1065" s="1" t="n">
        <v>45198</v>
      </c>
      <c r="C1065" s="1" t="n">
        <v>45358</v>
      </c>
      <c r="D1065" t="inlineStr">
        <is>
          <t>JÄMTLANDS LÄN</t>
        </is>
      </c>
      <c r="E1065" t="inlineStr">
        <is>
          <t>KROKOM</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46626-2023</t>
        </is>
      </c>
      <c r="B1066" s="1" t="n">
        <v>45198</v>
      </c>
      <c r="C1066" s="1" t="n">
        <v>45358</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46636-2023</t>
        </is>
      </c>
      <c r="B1067" s="1" t="n">
        <v>45198</v>
      </c>
      <c r="C1067" s="1" t="n">
        <v>45358</v>
      </c>
      <c r="D1067" t="inlineStr">
        <is>
          <t>JÄMTLANDS LÄN</t>
        </is>
      </c>
      <c r="E1067" t="inlineStr">
        <is>
          <t>KROKOM</t>
        </is>
      </c>
      <c r="F1067" t="inlineStr">
        <is>
          <t>Övriga Aktiebolag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46632-2023</t>
        </is>
      </c>
      <c r="B1068" s="1" t="n">
        <v>45198</v>
      </c>
      <c r="C1068" s="1" t="n">
        <v>45358</v>
      </c>
      <c r="D1068" t="inlineStr">
        <is>
          <t>JÄMTLANDS LÄN</t>
        </is>
      </c>
      <c r="E1068" t="inlineStr">
        <is>
          <t>KROKOM</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46820-2023</t>
        </is>
      </c>
      <c r="B1069" s="1" t="n">
        <v>45199</v>
      </c>
      <c r="C1069" s="1" t="n">
        <v>45358</v>
      </c>
      <c r="D1069" t="inlineStr">
        <is>
          <t>JÄMTLANDS LÄN</t>
        </is>
      </c>
      <c r="E1069" t="inlineStr">
        <is>
          <t>KROKOM</t>
        </is>
      </c>
      <c r="F1069" t="inlineStr">
        <is>
          <t>SCA</t>
        </is>
      </c>
      <c r="G1069" t="n">
        <v>60.6</v>
      </c>
      <c r="H1069" t="n">
        <v>0</v>
      </c>
      <c r="I1069" t="n">
        <v>0</v>
      </c>
      <c r="J1069" t="n">
        <v>0</v>
      </c>
      <c r="K1069" t="n">
        <v>0</v>
      </c>
      <c r="L1069" t="n">
        <v>0</v>
      </c>
      <c r="M1069" t="n">
        <v>0</v>
      </c>
      <c r="N1069" t="n">
        <v>0</v>
      </c>
      <c r="O1069" t="n">
        <v>0</v>
      </c>
      <c r="P1069" t="n">
        <v>0</v>
      </c>
      <c r="Q1069" t="n">
        <v>0</v>
      </c>
      <c r="R1069" s="2" t="inlineStr"/>
    </row>
    <row r="1070" ht="15" customHeight="1">
      <c r="A1070" t="inlineStr">
        <is>
          <t>A 46832-2023</t>
        </is>
      </c>
      <c r="B1070" s="1" t="n">
        <v>45199</v>
      </c>
      <c r="C1070" s="1" t="n">
        <v>45358</v>
      </c>
      <c r="D1070" t="inlineStr">
        <is>
          <t>JÄMTLANDS LÄN</t>
        </is>
      </c>
      <c r="E1070" t="inlineStr">
        <is>
          <t>KROKOM</t>
        </is>
      </c>
      <c r="F1070" t="inlineStr">
        <is>
          <t>Övriga Aktiebolag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46841-2023</t>
        </is>
      </c>
      <c r="B1071" s="1" t="n">
        <v>45199</v>
      </c>
      <c r="C1071" s="1" t="n">
        <v>45358</v>
      </c>
      <c r="D1071" t="inlineStr">
        <is>
          <t>JÄMTLANDS LÄN</t>
        </is>
      </c>
      <c r="E1071" t="inlineStr">
        <is>
          <t>KROKOM</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48219-2023</t>
        </is>
      </c>
      <c r="B1072" s="1" t="n">
        <v>45200</v>
      </c>
      <c r="C1072" s="1" t="n">
        <v>45358</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45358</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45358</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45358</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45358</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45358</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45358</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45358</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45358</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45358</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45358</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45358</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45358</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45358</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45358</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45358</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45358</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45358</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45358</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45358</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45358</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45358</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45358</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50431-2023</t>
        </is>
      </c>
      <c r="B1095" s="1" t="n">
        <v>45216</v>
      </c>
      <c r="C1095" s="1" t="n">
        <v>45358</v>
      </c>
      <c r="D1095" t="inlineStr">
        <is>
          <t>JÄMTLANDS LÄN</t>
        </is>
      </c>
      <c r="E1095" t="inlineStr">
        <is>
          <t>KROKOM</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50363-2023</t>
        </is>
      </c>
      <c r="B1096" s="1" t="n">
        <v>45216</v>
      </c>
      <c r="C1096" s="1" t="n">
        <v>45358</v>
      </c>
      <c r="D1096" t="inlineStr">
        <is>
          <t>JÄMTLANDS LÄN</t>
        </is>
      </c>
      <c r="E1096" t="inlineStr">
        <is>
          <t>KROKOM</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51929-2023</t>
        </is>
      </c>
      <c r="B1097" s="1" t="n">
        <v>45216</v>
      </c>
      <c r="C1097" s="1" t="n">
        <v>45358</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50345-2023</t>
        </is>
      </c>
      <c r="B1098" s="1" t="n">
        <v>45216</v>
      </c>
      <c r="C1098" s="1" t="n">
        <v>45358</v>
      </c>
      <c r="D1098" t="inlineStr">
        <is>
          <t>JÄMTLANDS LÄN</t>
        </is>
      </c>
      <c r="E1098" t="inlineStr">
        <is>
          <t>KROKOM</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45358</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45358</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45358</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45358</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45358</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45358</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45358</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45358</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45358</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45358</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45358</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45358</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45358</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45358</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45358</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45358</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45358</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45358</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45358</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45358</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45358</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45358</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45358</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45358</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45358</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45358</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45358</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45358</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45358</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45358</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45358</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45358</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45358</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45358</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45358</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45358</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45358</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45358</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45358</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45358</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45358</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45358</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45358</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45358</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45358</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45358</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45358</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45358</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45358</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57727-2023</t>
        </is>
      </c>
      <c r="B1148" s="1" t="n">
        <v>45243</v>
      </c>
      <c r="C1148" s="1" t="n">
        <v>45358</v>
      </c>
      <c r="D1148" t="inlineStr">
        <is>
          <t>JÄMTLANDS LÄN</t>
        </is>
      </c>
      <c r="E1148" t="inlineStr">
        <is>
          <t>KROKOM</t>
        </is>
      </c>
      <c r="G1148" t="n">
        <v>32.9</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45358</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56924-2023</t>
        </is>
      </c>
      <c r="B1150" s="1" t="n">
        <v>45244</v>
      </c>
      <c r="C1150" s="1" t="n">
        <v>45358</v>
      </c>
      <c r="D1150" t="inlineStr">
        <is>
          <t>JÄMTLANDS LÄN</t>
        </is>
      </c>
      <c r="E1150" t="inlineStr">
        <is>
          <t>KROKOM</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56932-2023</t>
        </is>
      </c>
      <c r="B1151" s="1" t="n">
        <v>45244</v>
      </c>
      <c r="C1151" s="1" t="n">
        <v>45358</v>
      </c>
      <c r="D1151" t="inlineStr">
        <is>
          <t>JÄMTLANDS LÄN</t>
        </is>
      </c>
      <c r="E1151" t="inlineStr">
        <is>
          <t>KROKOM</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56936-2023</t>
        </is>
      </c>
      <c r="B1152" s="1" t="n">
        <v>45244</v>
      </c>
      <c r="C1152" s="1" t="n">
        <v>45358</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57239-2023</t>
        </is>
      </c>
      <c r="B1153" s="1" t="n">
        <v>45245</v>
      </c>
      <c r="C1153" s="1" t="n">
        <v>45358</v>
      </c>
      <c r="D1153" t="inlineStr">
        <is>
          <t>JÄMTLANDS LÄN</t>
        </is>
      </c>
      <c r="E1153" t="inlineStr">
        <is>
          <t>KROKOM</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57259-2023</t>
        </is>
      </c>
      <c r="B1154" s="1" t="n">
        <v>45245</v>
      </c>
      <c r="C1154" s="1" t="n">
        <v>45358</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57149-2023</t>
        </is>
      </c>
      <c r="B1155" s="1" t="n">
        <v>45245</v>
      </c>
      <c r="C1155" s="1" t="n">
        <v>45358</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57402-2023</t>
        </is>
      </c>
      <c r="B1156" s="1" t="n">
        <v>45246</v>
      </c>
      <c r="C1156" s="1" t="n">
        <v>45358</v>
      </c>
      <c r="D1156" t="inlineStr">
        <is>
          <t>JÄMTLANDS LÄN</t>
        </is>
      </c>
      <c r="E1156" t="inlineStr">
        <is>
          <t>KROKOM</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57401-2023</t>
        </is>
      </c>
      <c r="B1157" s="1" t="n">
        <v>45246</v>
      </c>
      <c r="C1157" s="1" t="n">
        <v>45358</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45358</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57782-2023</t>
        </is>
      </c>
      <c r="B1159" s="1" t="n">
        <v>45246</v>
      </c>
      <c r="C1159" s="1" t="n">
        <v>45358</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58569-2023</t>
        </is>
      </c>
      <c r="B1160" s="1" t="n">
        <v>45246</v>
      </c>
      <c r="C1160" s="1" t="n">
        <v>45358</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58556-2023</t>
        </is>
      </c>
      <c r="B1161" s="1" t="n">
        <v>45246</v>
      </c>
      <c r="C1161" s="1" t="n">
        <v>45358</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58594-2023</t>
        </is>
      </c>
      <c r="B1162" s="1" t="n">
        <v>45246</v>
      </c>
      <c r="C1162" s="1" t="n">
        <v>45358</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58563-2023</t>
        </is>
      </c>
      <c r="B1163" s="1" t="n">
        <v>45246</v>
      </c>
      <c r="C1163" s="1" t="n">
        <v>45358</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57820-2023</t>
        </is>
      </c>
      <c r="B1164" s="1" t="n">
        <v>45247</v>
      </c>
      <c r="C1164" s="1" t="n">
        <v>45358</v>
      </c>
      <c r="D1164" t="inlineStr">
        <is>
          <t>JÄMTLANDS LÄN</t>
        </is>
      </c>
      <c r="E1164" t="inlineStr">
        <is>
          <t>KROKOM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57847-2023</t>
        </is>
      </c>
      <c r="B1165" s="1" t="n">
        <v>45247</v>
      </c>
      <c r="C1165" s="1" t="n">
        <v>45358</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57814-2023</t>
        </is>
      </c>
      <c r="B1166" s="1" t="n">
        <v>45247</v>
      </c>
      <c r="C1166" s="1" t="n">
        <v>45358</v>
      </c>
      <c r="D1166" t="inlineStr">
        <is>
          <t>JÄMTLANDS LÄN</t>
        </is>
      </c>
      <c r="E1166" t="inlineStr">
        <is>
          <t>KROKOM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57856-2023</t>
        </is>
      </c>
      <c r="B1167" s="1" t="n">
        <v>45247</v>
      </c>
      <c r="C1167" s="1" t="n">
        <v>45358</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57861-2023</t>
        </is>
      </c>
      <c r="B1168" s="1" t="n">
        <v>45247</v>
      </c>
      <c r="C1168" s="1" t="n">
        <v>45358</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57849-2023</t>
        </is>
      </c>
      <c r="B1169" s="1" t="n">
        <v>45247</v>
      </c>
      <c r="C1169" s="1" t="n">
        <v>45358</v>
      </c>
      <c r="D1169" t="inlineStr">
        <is>
          <t>JÄMTLANDS LÄN</t>
        </is>
      </c>
      <c r="E1169" t="inlineStr">
        <is>
          <t>KROKOM</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58355-2023</t>
        </is>
      </c>
      <c r="B1170" s="1" t="n">
        <v>45250</v>
      </c>
      <c r="C1170" s="1" t="n">
        <v>45358</v>
      </c>
      <c r="D1170" t="inlineStr">
        <is>
          <t>JÄMTLANDS LÄN</t>
        </is>
      </c>
      <c r="E1170" t="inlineStr">
        <is>
          <t>KROKOM</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58264-2023</t>
        </is>
      </c>
      <c r="B1171" s="1" t="n">
        <v>45250</v>
      </c>
      <c r="C1171" s="1" t="n">
        <v>45358</v>
      </c>
      <c r="D1171" t="inlineStr">
        <is>
          <t>JÄMTLANDS LÄN</t>
        </is>
      </c>
      <c r="E1171" t="inlineStr">
        <is>
          <t>KROKOM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58677-2023</t>
        </is>
      </c>
      <c r="B1172" s="1" t="n">
        <v>45251</v>
      </c>
      <c r="C1172" s="1" t="n">
        <v>45358</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58942-2023</t>
        </is>
      </c>
      <c r="B1173" s="1" t="n">
        <v>45252</v>
      </c>
      <c r="C1173" s="1" t="n">
        <v>45358</v>
      </c>
      <c r="D1173" t="inlineStr">
        <is>
          <t>JÄMTLANDS LÄN</t>
        </is>
      </c>
      <c r="E1173" t="inlineStr">
        <is>
          <t>KROKOM</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58951-2023</t>
        </is>
      </c>
      <c r="B1174" s="1" t="n">
        <v>45252</v>
      </c>
      <c r="C1174" s="1" t="n">
        <v>45358</v>
      </c>
      <c r="D1174" t="inlineStr">
        <is>
          <t>JÄMTLANDS LÄN</t>
        </is>
      </c>
      <c r="E1174" t="inlineStr">
        <is>
          <t>KROKOM</t>
        </is>
      </c>
      <c r="F1174" t="inlineStr">
        <is>
          <t>Övriga Aktiebolag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45358</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45358</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45358</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45358</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45358</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45358</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45358</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45358</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45358</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45358</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45358</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45358</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45358</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45358</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45358</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45358</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45358</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45358</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45358</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45358</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45358</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45358</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45358</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45358</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45358</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45358</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45358</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45358</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45358</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45358</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45358</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45358</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45358</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45358</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45358</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45358</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45358</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45358</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45358</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45358</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45358</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45358</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45358</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45358</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45358</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45358</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45358</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45358</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45358</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45358</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45358</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45358</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45358</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45358</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45358</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45358</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45358</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45358</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45358</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45358</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45358</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45358</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5437-2024</t>
        </is>
      </c>
      <c r="B1237" s="1" t="n">
        <v>45331</v>
      </c>
      <c r="C1237" s="1" t="n">
        <v>45358</v>
      </c>
      <c r="D1237" t="inlineStr">
        <is>
          <t>JÄMTLANDS LÄN</t>
        </is>
      </c>
      <c r="E1237" t="inlineStr">
        <is>
          <t>KROKOM</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45358</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45358</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45358</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6482-2024</t>
        </is>
      </c>
      <c r="B1241" s="1" t="n">
        <v>45338</v>
      </c>
      <c r="C1241" s="1" t="n">
        <v>45358</v>
      </c>
      <c r="D1241" t="inlineStr">
        <is>
          <t>JÄMTLANDS LÄN</t>
        </is>
      </c>
      <c r="E1241" t="inlineStr">
        <is>
          <t>KROKOM</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6403-2024</t>
        </is>
      </c>
      <c r="B1242" s="1" t="n">
        <v>45338</v>
      </c>
      <c r="C1242" s="1" t="n">
        <v>45358</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45358</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45358</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45358</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45358</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7575-2024</t>
        </is>
      </c>
      <c r="B1247" s="1" t="n">
        <v>45348</v>
      </c>
      <c r="C1247" s="1" t="n">
        <v>45358</v>
      </c>
      <c r="D1247" t="inlineStr">
        <is>
          <t>JÄMTLANDS LÄN</t>
        </is>
      </c>
      <c r="E1247" t="inlineStr">
        <is>
          <t>KROKOM</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45358</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45358</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45358</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45358</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c r="A1252" t="inlineStr">
        <is>
          <t>A 8130-2024</t>
        </is>
      </c>
      <c r="B1252" s="1" t="n">
        <v>45351</v>
      </c>
      <c r="C1252" s="1" t="n">
        <v>45358</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2024-03-07T13:20:22Z</dcterms:created>
  <dcterms:modified xmlns:dcterms="http://purl.org/dc/terms/" xmlns:xsi="http://www.w3.org/2001/XMLSchema-instance" xsi:type="dcterms:W3CDTF">2024-03-07T13:20:23Z</dcterms:modified>
</cp:coreProperties>
</file>