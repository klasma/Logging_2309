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45745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45745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45745</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45745</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45745</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45745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45745</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45745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45745</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45745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45745</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45745</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45745</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45745</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45745</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45745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45745</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45745</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45745</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45745</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45745</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45745</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45745</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45745</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45745</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45745</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45745</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45745</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45745</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45745</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45745</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45745</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45745</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45745</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45745</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45745</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45745</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45745</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45745</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45745</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45745</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45745</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45745</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45745</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45745</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45745</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45745</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45745</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45745</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45745</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45745</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45745</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45745</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45745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45745</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45745</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45745</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45745</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45745</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45745</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45745</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45745</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45745</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45745</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45745</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45745</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45745</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45745</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45745</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45745</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45745</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45745</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45745</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45745</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45745</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45745</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45745</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45745</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45745</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45745</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45745</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45745</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45745</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45745</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45745</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45745</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45745</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45745</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45745</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45745</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45745</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45745</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45745</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45745</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45745</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45745</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45745</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45745</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45745</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45745</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45745</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45745</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45745</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45745</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45745</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45745</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45745</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45745</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45745</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45745</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45745</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45745</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45745</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45745</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45745</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45745</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45745</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45745</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45745</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45745</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45745</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45745</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45745</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45745</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45745</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45745</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45745</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45745</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45745</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45745</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45745</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45745</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45745</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45745</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45745</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45745</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45745</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45745</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45745</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45745</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45745</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HYPERLINK("https://klasma.github.io/Logging_232309/artfynd/A 11319-2025 artfynd.xlsx", "A 11319-2025")</f>
        <v/>
      </c>
      <c r="T142">
        <f>HYPERLINK("https://klasma.github.io/Logging_232309/kartor/A 11319-2025 karta.png", "A 11319-2025")</f>
        <v/>
      </c>
      <c r="V142">
        <f>HYPERLINK("https://klasma.github.io/Logging_232309/klagomål/A 11319-2025 FSC-klagomål.docx", "A 11319-2025")</f>
        <v/>
      </c>
      <c r="W142">
        <f>HYPERLINK("https://klasma.github.io/Logging_232309/klagomålsmail/A 11319-2025 FSC-klagomål mail.docx", "A 11319-2025")</f>
        <v/>
      </c>
      <c r="X142">
        <f>HYPERLINK("https://klasma.github.io/Logging_232309/tillsyn/A 11319-2025 tillsynsbegäran.docx", "A 11319-2025")</f>
        <v/>
      </c>
      <c r="Y142">
        <f>HYPERLINK("https://klasma.github.io/Logging_232309/tillsynsmail/A 11319-2025 tillsynsbegäran mail.docx", "A 11319-2025")</f>
        <v/>
      </c>
    </row>
    <row r="143" ht="15" customHeight="1">
      <c r="A143" t="inlineStr">
        <is>
          <t>A 36192-2019</t>
        </is>
      </c>
      <c r="B143" s="1" t="n">
        <v>43669</v>
      </c>
      <c r="C143" s="1" t="n">
        <v>45745</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45745</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45745</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45745</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45745</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45745</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45745</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45745</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45745</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45745</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45745</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45745</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45745</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45745</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45745</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45745</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45745</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45745</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45745</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45745</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45745</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45745</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45745</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45745</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45745</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45745</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45745</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45745</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45745</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45745</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45745</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45745</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45745</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45745</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45745</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45745</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45745</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45745</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45745</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45745</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45745</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45745</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45745</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45745</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45745</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45745</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45745</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45745</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45745</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45745</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45745</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45745</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45745</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45745</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45745</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45745</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45745</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45745</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45745</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45745</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45745</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45745</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45745</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45745</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45745</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45745</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45745</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45745</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45745</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45745</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45745</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45745</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45745</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45745</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45745</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45745</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45745</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45745</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45745</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45745</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45745</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45745</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45745</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45745</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45745</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45745</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45745</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45745</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45745</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45745</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45745</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45745</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45745</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45745</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45745</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45745</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45745</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45745</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45745</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45745</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45745</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45745</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HYPERLINK("https://klasma.github.io/Logging_232309/artfynd/A 13393-2025 artfynd.xlsx", "A 13393-2025")</f>
        <v/>
      </c>
      <c r="T244">
        <f>HYPERLINK("https://klasma.github.io/Logging_232309/kartor/A 13393-2025 karta.png", "A 13393-2025")</f>
        <v/>
      </c>
      <c r="V244">
        <f>HYPERLINK("https://klasma.github.io/Logging_232309/klagomål/A 13393-2025 FSC-klagomål.docx", "A 13393-2025")</f>
        <v/>
      </c>
      <c r="W244">
        <f>HYPERLINK("https://klasma.github.io/Logging_232309/klagomålsmail/A 13393-2025 FSC-klagomål mail.docx", "A 13393-2025")</f>
        <v/>
      </c>
      <c r="X244">
        <f>HYPERLINK("https://klasma.github.io/Logging_232309/tillsyn/A 13393-2025 tillsynsbegäran.docx", "A 13393-2025")</f>
        <v/>
      </c>
      <c r="Y244">
        <f>HYPERLINK("https://klasma.github.io/Logging_232309/tillsynsmail/A 13393-2025 tillsynsbegäran mail.docx", "A 13393-2025")</f>
        <v/>
      </c>
    </row>
    <row r="245" ht="15" customHeight="1">
      <c r="A245" t="inlineStr">
        <is>
          <t>A 21669-2019</t>
        </is>
      </c>
      <c r="B245" s="1" t="n">
        <v>43581</v>
      </c>
      <c r="C245" s="1" t="n">
        <v>45745</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45745</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45745</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45745</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45745</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45745</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45745</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45745</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45745</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45745</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45745</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45745</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45745</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45745</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45745</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45745</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45745</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45745</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45745</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45745</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45745</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45745</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45745</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45745</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45745</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45745</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45745</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45745</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45745</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45745</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45745</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45745</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45745</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45745</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45745</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45745</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45745</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45745</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45745</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45745</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45745</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45745</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45745</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45745</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45745</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45745</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45745</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45745</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45745</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45745</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45745</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45745</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45745</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45745</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45745</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45745</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45745</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45745</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45745</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45745</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45745</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45745</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45745</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45745</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45745</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45745</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45745</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45745</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45745</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45745</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45745</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45745</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45745</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45745</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45745</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45745</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45745</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45745</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45745</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45745</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45745</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45745</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45745</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45745</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45745</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45745</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45745</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45745</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45745</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45745</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45745</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HYPERLINK("https://klasma.github.io/Logging_232309/artfynd/A 13485-2025 artfynd.xlsx", "A 13485-2025")</f>
        <v/>
      </c>
      <c r="T335">
        <f>HYPERLINK("https://klasma.github.io/Logging_232309/kartor/A 13485-2025 karta.png", "A 13485-2025")</f>
        <v/>
      </c>
      <c r="V335">
        <f>HYPERLINK("https://klasma.github.io/Logging_232309/klagomål/A 13485-2025 FSC-klagomål.docx", "A 13485-2025")</f>
        <v/>
      </c>
      <c r="W335">
        <f>HYPERLINK("https://klasma.github.io/Logging_232309/klagomålsmail/A 13485-2025 FSC-klagomål mail.docx", "A 13485-2025")</f>
        <v/>
      </c>
      <c r="X335">
        <f>HYPERLINK("https://klasma.github.io/Logging_232309/tillsyn/A 13485-2025 tillsynsbegäran.docx", "A 13485-2025")</f>
        <v/>
      </c>
      <c r="Y335">
        <f>HYPERLINK("https://klasma.github.io/Logging_232309/tillsynsmail/A 13485-2025 tillsynsbegäran mail.docx", "A 13485-2025")</f>
        <v/>
      </c>
    </row>
    <row r="336" ht="15" customHeight="1">
      <c r="A336" t="inlineStr">
        <is>
          <t>A 17853-2019</t>
        </is>
      </c>
      <c r="B336" s="1" t="n">
        <v>43556</v>
      </c>
      <c r="C336" s="1" t="n">
        <v>45745</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45745</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45745</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45745</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45745</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45745</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45745</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45745</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45745</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45745</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45745</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45745</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45745</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45745</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45745</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45745</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45745</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45745</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45745</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45745</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45745</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45745</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45745</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45745</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45745</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45745</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45745</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45745</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45745</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45745</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45745</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45745</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45745</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45745</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45745</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45745</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45745</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45745</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45745</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45745</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45745</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45745</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45745</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45745</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45745</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45745</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45745</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45745</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45745</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45745</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45745</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45745</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45745</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45745</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45745</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45745</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45745</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45745</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45745</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45745</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45745</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45745</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45745</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45745</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45745</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45745</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45745</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45745</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45745</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45745</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45745</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45745</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45745</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45745</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45745</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45745</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45745</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45745</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45745</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45745</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45745</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45745</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45745</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45745</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45745</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45745</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45745</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45745</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45745</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45745</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45745</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45745</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45745</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45745</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45745</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45745</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45745</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45745</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45745</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45745</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45745</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45745</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45745</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45745</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45745</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45745</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45745</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45745</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45745</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45745</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45745</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45745</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45745</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45745</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45745</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45745</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45745</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45745</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45745</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45745</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45745</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45745</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45745</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45745</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45745</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45745</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45745</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45745</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45745</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45745</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45745</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45745</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45745</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45745</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45745</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45745</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45745</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45745</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45745</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45745</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45745</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45745</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45745</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45745</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45745</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45745</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45745</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45745</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45745</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45745</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45745</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45745</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45745</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45745</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45745</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45745</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45745</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45745</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45745</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45745</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45745</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45745</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45745</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45745</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45745</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45745</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45745</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45745</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45745</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45745</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45745</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45745</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45745</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45745</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45745</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45745</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45745</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45745</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45745</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45745</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45745</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45745</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45745</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45745</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45745</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45745</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45745</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45745</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45745</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45745</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45745</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45745</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45745</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45745</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45745</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45745</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45745</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45745</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45745</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45745</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45745</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45745</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45745</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45745</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45745</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45745</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45745</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45745</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45745</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45745</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45745</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45745</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45745</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45745</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45745</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45745</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45745</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45745</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45745</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45745</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45745</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45745</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45745</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45745</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45745</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45745</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45745</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45745</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45745</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45745</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45745</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45745</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45745</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45745</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45745</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45745</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45745</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45745</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45745</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45745</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45745</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45745</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45745</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45745</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45745</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45745</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45745</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45745</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45745</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45745</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45745</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45745</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45745</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45745</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45745</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45745</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45745</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45745</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45745</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45745</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45745</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45745</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45745</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45745</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45745</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45745</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45745</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45745</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45745</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45745</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45745</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45745</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45745</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45745</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45745</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45745</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45745</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45745</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45745</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45745</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45745</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45745</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45745</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45745</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45745</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45745</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45745</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45745</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45745</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45745</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45745</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45745</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45745</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45745</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45745</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45745</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45745</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45745</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45745</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45745</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45745</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45745</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45745</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45745</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45745</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45745</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45745</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45745</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45745</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45745</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45745</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45745</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45745</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45745</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45745</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45745</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45745</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45745</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45745</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45745</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45745</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45745</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45745</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45745</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45745</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45745</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45745</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45745</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45745</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45745</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45745</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45745</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45745</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45745</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45745</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45745</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45745</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45745</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45745</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45745</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45745</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45745</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45745</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45745</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45745</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45745</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45745</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45745</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45745</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45745</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45745</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45745</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45745</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45745</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45745</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45745</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45745</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45745</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45745</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45745</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45745</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45745</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45745</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45745</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45745</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45745</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45745</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45745</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45745</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45745</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45745</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45745</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45745</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45745</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45745</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45745</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45745</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45745</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45745</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45745</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45745</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45745</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45745</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45745</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45745</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45745</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45745</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45745</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45745</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45745</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45745</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45745</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45745</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45745</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45745</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45745</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45745</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45745</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45745</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45745</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45745</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45745</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45745</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45745</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45745</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45745</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45745</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45745</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45745</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45745</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45745</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45745</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45745</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45745</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45745</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45745</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45745</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45745</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45745</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45745</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45745</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45745</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45745</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45745</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45745</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45745</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45745</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45745</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45745</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45745</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45745</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45745</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45745</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45745</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45745</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45745</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45745</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45745</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45745</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45745</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45745</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45745</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45745</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45745</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45745</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45745</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45745</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45745</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45745</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45745</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45745</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45745</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45745</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45745</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45745</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45745</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45745</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45745</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45745</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45745</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45745</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45745</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45745</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45745</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45745</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45745</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45745</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45745</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45745</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45745</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45745</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45745</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45745</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45745</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45745</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45745</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45745</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45745</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45745</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45745</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45745</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45745</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45745</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45745</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45745</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45745</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45745</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45745</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45745</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45745</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45745</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45745</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45745</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45745</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45745</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45745</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45745</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45745</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45745</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45745</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45745</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45745</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45745</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45745</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45745</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45745</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45745</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45745</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45745</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45745</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45745</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45745</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45745</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45745</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45745</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45745</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45745</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45745</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45745</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45745</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45745</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45745</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45745</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45745</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45745</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45745</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45745</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45745</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45745</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45745</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45745</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45745</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45745</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45745</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45745</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45745</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45745</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45745</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45745</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45745</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45745</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45745</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45745</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45745</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45745</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45745</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45745</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45745</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45745</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45745</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45745</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45745</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45745</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45745</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45745</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45745</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45745</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45745</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45745</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45745</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45745</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45745</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45745</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45745</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45745</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45745</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45745</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45745</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45745</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45745</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45745</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45745</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45745</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45745</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45745</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45745</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45745</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45745</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45745</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45745</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45745</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45745</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45745</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45745</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45745</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45745</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45745</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45745</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45745</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45745</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45745</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45745</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45745</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45745</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45745</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45745</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45745</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45745</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45745</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45745</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45745</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45745</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45745</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45745</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45745</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45745</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45745</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45745</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45745</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45745</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45745</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45745</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45745</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45745</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45745</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45745</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45745</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45745</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45745</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45745</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45745</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45745</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45745</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45745</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45745</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45745</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45745</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45745</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45745</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45745</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45745</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45745</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45745</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45745</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45745</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45745</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45745</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45745</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45745</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45745</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45745</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45745</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45745</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45745</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45745</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45745</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45745</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45745</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45745</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45745</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45745</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45745</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45745</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45745</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45745</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45745</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45745</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45745</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45745</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45745</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45745</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45745</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45745</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45745</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45745</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45745</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45745</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45745</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45745</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45745</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45745</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45745</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45745</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45745</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45745</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45745</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45745</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45745</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45745</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45745</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45745</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45745</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45745</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45745</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45745</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45745</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45745</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45745</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45745</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45745</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45745</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45745</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45745</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45745</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45745</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45745</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45745</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45745</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45745</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45745</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45745</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45745</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45745</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45745</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45745</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45745</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45745</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45745</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45745</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45745</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45745</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45745</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45745</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45745</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45745</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45745</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45745</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45745</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45745</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45745</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45745</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45745</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45745</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45745</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45745</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45745</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45745</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45745</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45745</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45745</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45745</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45745</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45745</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45745</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45745</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45745</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45745</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45745</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45745</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45745</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45745</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45745</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45745</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45745</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45745</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45745</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45745</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45745</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45745</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45745</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45745</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45745</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45745</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45745</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45745</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45745</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45745</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45745</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45745</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45745</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45745</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45745</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45745</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45745</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45745</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45745</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45745</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45745</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45745</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45745</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45745</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45745</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45745</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45745</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45745</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45745</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45745</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45745</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45745</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45745</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45745</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45745</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45745</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45745</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45745</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45745</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45745</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45745</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45745</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45745</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45745</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45745</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45745</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45745</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45745</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45745</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45745</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45745</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45745</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45745</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45745</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45745</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45745</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45745</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45745</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45745</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45745</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45745</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45745</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45745</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45745</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45745</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45745</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45745</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45745</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45745</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45745</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45745</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45745</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45745</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45745</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45745</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45745</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45745</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45745</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45745</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45745</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45745</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45745</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45745</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45745</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45745</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45745</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45745</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45745</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45745</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45745</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45745</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45745</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45745</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45745</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45745</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45745</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45745</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45745</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45745</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45745</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45745</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45745</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45745</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45745</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45745</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45745</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45745</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45745</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45745</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45745</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45745</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45745</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45745</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45745</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45745</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45745</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45745</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45745</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45745</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45745</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45745</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45745</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45745</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45745</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45745</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45745</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45745</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45745</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45745</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45745</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45745</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45745</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45745</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45745</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45745</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45745</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45745</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45745</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45745</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45745</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45745</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45745</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45745</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45745</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45745</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45745</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45745</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45745</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45745</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45745</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45745</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45745</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45745</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45745</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45745</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45745</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45745</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45745</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45745</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45745</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45745</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45745</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45745</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45745</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45745</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45745</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45745</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45745</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45745</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45745</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45745</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45745</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45745</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45745</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45745</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45745</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45745</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45745</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45745</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45745</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45745</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45745</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45745</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45745</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45745</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45745</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45745</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45745</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45745</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45745</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45745</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45745</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45745</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45745</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45745</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45745</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45745</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45745</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45745</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45745</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45745</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45745</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45745</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45745</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45745</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45745</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45745</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45745</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45745</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45745</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45745</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45745</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45745</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45745</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45745</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45745</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45745</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45745</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45745</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45745</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45745</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45745</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45745</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45745</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45745</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45745</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45745</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45745</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45745</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45745</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45745</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45745</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45745</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45745</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45745</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45745</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45745</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45745</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45745</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45745</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45745</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45745</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45745</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45745</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45745</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45745</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45745</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45745</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45745</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45745</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45745</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45745</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45745</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45745</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45745</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45745</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45745</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45745</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45745</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45745</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45745</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45745</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45745</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45745</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45745</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45745</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45745</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45745</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45745</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45745</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45745</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45745</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45745</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45745</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45745</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45745</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45745</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45745</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45745</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45745</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45745</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45745</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45745</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45745</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45745</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45745</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45745</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45745</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45745</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45745</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45745</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45745</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45745</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45745</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45745</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45745</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45745</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45745</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45745</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45745</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45745</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45745</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45745</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45745</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45745</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45745</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45745</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45745</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45745</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45745</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45745</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45745</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45745</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45745</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45745</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45745</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45745</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45745</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45745</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45745</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45745</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45745</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45745</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45745</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45745</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45745</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45745</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45745</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45745</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45745</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45745</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45745</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45745</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45745</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45745</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45745</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45745</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45745</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45745</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45745</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45745</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45745</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45745</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45745</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45745</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45745</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45745</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45745</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45745</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45745</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45745</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45745</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45745</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45745</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45745</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45745</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45745</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45745</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45745</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45745</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45745</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45745</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45745</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45745</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45745</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45745</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45745</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45745</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45745</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45745</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45745</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45745</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45745</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45745</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45745</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45745</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45745</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45745</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45745</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45745</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45745</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45745</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45745</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45745</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45745</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45745</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45745</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45745</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45745</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45745</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45745</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45745</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45745</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45745</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45745</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45745</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45745</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45745</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45745</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45745</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45745</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45745</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45745</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45745</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45745</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45745</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45745</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45745</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45745</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45745</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45745</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45745</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45745</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45745</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45745</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45745</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45745</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45745</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45745</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45745</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45745</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45745</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45745</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45745</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45745</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45745</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45745</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45745</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45745</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45745</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45745</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45745</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45745</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45745</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45745</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45745</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45745</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45745</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45745</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45745</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45745</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45745</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45745</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45745</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45745</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45745</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45745</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45745</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45745</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45745</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45745</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45745</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45745</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45745</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45745</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45745</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45745</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45745</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45745</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45745</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45745</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45745</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45745</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45745</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45745</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45745</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45745</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45745</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45745</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45745</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45745</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45745</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45745</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45745</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45745</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45745</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45745</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45745</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45745</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45745</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45745</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45745</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45745</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45745</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45745</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45745</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45745</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45745</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45745</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45745</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45745</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45745</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45745</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45745</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45745</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45745</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45745</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45745</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45745</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45745</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45745</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45745</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45745</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45745</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45745</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45745</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45745</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45745</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45745</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45745</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45745</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45745</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45745</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45745</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45745</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45745</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45745</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45745</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45745</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45745</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45745</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45745</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45745</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45745</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45745</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45745</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45745</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45745</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45745</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45745</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45745</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45745</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45745</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45745</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45745</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45745</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45745</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45745</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45745</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45745</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45745</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45745</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45745</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45745</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45745</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45745</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45745</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45745</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45745</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45745</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45745</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45745</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45745</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45745</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45745</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45745</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45745</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45745</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45745</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45745</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45745</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45745</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45745</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45745</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45745</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45745</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45745</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45745</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45745</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45745</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45745</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45745</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45745</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45745</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45745</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45745</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45745</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45745</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45745</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45745</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45745</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45745</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45745</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45745</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45745</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45745</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45745</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45745</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45745</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45745</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45745</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45745</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45745</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45745</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45745</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45745</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45745</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45745</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45745</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45745</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45745</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45745</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45745</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45745</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45745</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45745</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45745</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45745</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45745</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45745</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45745</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45745</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45745</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45745</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45745</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45745</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45745</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45745</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45745</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45745</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45745</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45745</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45745</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45745</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45745</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45745</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45745</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45745</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45745</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45745</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45745</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45745</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45745</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45745</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45745</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45745</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45745</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45745</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45745</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45745</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45745</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45745</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45745</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45745</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45745</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45745</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45745</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45745</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45745</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45745</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45745</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45745</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45745</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45745</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45745</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45745</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45745</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45745</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9016-2025</t>
        </is>
      </c>
      <c r="B1741" s="1" t="n">
        <v>45713</v>
      </c>
      <c r="C1741" s="1" t="n">
        <v>45745</v>
      </c>
      <c r="D1741" t="inlineStr">
        <is>
          <t>JÄMTLANDS LÄN</t>
        </is>
      </c>
      <c r="E1741" t="inlineStr">
        <is>
          <t>KROKOM</t>
        </is>
      </c>
      <c r="F1741" t="inlineStr">
        <is>
          <t>Övriga Aktiebolag</t>
        </is>
      </c>
      <c r="G1741" t="n">
        <v>19.3</v>
      </c>
      <c r="H1741" t="n">
        <v>0</v>
      </c>
      <c r="I1741" t="n">
        <v>0</v>
      </c>
      <c r="J1741" t="n">
        <v>0</v>
      </c>
      <c r="K1741" t="n">
        <v>0</v>
      </c>
      <c r="L1741" t="n">
        <v>0</v>
      </c>
      <c r="M1741" t="n">
        <v>0</v>
      </c>
      <c r="N1741" t="n">
        <v>0</v>
      </c>
      <c r="O1741" t="n">
        <v>0</v>
      </c>
      <c r="P1741" t="n">
        <v>0</v>
      </c>
      <c r="Q1741" t="n">
        <v>0</v>
      </c>
      <c r="R1741" s="2" t="inlineStr"/>
    </row>
    <row r="1742" ht="15" customHeight="1">
      <c r="A1742" t="inlineStr">
        <is>
          <t>A 8865-2025</t>
        </is>
      </c>
      <c r="B1742" s="1" t="n">
        <v>45713</v>
      </c>
      <c r="C1742" s="1" t="n">
        <v>45745</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9025-2025</t>
        </is>
      </c>
      <c r="B1743" s="1" t="n">
        <v>45713</v>
      </c>
      <c r="C1743" s="1" t="n">
        <v>45745</v>
      </c>
      <c r="D1743" t="inlineStr">
        <is>
          <t>JÄMTLANDS LÄN</t>
        </is>
      </c>
      <c r="E1743" t="inlineStr">
        <is>
          <t>KROKOM</t>
        </is>
      </c>
      <c r="F1743" t="inlineStr">
        <is>
          <t>Övriga Aktiebolag</t>
        </is>
      </c>
      <c r="G1743" t="n">
        <v>28.4</v>
      </c>
      <c r="H1743" t="n">
        <v>0</v>
      </c>
      <c r="I1743" t="n">
        <v>0</v>
      </c>
      <c r="J1743" t="n">
        <v>0</v>
      </c>
      <c r="K1743" t="n">
        <v>0</v>
      </c>
      <c r="L1743" t="n">
        <v>0</v>
      </c>
      <c r="M1743" t="n">
        <v>0</v>
      </c>
      <c r="N1743" t="n">
        <v>0</v>
      </c>
      <c r="O1743" t="n">
        <v>0</v>
      </c>
      <c r="P1743" t="n">
        <v>0</v>
      </c>
      <c r="Q1743" t="n">
        <v>0</v>
      </c>
      <c r="R1743" s="2" t="inlineStr"/>
    </row>
    <row r="1744" ht="15" customHeight="1">
      <c r="A1744" t="inlineStr">
        <is>
          <t>A 9022-2025</t>
        </is>
      </c>
      <c r="B1744" s="1" t="n">
        <v>45713</v>
      </c>
      <c r="C1744" s="1" t="n">
        <v>45745</v>
      </c>
      <c r="D1744" t="inlineStr">
        <is>
          <t>JÄMTLANDS LÄN</t>
        </is>
      </c>
      <c r="E1744" t="inlineStr">
        <is>
          <t>KROKOM</t>
        </is>
      </c>
      <c r="F1744" t="inlineStr">
        <is>
          <t>Övriga Aktiebolag</t>
        </is>
      </c>
      <c r="G1744" t="n">
        <v>29.9</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45745</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45745</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9623-2025</t>
        </is>
      </c>
      <c r="B1747" s="1" t="n">
        <v>45715</v>
      </c>
      <c r="C1747" s="1" t="n">
        <v>45745</v>
      </c>
      <c r="D1747" t="inlineStr">
        <is>
          <t>JÄMTLANDS LÄN</t>
        </is>
      </c>
      <c r="E1747" t="inlineStr">
        <is>
          <t>KROKOM</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9388-2025</t>
        </is>
      </c>
      <c r="B1748" s="1" t="n">
        <v>45715</v>
      </c>
      <c r="C1748" s="1" t="n">
        <v>45745</v>
      </c>
      <c r="D1748" t="inlineStr">
        <is>
          <t>JÄMTLANDS LÄN</t>
        </is>
      </c>
      <c r="E1748" t="inlineStr">
        <is>
          <t>KROKOM</t>
        </is>
      </c>
      <c r="F1748" t="inlineStr">
        <is>
          <t>Övriga Aktiebolag</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9621-2025</t>
        </is>
      </c>
      <c r="B1749" s="1" t="n">
        <v>45715</v>
      </c>
      <c r="C1749" s="1" t="n">
        <v>45745</v>
      </c>
      <c r="D1749" t="inlineStr">
        <is>
          <t>JÄMTLANDS LÄN</t>
        </is>
      </c>
      <c r="E1749" t="inlineStr">
        <is>
          <t>KROKOM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9701-2025</t>
        </is>
      </c>
      <c r="B1750" s="1" t="n">
        <v>45716</v>
      </c>
      <c r="C1750" s="1" t="n">
        <v>45745</v>
      </c>
      <c r="D1750" t="inlineStr">
        <is>
          <t>JÄMTLANDS LÄN</t>
        </is>
      </c>
      <c r="E1750" t="inlineStr">
        <is>
          <t>KROKOM</t>
        </is>
      </c>
      <c r="F1750" t="inlineStr">
        <is>
          <t>Övriga Aktiebolag</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9796-2025</t>
        </is>
      </c>
      <c r="B1751" s="1" t="n">
        <v>45716</v>
      </c>
      <c r="C1751" s="1" t="n">
        <v>45745</v>
      </c>
      <c r="D1751" t="inlineStr">
        <is>
          <t>JÄMTLANDS LÄN</t>
        </is>
      </c>
      <c r="E1751" t="inlineStr">
        <is>
          <t>KROKOM</t>
        </is>
      </c>
      <c r="F1751" t="inlineStr">
        <is>
          <t>SCA</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10128-2025</t>
        </is>
      </c>
      <c r="B1752" s="1" t="n">
        <v>45719</v>
      </c>
      <c r="C1752" s="1" t="n">
        <v>45745</v>
      </c>
      <c r="D1752" t="inlineStr">
        <is>
          <t>JÄMTLANDS LÄN</t>
        </is>
      </c>
      <c r="E1752" t="inlineStr">
        <is>
          <t>KROKOM</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45745</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10051-2025</t>
        </is>
      </c>
      <c r="B1754" s="1" t="n">
        <v>45719</v>
      </c>
      <c r="C1754" s="1" t="n">
        <v>45745</v>
      </c>
      <c r="D1754" t="inlineStr">
        <is>
          <t>JÄMTLANDS LÄN</t>
        </is>
      </c>
      <c r="E1754" t="inlineStr">
        <is>
          <t>KROKOM</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10053-2025</t>
        </is>
      </c>
      <c r="B1755" s="1" t="n">
        <v>45719</v>
      </c>
      <c r="C1755" s="1" t="n">
        <v>45745</v>
      </c>
      <c r="D1755" t="inlineStr">
        <is>
          <t>JÄMTLANDS LÄN</t>
        </is>
      </c>
      <c r="E1755" t="inlineStr">
        <is>
          <t>KROKOM</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10071-2025</t>
        </is>
      </c>
      <c r="B1756" s="1" t="n">
        <v>45719</v>
      </c>
      <c r="C1756" s="1" t="n">
        <v>45745</v>
      </c>
      <c r="D1756" t="inlineStr">
        <is>
          <t>JÄMTLANDS LÄN</t>
        </is>
      </c>
      <c r="E1756" t="inlineStr">
        <is>
          <t>KROKOM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9963-2025</t>
        </is>
      </c>
      <c r="B1757" s="1" t="n">
        <v>45719</v>
      </c>
      <c r="C1757" s="1" t="n">
        <v>45745</v>
      </c>
      <c r="D1757" t="inlineStr">
        <is>
          <t>JÄMTLANDS LÄN</t>
        </is>
      </c>
      <c r="E1757" t="inlineStr">
        <is>
          <t>KROKOM</t>
        </is>
      </c>
      <c r="F1757" t="inlineStr">
        <is>
          <t>Övriga Aktiebolag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10133-2025</t>
        </is>
      </c>
      <c r="B1758" s="1" t="n">
        <v>45719</v>
      </c>
      <c r="C1758" s="1" t="n">
        <v>45745</v>
      </c>
      <c r="D1758" t="inlineStr">
        <is>
          <t>JÄMTLANDS LÄN</t>
        </is>
      </c>
      <c r="E1758" t="inlineStr">
        <is>
          <t>KROKOM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45745</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10397-2025</t>
        </is>
      </c>
      <c r="B1760" s="1" t="n">
        <v>45720</v>
      </c>
      <c r="C1760" s="1" t="n">
        <v>45745</v>
      </c>
      <c r="D1760" t="inlineStr">
        <is>
          <t>JÄMTLANDS LÄN</t>
        </is>
      </c>
      <c r="E1760" t="inlineStr">
        <is>
          <t>KROKOM</t>
        </is>
      </c>
      <c r="F1760" t="inlineStr">
        <is>
          <t>Övriga Aktiebolag</t>
        </is>
      </c>
      <c r="G1760" t="n">
        <v>32.9</v>
      </c>
      <c r="H1760" t="n">
        <v>0</v>
      </c>
      <c r="I1760" t="n">
        <v>0</v>
      </c>
      <c r="J1760" t="n">
        <v>0</v>
      </c>
      <c r="K1760" t="n">
        <v>0</v>
      </c>
      <c r="L1760" t="n">
        <v>0</v>
      </c>
      <c r="M1760" t="n">
        <v>0</v>
      </c>
      <c r="N1760" t="n">
        <v>0</v>
      </c>
      <c r="O1760" t="n">
        <v>0</v>
      </c>
      <c r="P1760" t="n">
        <v>0</v>
      </c>
      <c r="Q1760" t="n">
        <v>0</v>
      </c>
      <c r="R1760" s="2" t="inlineStr"/>
    </row>
    <row r="1761" ht="15" customHeight="1">
      <c r="A1761" t="inlineStr">
        <is>
          <t>A 10279-2025</t>
        </is>
      </c>
      <c r="B1761" s="1" t="n">
        <v>45720</v>
      </c>
      <c r="C1761" s="1" t="n">
        <v>45745</v>
      </c>
      <c r="D1761" t="inlineStr">
        <is>
          <t>JÄMTLANDS LÄN</t>
        </is>
      </c>
      <c r="E1761" t="inlineStr">
        <is>
          <t>KROKOM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10533-2025</t>
        </is>
      </c>
      <c r="B1762" s="1" t="n">
        <v>45721</v>
      </c>
      <c r="C1762" s="1" t="n">
        <v>45745</v>
      </c>
      <c r="D1762" t="inlineStr">
        <is>
          <t>JÄMTLANDS LÄN</t>
        </is>
      </c>
      <c r="E1762" t="inlineStr">
        <is>
          <t>KROKOM</t>
        </is>
      </c>
      <c r="F1762" t="inlineStr">
        <is>
          <t>SCA</t>
        </is>
      </c>
      <c r="G1762" t="n">
        <v>64.90000000000001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10552-2025</t>
        </is>
      </c>
      <c r="B1763" s="1" t="n">
        <v>45721</v>
      </c>
      <c r="C1763" s="1" t="n">
        <v>45745</v>
      </c>
      <c r="D1763" t="inlineStr">
        <is>
          <t>JÄMTLANDS LÄN</t>
        </is>
      </c>
      <c r="E1763" t="inlineStr">
        <is>
          <t>KROKOM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45745</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10498-2025</t>
        </is>
      </c>
      <c r="B1765" s="1" t="n">
        <v>45721</v>
      </c>
      <c r="C1765" s="1" t="n">
        <v>45745</v>
      </c>
      <c r="D1765" t="inlineStr">
        <is>
          <t>JÄMTLANDS LÄN</t>
        </is>
      </c>
      <c r="E1765" t="inlineStr">
        <is>
          <t>KROKOM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10588-2025</t>
        </is>
      </c>
      <c r="B1766" s="1" t="n">
        <v>45721</v>
      </c>
      <c r="C1766" s="1" t="n">
        <v>45745</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10632-2025</t>
        </is>
      </c>
      <c r="B1767" s="1" t="n">
        <v>45721</v>
      </c>
      <c r="C1767" s="1" t="n">
        <v>45745</v>
      </c>
      <c r="D1767" t="inlineStr">
        <is>
          <t>JÄMTLANDS LÄN</t>
        </is>
      </c>
      <c r="E1767" t="inlineStr">
        <is>
          <t>KROKOM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10532-2025</t>
        </is>
      </c>
      <c r="B1768" s="1" t="n">
        <v>45721</v>
      </c>
      <c r="C1768" s="1" t="n">
        <v>45745</v>
      </c>
      <c r="D1768" t="inlineStr">
        <is>
          <t>JÄMTLANDS LÄN</t>
        </is>
      </c>
      <c r="E1768" t="inlineStr">
        <is>
          <t>KROKOM</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10581-2025</t>
        </is>
      </c>
      <c r="B1769" s="1" t="n">
        <v>45721</v>
      </c>
      <c r="C1769" s="1" t="n">
        <v>45745</v>
      </c>
      <c r="D1769" t="inlineStr">
        <is>
          <t>JÄMTLANDS LÄN</t>
        </is>
      </c>
      <c r="E1769" t="inlineStr">
        <is>
          <t>KROKOM</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45745</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11073-2025</t>
        </is>
      </c>
      <c r="B1771" s="1" t="n">
        <v>45723</v>
      </c>
      <c r="C1771" s="1" t="n">
        <v>45745</v>
      </c>
      <c r="D1771" t="inlineStr">
        <is>
          <t>JÄMTLANDS LÄN</t>
        </is>
      </c>
      <c r="E1771" t="inlineStr">
        <is>
          <t>KROKOM</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11056-2025</t>
        </is>
      </c>
      <c r="B1772" s="1" t="n">
        <v>45723</v>
      </c>
      <c r="C1772" s="1" t="n">
        <v>45745</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10991-2025</t>
        </is>
      </c>
      <c r="B1773" s="1" t="n">
        <v>45723</v>
      </c>
      <c r="C1773" s="1" t="n">
        <v>45745</v>
      </c>
      <c r="D1773" t="inlineStr">
        <is>
          <t>JÄMTLANDS LÄN</t>
        </is>
      </c>
      <c r="E1773" t="inlineStr">
        <is>
          <t>KROKOM</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11070-2025</t>
        </is>
      </c>
      <c r="B1774" s="1" t="n">
        <v>45723</v>
      </c>
      <c r="C1774" s="1" t="n">
        <v>45745</v>
      </c>
      <c r="D1774" t="inlineStr">
        <is>
          <t>JÄMTLANDS LÄN</t>
        </is>
      </c>
      <c r="E1774" t="inlineStr">
        <is>
          <t>KROKOM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11424-2025</t>
        </is>
      </c>
      <c r="B1775" s="1" t="n">
        <v>45726</v>
      </c>
      <c r="C1775" s="1" t="n">
        <v>45745</v>
      </c>
      <c r="D1775" t="inlineStr">
        <is>
          <t>JÄMTLANDS LÄN</t>
        </is>
      </c>
      <c r="E1775" t="inlineStr">
        <is>
          <t>KROKOM</t>
        </is>
      </c>
      <c r="F1775" t="inlineStr">
        <is>
          <t>Övriga Aktiebolag</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45745</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11317-2025</t>
        </is>
      </c>
      <c r="B1777" s="1" t="n">
        <v>45726</v>
      </c>
      <c r="C1777" s="1" t="n">
        <v>45745</v>
      </c>
      <c r="D1777" t="inlineStr">
        <is>
          <t>JÄMTLANDS LÄN</t>
        </is>
      </c>
      <c r="E1777" t="inlineStr">
        <is>
          <t>KROKOM</t>
        </is>
      </c>
      <c r="F1777" t="inlineStr">
        <is>
          <t>Övriga Aktiebolag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45745</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11243-2025</t>
        </is>
      </c>
      <c r="B1779" s="1" t="n">
        <v>45726</v>
      </c>
      <c r="C1779" s="1" t="n">
        <v>45745</v>
      </c>
      <c r="D1779" t="inlineStr">
        <is>
          <t>JÄMTLANDS LÄN</t>
        </is>
      </c>
      <c r="E1779" t="inlineStr">
        <is>
          <t>KROKOM</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11403-2025</t>
        </is>
      </c>
      <c r="B1780" s="1" t="n">
        <v>45726</v>
      </c>
      <c r="C1780" s="1" t="n">
        <v>45745</v>
      </c>
      <c r="D1780" t="inlineStr">
        <is>
          <t>JÄMTLANDS LÄN</t>
        </is>
      </c>
      <c r="E1780" t="inlineStr">
        <is>
          <t>KROKOM</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12479-2025</t>
        </is>
      </c>
      <c r="B1781" s="1" t="n">
        <v>45730</v>
      </c>
      <c r="C1781" s="1" t="n">
        <v>45745</v>
      </c>
      <c r="D1781" t="inlineStr">
        <is>
          <t>JÄMTLANDS LÄN</t>
        </is>
      </c>
      <c r="E1781" t="inlineStr">
        <is>
          <t>KROKOM</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12489-2025</t>
        </is>
      </c>
      <c r="B1782" s="1" t="n">
        <v>45730</v>
      </c>
      <c r="C1782" s="1" t="n">
        <v>45745</v>
      </c>
      <c r="D1782" t="inlineStr">
        <is>
          <t>JÄMTLANDS LÄN</t>
        </is>
      </c>
      <c r="E1782" t="inlineStr">
        <is>
          <t>KROKOM</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45745</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12868-2025</t>
        </is>
      </c>
      <c r="B1784" s="1" t="n">
        <v>45733</v>
      </c>
      <c r="C1784" s="1" t="n">
        <v>45745</v>
      </c>
      <c r="D1784" t="inlineStr">
        <is>
          <t>JÄMTLANDS LÄN</t>
        </is>
      </c>
      <c r="E1784" t="inlineStr">
        <is>
          <t>KROKOM</t>
        </is>
      </c>
      <c r="G1784" t="n">
        <v>24.2</v>
      </c>
      <c r="H1784" t="n">
        <v>0</v>
      </c>
      <c r="I1784" t="n">
        <v>0</v>
      </c>
      <c r="J1784" t="n">
        <v>0</v>
      </c>
      <c r="K1784" t="n">
        <v>0</v>
      </c>
      <c r="L1784" t="n">
        <v>0</v>
      </c>
      <c r="M1784" t="n">
        <v>0</v>
      </c>
      <c r="N1784" t="n">
        <v>0</v>
      </c>
      <c r="O1784" t="n">
        <v>0</v>
      </c>
      <c r="P1784" t="n">
        <v>0</v>
      </c>
      <c r="Q1784" t="n">
        <v>0</v>
      </c>
      <c r="R1784" s="2" t="inlineStr"/>
    </row>
    <row r="1785" ht="15" customHeight="1">
      <c r="A1785" t="inlineStr">
        <is>
          <t>A 12774-2025</t>
        </is>
      </c>
      <c r="B1785" s="1" t="n">
        <v>45733</v>
      </c>
      <c r="C1785" s="1" t="n">
        <v>45745</v>
      </c>
      <c r="D1785" t="inlineStr">
        <is>
          <t>JÄMTLANDS LÄN</t>
        </is>
      </c>
      <c r="E1785" t="inlineStr">
        <is>
          <t>KROKOM</t>
        </is>
      </c>
      <c r="G1785" t="n">
        <v>40.4</v>
      </c>
      <c r="H1785" t="n">
        <v>0</v>
      </c>
      <c r="I1785" t="n">
        <v>0</v>
      </c>
      <c r="J1785" t="n">
        <v>0</v>
      </c>
      <c r="K1785" t="n">
        <v>0</v>
      </c>
      <c r="L1785" t="n">
        <v>0</v>
      </c>
      <c r="M1785" t="n">
        <v>0</v>
      </c>
      <c r="N1785" t="n">
        <v>0</v>
      </c>
      <c r="O1785" t="n">
        <v>0</v>
      </c>
      <c r="P1785" t="n">
        <v>0</v>
      </c>
      <c r="Q1785" t="n">
        <v>0</v>
      </c>
      <c r="R1785" s="2" t="inlineStr"/>
    </row>
    <row r="1786" ht="15" customHeight="1">
      <c r="A1786" t="inlineStr">
        <is>
          <t>A 12838-2025</t>
        </is>
      </c>
      <c r="B1786" s="1" t="n">
        <v>45733</v>
      </c>
      <c r="C1786" s="1" t="n">
        <v>45745</v>
      </c>
      <c r="D1786" t="inlineStr">
        <is>
          <t>JÄMTLANDS LÄN</t>
        </is>
      </c>
      <c r="E1786" t="inlineStr">
        <is>
          <t>KROKOM</t>
        </is>
      </c>
      <c r="G1786" t="n">
        <v>59.3</v>
      </c>
      <c r="H1786" t="n">
        <v>0</v>
      </c>
      <c r="I1786" t="n">
        <v>0</v>
      </c>
      <c r="J1786" t="n">
        <v>0</v>
      </c>
      <c r="K1786" t="n">
        <v>0</v>
      </c>
      <c r="L1786" t="n">
        <v>0</v>
      </c>
      <c r="M1786" t="n">
        <v>0</v>
      </c>
      <c r="N1786" t="n">
        <v>0</v>
      </c>
      <c r="O1786" t="n">
        <v>0</v>
      </c>
      <c r="P1786" t="n">
        <v>0</v>
      </c>
      <c r="Q1786" t="n">
        <v>0</v>
      </c>
      <c r="R1786" s="2" t="inlineStr"/>
    </row>
    <row r="1787" ht="15" customHeight="1">
      <c r="A1787" t="inlineStr">
        <is>
          <t>A 13383-2025</t>
        </is>
      </c>
      <c r="B1787" s="1" t="n">
        <v>45735</v>
      </c>
      <c r="C1787" s="1" t="n">
        <v>45745</v>
      </c>
      <c r="D1787" t="inlineStr">
        <is>
          <t>JÄMTLANDS LÄN</t>
        </is>
      </c>
      <c r="E1787" t="inlineStr">
        <is>
          <t>KROKOM</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13769-2025</t>
        </is>
      </c>
      <c r="B1788" s="1" t="n">
        <v>45737</v>
      </c>
      <c r="C1788" s="1" t="n">
        <v>45745</v>
      </c>
      <c r="D1788" t="inlineStr">
        <is>
          <t>JÄMTLANDS LÄN</t>
        </is>
      </c>
      <c r="E1788" t="inlineStr">
        <is>
          <t>KROKOM</t>
        </is>
      </c>
      <c r="G1788" t="n">
        <v>21.1</v>
      </c>
      <c r="H1788" t="n">
        <v>0</v>
      </c>
      <c r="I1788" t="n">
        <v>0</v>
      </c>
      <c r="J1788" t="n">
        <v>0</v>
      </c>
      <c r="K1788" t="n">
        <v>0</v>
      </c>
      <c r="L1788" t="n">
        <v>0</v>
      </c>
      <c r="M1788" t="n">
        <v>0</v>
      </c>
      <c r="N1788" t="n">
        <v>0</v>
      </c>
      <c r="O1788" t="n">
        <v>0</v>
      </c>
      <c r="P1788" t="n">
        <v>0</v>
      </c>
      <c r="Q1788" t="n">
        <v>0</v>
      </c>
      <c r="R1788" s="2" t="inlineStr"/>
    </row>
    <row r="1789" ht="15" customHeight="1">
      <c r="A1789" t="inlineStr">
        <is>
          <t>A 13722-2025</t>
        </is>
      </c>
      <c r="B1789" s="1" t="n">
        <v>45737</v>
      </c>
      <c r="C1789" s="1" t="n">
        <v>45745</v>
      </c>
      <c r="D1789" t="inlineStr">
        <is>
          <t>JÄMTLANDS LÄN</t>
        </is>
      </c>
      <c r="E1789" t="inlineStr">
        <is>
          <t>KROKOM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13758-2025</t>
        </is>
      </c>
      <c r="B1790" s="1" t="n">
        <v>45737</v>
      </c>
      <c r="C1790" s="1" t="n">
        <v>45745</v>
      </c>
      <c r="D1790" t="inlineStr">
        <is>
          <t>JÄMTLANDS LÄN</t>
        </is>
      </c>
      <c r="E1790" t="inlineStr">
        <is>
          <t>KROKOM</t>
        </is>
      </c>
      <c r="G1790" t="n">
        <v>22.9</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45745</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14233-2025</t>
        </is>
      </c>
      <c r="B1792" s="1" t="n">
        <v>45740</v>
      </c>
      <c r="C1792" s="1" t="n">
        <v>45745</v>
      </c>
      <c r="D1792" t="inlineStr">
        <is>
          <t>JÄMTLANDS LÄN</t>
        </is>
      </c>
      <c r="E1792" t="inlineStr">
        <is>
          <t>KROKOM</t>
        </is>
      </c>
      <c r="F1792" t="inlineStr">
        <is>
          <t>Övriga statliga verk och myndigheter</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14234-2025</t>
        </is>
      </c>
      <c r="B1793" s="1" t="n">
        <v>45740</v>
      </c>
      <c r="C1793" s="1" t="n">
        <v>45745</v>
      </c>
      <c r="D1793" t="inlineStr">
        <is>
          <t>JÄMTLANDS LÄN</t>
        </is>
      </c>
      <c r="E1793" t="inlineStr">
        <is>
          <t>KROKOM</t>
        </is>
      </c>
      <c r="F1793" t="inlineStr">
        <is>
          <t>Övriga statliga verk och myndigheter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14293-2025</t>
        </is>
      </c>
      <c r="B1794" s="1" t="n">
        <v>45740</v>
      </c>
      <c r="C1794" s="1" t="n">
        <v>45745</v>
      </c>
      <c r="D1794" t="inlineStr">
        <is>
          <t>JÄMTLANDS LÄN</t>
        </is>
      </c>
      <c r="E1794" t="inlineStr">
        <is>
          <t>KROKOM</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14299-2025</t>
        </is>
      </c>
      <c r="B1795" s="1" t="n">
        <v>45740</v>
      </c>
      <c r="C1795" s="1" t="n">
        <v>45745</v>
      </c>
      <c r="D1795" t="inlineStr">
        <is>
          <t>JÄMTLANDS LÄN</t>
        </is>
      </c>
      <c r="E1795" t="inlineStr">
        <is>
          <t>KROKOM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14835-2025</t>
        </is>
      </c>
      <c r="B1796" s="1" t="n">
        <v>45743</v>
      </c>
      <c r="C1796" s="1" t="n">
        <v>45745</v>
      </c>
      <c r="D1796" t="inlineStr">
        <is>
          <t>JÄMTLANDS LÄN</t>
        </is>
      </c>
      <c r="E1796" t="inlineStr">
        <is>
          <t>KROKOM</t>
        </is>
      </c>
      <c r="F1796" t="inlineStr">
        <is>
          <t>Kyrkan</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14883-2025</t>
        </is>
      </c>
      <c r="B1797" s="1" t="n">
        <v>45743</v>
      </c>
      <c r="C1797" s="1" t="n">
        <v>45745</v>
      </c>
      <c r="D1797" t="inlineStr">
        <is>
          <t>JÄMTLANDS LÄN</t>
        </is>
      </c>
      <c r="E1797" t="inlineStr">
        <is>
          <t>KROKOM</t>
        </is>
      </c>
      <c r="F1797" t="inlineStr">
        <is>
          <t>Allmännings- och besparingsskogar</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15231-2025</t>
        </is>
      </c>
      <c r="B1798" s="1" t="n">
        <v>45744</v>
      </c>
      <c r="C1798" s="1" t="n">
        <v>45745</v>
      </c>
      <c r="D1798" t="inlineStr">
        <is>
          <t>JÄMTLANDS LÄN</t>
        </is>
      </c>
      <c r="E1798" t="inlineStr">
        <is>
          <t>KROKOM</t>
        </is>
      </c>
      <c r="F1798" t="inlineStr">
        <is>
          <t>Övriga Aktiebolag</t>
        </is>
      </c>
      <c r="G1798" t="n">
        <v>11.8</v>
      </c>
      <c r="H1798" t="n">
        <v>0</v>
      </c>
      <c r="I1798" t="n">
        <v>0</v>
      </c>
      <c r="J1798" t="n">
        <v>0</v>
      </c>
      <c r="K1798" t="n">
        <v>0</v>
      </c>
      <c r="L1798" t="n">
        <v>0</v>
      </c>
      <c r="M1798" t="n">
        <v>0</v>
      </c>
      <c r="N1798" t="n">
        <v>0</v>
      </c>
      <c r="O1798" t="n">
        <v>0</v>
      </c>
      <c r="P1798" t="n">
        <v>0</v>
      </c>
      <c r="Q1798" t="n">
        <v>0</v>
      </c>
      <c r="R1798" s="2" t="inlineStr"/>
    </row>
    <row r="1799">
      <c r="A1799" t="inlineStr">
        <is>
          <t>A 15209-2025</t>
        </is>
      </c>
      <c r="B1799" s="1" t="n">
        <v>45744</v>
      </c>
      <c r="C1799" s="1" t="n">
        <v>45745</v>
      </c>
      <c r="D1799" t="inlineStr">
        <is>
          <t>JÄMTLANDS LÄN</t>
        </is>
      </c>
      <c r="E1799" t="inlineStr">
        <is>
          <t>KROKOM</t>
        </is>
      </c>
      <c r="G1799" t="n">
        <v>1.6</v>
      </c>
      <c r="H1799" t="n">
        <v>0</v>
      </c>
      <c r="I1799" t="n">
        <v>0</v>
      </c>
      <c r="J1799" t="n">
        <v>0</v>
      </c>
      <c r="K1799" t="n">
        <v>0</v>
      </c>
      <c r="L1799" t="n">
        <v>0</v>
      </c>
      <c r="M1799" t="n">
        <v>0</v>
      </c>
      <c r="N1799" t="n">
        <v>0</v>
      </c>
      <c r="O1799" t="n">
        <v>0</v>
      </c>
      <c r="P1799" t="n">
        <v>0</v>
      </c>
      <c r="Q1799" t="n">
        <v>0</v>
      </c>
      <c r="R1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2025-03-29T18:08:40Z</dcterms:created>
  <dcterms:modified xmlns:dcterms="http://purl.org/dc/terms/" xmlns:xsi="http://www.w3.org/2001/XMLSchema-instance" xsi:type="dcterms:W3CDTF">2025-03-29T18:08:42Z</dcterms:modified>
</cp:coreProperties>
</file>