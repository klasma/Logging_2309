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45831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45831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45831</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45831</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45831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45831</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45831</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45831</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45831</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45831</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45831</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45831</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45831</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45831</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45831</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45831</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45831</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45831</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45831</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45831</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45831</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45831</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45831</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45831</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45831</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45831</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45831</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45831</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45831</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45831</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45831</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45831</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45831</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45831</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45831</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45831</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45831</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45831</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45831</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45831</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45831</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45831</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45831</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45831</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45831</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45831</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45831</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45831</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45831</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45831</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45831</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45831</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45831</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45831</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45831</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45831</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45831</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45831</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45831</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45831</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45831</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45831</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45831</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45831</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45831</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45831</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45831</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45831</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45831</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45831</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45831</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45831</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45831</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45831</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45831</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45831</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45831</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45831</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45831</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45831</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45831</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45831</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45831</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45831</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45831</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45831</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45831</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45831</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45831</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45831</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45831</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45831</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45831</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45831</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45831</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45831</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45831</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45831</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45831</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45831</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45831</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45831</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45831</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45831</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45831</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45831</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45831</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45831</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45831</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45831</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45831</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45831</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45831</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45831</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45831</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45831</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45831</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45831</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45831</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45831</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45831</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45831</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45831</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45831</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45831</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45831</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45831</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45831</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45831</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45831</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45831</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45831</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45831</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45831</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45831</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45831</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45831</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45831</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45831</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45831</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45831</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45831</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45831</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45831</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45831</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45831</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45831</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45831</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45831</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45831</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45831</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45831</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45831</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45831</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45831</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45831</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45831</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45831</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45831</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45831</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45831</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45831</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45831</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45831</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45831</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45831</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45831</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45831</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45831</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45831</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45831</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45831</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45831</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45831</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45831</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45831</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45831</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45831</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45831</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45831</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45831</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45831</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45831</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45831</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45831</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45831</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45831</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45831</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45831</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45831</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45831</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45831</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45831</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45831</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45831</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45831</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45831</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45831</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45831</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45831</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45831</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45831</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45831</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45831</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45831</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45831</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45831</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45831</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45831</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45831</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45831</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45831</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45831</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45831</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45831</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45831</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45831</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45831</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45831</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45831</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45831</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45831</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45831</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45831</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45831</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45831</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45831</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45831</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45831</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45831</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45831</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45831</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45831</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45831</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45831</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45831</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45831</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45831</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45831</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45831</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45831</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45831</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45831</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45831</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45831</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45831</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45831</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45831</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45831</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45831</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45831</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45831</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45831</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45831</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45831</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45831</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45831</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45831</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45831</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45831</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45831</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45831</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45831</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45831</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45831</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45831</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45831</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45831</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45831</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45831</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45831</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45831</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45831</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45831</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45831</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45831</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45831</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45831</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45831</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45831</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45831</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45831</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45831</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45831</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45831</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45831</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45831</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45831</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45831</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45831</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45831</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45831</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45831</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45831</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45831</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45831</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45831</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45831</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45831</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45831</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45831</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45831</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45831</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45831</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45831</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45831</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45831</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45831</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45831</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45831</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45831</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45831</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45831</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45831</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45831</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45831</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45831</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45831</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45831</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45831</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45831</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45831</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45831</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45831</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45831</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45831</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45831</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45831</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45831</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45831</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45831</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45831</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45831</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45831</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45831</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45831</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45831</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45831</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45831</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45831</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45831</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45831</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45831</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45831</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45831</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45831</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45831</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45831</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45831</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45831</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45831</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45831</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45831</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45831</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45831</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45831</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45831</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45831</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45831</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45831</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45831</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45831</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45831</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45831</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45831</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45831</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29941-2025</t>
        </is>
      </c>
      <c r="B368" s="1" t="n">
        <v>45826</v>
      </c>
      <c r="C368" s="1" t="n">
        <v>45831</v>
      </c>
      <c r="D368" t="inlineStr">
        <is>
          <t>JÄMTLANDS LÄN</t>
        </is>
      </c>
      <c r="E368" t="inlineStr">
        <is>
          <t>KROKOM</t>
        </is>
      </c>
      <c r="G368" t="n">
        <v>12.4</v>
      </c>
      <c r="H368" t="n">
        <v>0</v>
      </c>
      <c r="I368" t="n">
        <v>0</v>
      </c>
      <c r="J368" t="n">
        <v>0</v>
      </c>
      <c r="K368" t="n">
        <v>0</v>
      </c>
      <c r="L368" t="n">
        <v>1</v>
      </c>
      <c r="M368" t="n">
        <v>0</v>
      </c>
      <c r="N368" t="n">
        <v>0</v>
      </c>
      <c r="O368" t="n">
        <v>1</v>
      </c>
      <c r="P368" t="n">
        <v>1</v>
      </c>
      <c r="Q368" t="n">
        <v>1</v>
      </c>
      <c r="R368" s="2" t="inlineStr">
        <is>
          <t>Lilafotad fingersvamp</t>
        </is>
      </c>
      <c r="S368">
        <f>HYPERLINK("https://klasma.github.io/Logging_232309/artfynd/A 29941-2025 artfynd.xlsx", "A 29941-2025")</f>
        <v/>
      </c>
      <c r="T368">
        <f>HYPERLINK("https://klasma.github.io/Logging_232309/kartor/A 29941-2025 karta.png", "A 29941-2025")</f>
        <v/>
      </c>
      <c r="V368">
        <f>HYPERLINK("https://klasma.github.io/Logging_232309/klagomål/A 29941-2025 FSC-klagomål.docx", "A 29941-2025")</f>
        <v/>
      </c>
      <c r="W368">
        <f>HYPERLINK("https://klasma.github.io/Logging_232309/klagomålsmail/A 29941-2025 FSC-klagomål mail.docx", "A 29941-2025")</f>
        <v/>
      </c>
      <c r="X368">
        <f>HYPERLINK("https://klasma.github.io/Logging_232309/tillsyn/A 29941-2025 tillsynsbegäran.docx", "A 29941-2025")</f>
        <v/>
      </c>
      <c r="Y368">
        <f>HYPERLINK("https://klasma.github.io/Logging_232309/tillsynsmail/A 29941-2025 tillsynsbegäran mail.docx", "A 29941-2025")</f>
        <v/>
      </c>
    </row>
    <row r="369" ht="15" customHeight="1">
      <c r="A369" t="inlineStr">
        <is>
          <t>A 17853-2019</t>
        </is>
      </c>
      <c r="B369" s="1" t="n">
        <v>43556</v>
      </c>
      <c r="C369" s="1" t="n">
        <v>45831</v>
      </c>
      <c r="D369" t="inlineStr">
        <is>
          <t>JÄMTLANDS LÄN</t>
        </is>
      </c>
      <c r="E369" t="inlineStr">
        <is>
          <t>KROKOM</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18183-2019</t>
        </is>
      </c>
      <c r="B370" s="1" t="n">
        <v>43558</v>
      </c>
      <c r="C370" s="1" t="n">
        <v>45831</v>
      </c>
      <c r="D370" t="inlineStr">
        <is>
          <t>JÄMTLANDS LÄN</t>
        </is>
      </c>
      <c r="E370" t="inlineStr">
        <is>
          <t>KROKOM</t>
        </is>
      </c>
      <c r="G370" t="n">
        <v>5.3</v>
      </c>
      <c r="H370" t="n">
        <v>0</v>
      </c>
      <c r="I370" t="n">
        <v>0</v>
      </c>
      <c r="J370" t="n">
        <v>0</v>
      </c>
      <c r="K370" t="n">
        <v>0</v>
      </c>
      <c r="L370" t="n">
        <v>0</v>
      </c>
      <c r="M370" t="n">
        <v>0</v>
      </c>
      <c r="N370" t="n">
        <v>0</v>
      </c>
      <c r="O370" t="n">
        <v>0</v>
      </c>
      <c r="P370" t="n">
        <v>0</v>
      </c>
      <c r="Q370" t="n">
        <v>0</v>
      </c>
      <c r="R370" s="2" t="inlineStr"/>
    </row>
    <row r="371" ht="15" customHeight="1">
      <c r="A371" t="inlineStr">
        <is>
          <t>A 18477-2019</t>
        </is>
      </c>
      <c r="B371" s="1" t="n">
        <v>43559</v>
      </c>
      <c r="C371" s="1" t="n">
        <v>45831</v>
      </c>
      <c r="D371" t="inlineStr">
        <is>
          <t>JÄMTLANDS LÄN</t>
        </is>
      </c>
      <c r="E371" t="inlineStr">
        <is>
          <t>KROKOM</t>
        </is>
      </c>
      <c r="G371" t="n">
        <v>3</v>
      </c>
      <c r="H371" t="n">
        <v>0</v>
      </c>
      <c r="I371" t="n">
        <v>0</v>
      </c>
      <c r="J371" t="n">
        <v>0</v>
      </c>
      <c r="K371" t="n">
        <v>0</v>
      </c>
      <c r="L371" t="n">
        <v>0</v>
      </c>
      <c r="M371" t="n">
        <v>0</v>
      </c>
      <c r="N371" t="n">
        <v>0</v>
      </c>
      <c r="O371" t="n">
        <v>0</v>
      </c>
      <c r="P371" t="n">
        <v>0</v>
      </c>
      <c r="Q371" t="n">
        <v>0</v>
      </c>
      <c r="R371" s="2" t="inlineStr"/>
    </row>
    <row r="372" ht="15" customHeight="1">
      <c r="A372" t="inlineStr">
        <is>
          <t>A 18565-2019</t>
        </is>
      </c>
      <c r="B372" s="1" t="n">
        <v>43559</v>
      </c>
      <c r="C372" s="1" t="n">
        <v>45831</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18407-2019</t>
        </is>
      </c>
      <c r="B373" s="1" t="n">
        <v>43559</v>
      </c>
      <c r="C373" s="1" t="n">
        <v>45831</v>
      </c>
      <c r="D373" t="inlineStr">
        <is>
          <t>JÄMTLANDS LÄN</t>
        </is>
      </c>
      <c r="E373" t="inlineStr">
        <is>
          <t>KROKOM</t>
        </is>
      </c>
      <c r="G373" t="n">
        <v>43.1</v>
      </c>
      <c r="H373" t="n">
        <v>0</v>
      </c>
      <c r="I373" t="n">
        <v>0</v>
      </c>
      <c r="J373" t="n">
        <v>0</v>
      </c>
      <c r="K373" t="n">
        <v>0</v>
      </c>
      <c r="L373" t="n">
        <v>0</v>
      </c>
      <c r="M373" t="n">
        <v>0</v>
      </c>
      <c r="N373" t="n">
        <v>0</v>
      </c>
      <c r="O373" t="n">
        <v>0</v>
      </c>
      <c r="P373" t="n">
        <v>0</v>
      </c>
      <c r="Q373" t="n">
        <v>0</v>
      </c>
      <c r="R373" s="2" t="inlineStr"/>
    </row>
    <row r="374" ht="15" customHeight="1">
      <c r="A374" t="inlineStr">
        <is>
          <t>A 18397-2019</t>
        </is>
      </c>
      <c r="B374" s="1" t="n">
        <v>43559</v>
      </c>
      <c r="C374" s="1" t="n">
        <v>45831</v>
      </c>
      <c r="D374" t="inlineStr">
        <is>
          <t>JÄMTLANDS LÄN</t>
        </is>
      </c>
      <c r="E374" t="inlineStr">
        <is>
          <t>KROKOM</t>
        </is>
      </c>
      <c r="G374" t="n">
        <v>2.8</v>
      </c>
      <c r="H374" t="n">
        <v>0</v>
      </c>
      <c r="I374" t="n">
        <v>0</v>
      </c>
      <c r="J374" t="n">
        <v>0</v>
      </c>
      <c r="K374" t="n">
        <v>0</v>
      </c>
      <c r="L374" t="n">
        <v>0</v>
      </c>
      <c r="M374" t="n">
        <v>0</v>
      </c>
      <c r="N374" t="n">
        <v>0</v>
      </c>
      <c r="O374" t="n">
        <v>0</v>
      </c>
      <c r="P374" t="n">
        <v>0</v>
      </c>
      <c r="Q374" t="n">
        <v>0</v>
      </c>
      <c r="R374" s="2" t="inlineStr"/>
    </row>
    <row r="375" ht="15" customHeight="1">
      <c r="A375" t="inlineStr">
        <is>
          <t>A 18602-2019</t>
        </is>
      </c>
      <c r="B375" s="1" t="n">
        <v>43560</v>
      </c>
      <c r="C375" s="1" t="n">
        <v>45831</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18831-2019</t>
        </is>
      </c>
      <c r="B376" s="1" t="n">
        <v>43563</v>
      </c>
      <c r="C376" s="1" t="n">
        <v>45831</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18847-2019</t>
        </is>
      </c>
      <c r="B377" s="1" t="n">
        <v>43563</v>
      </c>
      <c r="C377" s="1" t="n">
        <v>45831</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19152-2019</t>
        </is>
      </c>
      <c r="B378" s="1" t="n">
        <v>43564</v>
      </c>
      <c r="C378" s="1" t="n">
        <v>45831</v>
      </c>
      <c r="D378" t="inlineStr">
        <is>
          <t>JÄMTLANDS LÄN</t>
        </is>
      </c>
      <c r="E378" t="inlineStr">
        <is>
          <t>KROKOM</t>
        </is>
      </c>
      <c r="G378" t="n">
        <v>4.1</v>
      </c>
      <c r="H378" t="n">
        <v>0</v>
      </c>
      <c r="I378" t="n">
        <v>0</v>
      </c>
      <c r="J378" t="n">
        <v>0</v>
      </c>
      <c r="K378" t="n">
        <v>0</v>
      </c>
      <c r="L378" t="n">
        <v>0</v>
      </c>
      <c r="M378" t="n">
        <v>0</v>
      </c>
      <c r="N378" t="n">
        <v>0</v>
      </c>
      <c r="O378" t="n">
        <v>0</v>
      </c>
      <c r="P378" t="n">
        <v>0</v>
      </c>
      <c r="Q378" t="n">
        <v>0</v>
      </c>
      <c r="R378" s="2" t="inlineStr"/>
    </row>
    <row r="379" ht="15" customHeight="1">
      <c r="A379" t="inlineStr">
        <is>
          <t>A 19325-2019</t>
        </is>
      </c>
      <c r="B379" s="1" t="n">
        <v>43565</v>
      </c>
      <c r="C379" s="1" t="n">
        <v>45831</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19708-2019</t>
        </is>
      </c>
      <c r="B380" s="1" t="n">
        <v>43566</v>
      </c>
      <c r="C380" s="1" t="n">
        <v>45831</v>
      </c>
      <c r="D380" t="inlineStr">
        <is>
          <t>JÄMTLANDS LÄN</t>
        </is>
      </c>
      <c r="E380" t="inlineStr">
        <is>
          <t>KROKOM</t>
        </is>
      </c>
      <c r="G380" t="n">
        <v>8.9</v>
      </c>
      <c r="H380" t="n">
        <v>0</v>
      </c>
      <c r="I380" t="n">
        <v>0</v>
      </c>
      <c r="J380" t="n">
        <v>0</v>
      </c>
      <c r="K380" t="n">
        <v>0</v>
      </c>
      <c r="L380" t="n">
        <v>0</v>
      </c>
      <c r="M380" t="n">
        <v>0</v>
      </c>
      <c r="N380" t="n">
        <v>0</v>
      </c>
      <c r="O380" t="n">
        <v>0</v>
      </c>
      <c r="P380" t="n">
        <v>0</v>
      </c>
      <c r="Q380" t="n">
        <v>0</v>
      </c>
      <c r="R380" s="2" t="inlineStr"/>
    </row>
    <row r="381" ht="15" customHeight="1">
      <c r="A381" t="inlineStr">
        <is>
          <t>A 20378-2019</t>
        </is>
      </c>
      <c r="B381" s="1" t="n">
        <v>43571</v>
      </c>
      <c r="C381" s="1" t="n">
        <v>45831</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20596-2019</t>
        </is>
      </c>
      <c r="B382" s="1" t="n">
        <v>43572</v>
      </c>
      <c r="C382" s="1" t="n">
        <v>45831</v>
      </c>
      <c r="D382" t="inlineStr">
        <is>
          <t>JÄMTLANDS LÄN</t>
        </is>
      </c>
      <c r="E382" t="inlineStr">
        <is>
          <t>KROKOM</t>
        </is>
      </c>
      <c r="G382" t="n">
        <v>10.6</v>
      </c>
      <c r="H382" t="n">
        <v>0</v>
      </c>
      <c r="I382" t="n">
        <v>0</v>
      </c>
      <c r="J382" t="n">
        <v>0</v>
      </c>
      <c r="K382" t="n">
        <v>0</v>
      </c>
      <c r="L382" t="n">
        <v>0</v>
      </c>
      <c r="M382" t="n">
        <v>0</v>
      </c>
      <c r="N382" t="n">
        <v>0</v>
      </c>
      <c r="O382" t="n">
        <v>0</v>
      </c>
      <c r="P382" t="n">
        <v>0</v>
      </c>
      <c r="Q382" t="n">
        <v>0</v>
      </c>
      <c r="R382" s="2" t="inlineStr"/>
    </row>
    <row r="383" ht="15" customHeight="1">
      <c r="A383" t="inlineStr">
        <is>
          <t>A 21269-2019</t>
        </is>
      </c>
      <c r="B383" s="1" t="n">
        <v>43579</v>
      </c>
      <c r="C383" s="1" t="n">
        <v>45831</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21421-2019</t>
        </is>
      </c>
      <c r="B384" s="1" t="n">
        <v>43580</v>
      </c>
      <c r="C384" s="1" t="n">
        <v>45831</v>
      </c>
      <c r="D384" t="inlineStr">
        <is>
          <t>JÄMTLANDS LÄN</t>
        </is>
      </c>
      <c r="E384" t="inlineStr">
        <is>
          <t>KROKOM</t>
        </is>
      </c>
      <c r="G384" t="n">
        <v>13.1</v>
      </c>
      <c r="H384" t="n">
        <v>0</v>
      </c>
      <c r="I384" t="n">
        <v>0</v>
      </c>
      <c r="J384" t="n">
        <v>0</v>
      </c>
      <c r="K384" t="n">
        <v>0</v>
      </c>
      <c r="L384" t="n">
        <v>0</v>
      </c>
      <c r="M384" t="n">
        <v>0</v>
      </c>
      <c r="N384" t="n">
        <v>0</v>
      </c>
      <c r="O384" t="n">
        <v>0</v>
      </c>
      <c r="P384" t="n">
        <v>0</v>
      </c>
      <c r="Q384" t="n">
        <v>0</v>
      </c>
      <c r="R384" s="2" t="inlineStr"/>
    </row>
    <row r="385" ht="15" customHeight="1">
      <c r="A385" t="inlineStr">
        <is>
          <t>A 21716-2019</t>
        </is>
      </c>
      <c r="B385" s="1" t="n">
        <v>43581</v>
      </c>
      <c r="C385" s="1" t="n">
        <v>45831</v>
      </c>
      <c r="D385" t="inlineStr">
        <is>
          <t>JÄMTLANDS LÄN</t>
        </is>
      </c>
      <c r="E385" t="inlineStr">
        <is>
          <t>KROKOM</t>
        </is>
      </c>
      <c r="G385" t="n">
        <v>4.2</v>
      </c>
      <c r="H385" t="n">
        <v>0</v>
      </c>
      <c r="I385" t="n">
        <v>0</v>
      </c>
      <c r="J385" t="n">
        <v>0</v>
      </c>
      <c r="K385" t="n">
        <v>0</v>
      </c>
      <c r="L385" t="n">
        <v>0</v>
      </c>
      <c r="M385" t="n">
        <v>0</v>
      </c>
      <c r="N385" t="n">
        <v>0</v>
      </c>
      <c r="O385" t="n">
        <v>0</v>
      </c>
      <c r="P385" t="n">
        <v>0</v>
      </c>
      <c r="Q385" t="n">
        <v>0</v>
      </c>
      <c r="R385" s="2" t="inlineStr"/>
    </row>
    <row r="386" ht="15" customHeight="1">
      <c r="A386" t="inlineStr">
        <is>
          <t>A 21933-2019</t>
        </is>
      </c>
      <c r="B386" s="1" t="n">
        <v>43584</v>
      </c>
      <c r="C386" s="1" t="n">
        <v>45831</v>
      </c>
      <c r="D386" t="inlineStr">
        <is>
          <t>JÄMTLANDS LÄN</t>
        </is>
      </c>
      <c r="E386" t="inlineStr">
        <is>
          <t>KROKOM</t>
        </is>
      </c>
      <c r="G386" t="n">
        <v>12.8</v>
      </c>
      <c r="H386" t="n">
        <v>0</v>
      </c>
      <c r="I386" t="n">
        <v>0</v>
      </c>
      <c r="J386" t="n">
        <v>0</v>
      </c>
      <c r="K386" t="n">
        <v>0</v>
      </c>
      <c r="L386" t="n">
        <v>0</v>
      </c>
      <c r="M386" t="n">
        <v>0</v>
      </c>
      <c r="N386" t="n">
        <v>0</v>
      </c>
      <c r="O386" t="n">
        <v>0</v>
      </c>
      <c r="P386" t="n">
        <v>0</v>
      </c>
      <c r="Q386" t="n">
        <v>0</v>
      </c>
      <c r="R386" s="2" t="inlineStr"/>
    </row>
    <row r="387" ht="15" customHeight="1">
      <c r="A387" t="inlineStr">
        <is>
          <t>A 22208-2019</t>
        </is>
      </c>
      <c r="B387" s="1" t="n">
        <v>43585</v>
      </c>
      <c r="C387" s="1" t="n">
        <v>45831</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22135-2019</t>
        </is>
      </c>
      <c r="B388" s="1" t="n">
        <v>43585</v>
      </c>
      <c r="C388" s="1" t="n">
        <v>45831</v>
      </c>
      <c r="D388" t="inlineStr">
        <is>
          <t>JÄMTLANDS LÄN</t>
        </is>
      </c>
      <c r="E388" t="inlineStr">
        <is>
          <t>KROKOM</t>
        </is>
      </c>
      <c r="G388" t="n">
        <v>8.1</v>
      </c>
      <c r="H388" t="n">
        <v>0</v>
      </c>
      <c r="I388" t="n">
        <v>0</v>
      </c>
      <c r="J388" t="n">
        <v>0</v>
      </c>
      <c r="K388" t="n">
        <v>0</v>
      </c>
      <c r="L388" t="n">
        <v>0</v>
      </c>
      <c r="M388" t="n">
        <v>0</v>
      </c>
      <c r="N388" t="n">
        <v>0</v>
      </c>
      <c r="O388" t="n">
        <v>0</v>
      </c>
      <c r="P388" t="n">
        <v>0</v>
      </c>
      <c r="Q388" t="n">
        <v>0</v>
      </c>
      <c r="R388" s="2" t="inlineStr"/>
    </row>
    <row r="389" ht="15" customHeight="1">
      <c r="A389" t="inlineStr">
        <is>
          <t>A 22129-2019</t>
        </is>
      </c>
      <c r="B389" s="1" t="n">
        <v>43585</v>
      </c>
      <c r="C389" s="1" t="n">
        <v>45831</v>
      </c>
      <c r="D389" t="inlineStr">
        <is>
          <t>JÄMTLANDS LÄN</t>
        </is>
      </c>
      <c r="E389" t="inlineStr">
        <is>
          <t>KROKOM</t>
        </is>
      </c>
      <c r="G389" t="n">
        <v>7</v>
      </c>
      <c r="H389" t="n">
        <v>0</v>
      </c>
      <c r="I389" t="n">
        <v>0</v>
      </c>
      <c r="J389" t="n">
        <v>0</v>
      </c>
      <c r="K389" t="n">
        <v>0</v>
      </c>
      <c r="L389" t="n">
        <v>0</v>
      </c>
      <c r="M389" t="n">
        <v>0</v>
      </c>
      <c r="N389" t="n">
        <v>0</v>
      </c>
      <c r="O389" t="n">
        <v>0</v>
      </c>
      <c r="P389" t="n">
        <v>0</v>
      </c>
      <c r="Q389" t="n">
        <v>0</v>
      </c>
      <c r="R389" s="2" t="inlineStr"/>
    </row>
    <row r="390" ht="15" customHeight="1">
      <c r="A390" t="inlineStr">
        <is>
          <t>A 22521-2019</t>
        </is>
      </c>
      <c r="B390" s="1" t="n">
        <v>43587</v>
      </c>
      <c r="C390" s="1" t="n">
        <v>45831</v>
      </c>
      <c r="D390" t="inlineStr">
        <is>
          <t>JÄMTLANDS LÄN</t>
        </is>
      </c>
      <c r="E390" t="inlineStr">
        <is>
          <t>KROKOM</t>
        </is>
      </c>
      <c r="F390" t="inlineStr">
        <is>
          <t>Kyrkan</t>
        </is>
      </c>
      <c r="G390" t="n">
        <v>14.5</v>
      </c>
      <c r="H390" t="n">
        <v>0</v>
      </c>
      <c r="I390" t="n">
        <v>0</v>
      </c>
      <c r="J390" t="n">
        <v>0</v>
      </c>
      <c r="K390" t="n">
        <v>0</v>
      </c>
      <c r="L390" t="n">
        <v>0</v>
      </c>
      <c r="M390" t="n">
        <v>0</v>
      </c>
      <c r="N390" t="n">
        <v>0</v>
      </c>
      <c r="O390" t="n">
        <v>0</v>
      </c>
      <c r="P390" t="n">
        <v>0</v>
      </c>
      <c r="Q390" t="n">
        <v>0</v>
      </c>
      <c r="R390" s="2" t="inlineStr"/>
    </row>
    <row r="391" ht="15" customHeight="1">
      <c r="A391" t="inlineStr">
        <is>
          <t>A 22533-2019</t>
        </is>
      </c>
      <c r="B391" s="1" t="n">
        <v>43587</v>
      </c>
      <c r="C391" s="1" t="n">
        <v>45831</v>
      </c>
      <c r="D391" t="inlineStr">
        <is>
          <t>JÄMTLANDS LÄN</t>
        </is>
      </c>
      <c r="E391" t="inlineStr">
        <is>
          <t>KROKOM</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22877-2019</t>
        </is>
      </c>
      <c r="B392" s="1" t="n">
        <v>43591</v>
      </c>
      <c r="C392" s="1" t="n">
        <v>45831</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23698-2019</t>
        </is>
      </c>
      <c r="B393" s="1" t="n">
        <v>43594</v>
      </c>
      <c r="C393" s="1" t="n">
        <v>45831</v>
      </c>
      <c r="D393" t="inlineStr">
        <is>
          <t>JÄMTLANDS LÄN</t>
        </is>
      </c>
      <c r="E393" t="inlineStr">
        <is>
          <t>KROKOM</t>
        </is>
      </c>
      <c r="G393" t="n">
        <v>14.3</v>
      </c>
      <c r="H393" t="n">
        <v>0</v>
      </c>
      <c r="I393" t="n">
        <v>0</v>
      </c>
      <c r="J393" t="n">
        <v>0</v>
      </c>
      <c r="K393" t="n">
        <v>0</v>
      </c>
      <c r="L393" t="n">
        <v>0</v>
      </c>
      <c r="M393" t="n">
        <v>0</v>
      </c>
      <c r="N393" t="n">
        <v>0</v>
      </c>
      <c r="O393" t="n">
        <v>0</v>
      </c>
      <c r="P393" t="n">
        <v>0</v>
      </c>
      <c r="Q393" t="n">
        <v>0</v>
      </c>
      <c r="R393" s="2" t="inlineStr"/>
    </row>
    <row r="394" ht="15" customHeight="1">
      <c r="A394" t="inlineStr">
        <is>
          <t>A 24900-2019</t>
        </is>
      </c>
      <c r="B394" s="1" t="n">
        <v>43599</v>
      </c>
      <c r="C394" s="1" t="n">
        <v>45831</v>
      </c>
      <c r="D394" t="inlineStr">
        <is>
          <t>JÄMTLANDS LÄN</t>
        </is>
      </c>
      <c r="E394" t="inlineStr">
        <is>
          <t>KROKOM</t>
        </is>
      </c>
      <c r="G394" t="n">
        <v>3.3</v>
      </c>
      <c r="H394" t="n">
        <v>0</v>
      </c>
      <c r="I394" t="n">
        <v>0</v>
      </c>
      <c r="J394" t="n">
        <v>0</v>
      </c>
      <c r="K394" t="n">
        <v>0</v>
      </c>
      <c r="L394" t="n">
        <v>0</v>
      </c>
      <c r="M394" t="n">
        <v>0</v>
      </c>
      <c r="N394" t="n">
        <v>0</v>
      </c>
      <c r="O394" t="n">
        <v>0</v>
      </c>
      <c r="P394" t="n">
        <v>0</v>
      </c>
      <c r="Q394" t="n">
        <v>0</v>
      </c>
      <c r="R394" s="2" t="inlineStr"/>
    </row>
    <row r="395" ht="15" customHeight="1">
      <c r="A395" t="inlineStr">
        <is>
          <t>A 25641-2019</t>
        </is>
      </c>
      <c r="B395" s="1" t="n">
        <v>43602</v>
      </c>
      <c r="C395" s="1" t="n">
        <v>45831</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25644-2019</t>
        </is>
      </c>
      <c r="B396" s="1" t="n">
        <v>43602</v>
      </c>
      <c r="C396" s="1" t="n">
        <v>45831</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25634-2019</t>
        </is>
      </c>
      <c r="B397" s="1" t="n">
        <v>43602</v>
      </c>
      <c r="C397" s="1" t="n">
        <v>45831</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25115-2019</t>
        </is>
      </c>
      <c r="B398" s="1" t="n">
        <v>43605</v>
      </c>
      <c r="C398" s="1" t="n">
        <v>45831</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25858-2019</t>
        </is>
      </c>
      <c r="B399" s="1" t="n">
        <v>43608</v>
      </c>
      <c r="C399" s="1" t="n">
        <v>45831</v>
      </c>
      <c r="D399" t="inlineStr">
        <is>
          <t>JÄMTLANDS LÄN</t>
        </is>
      </c>
      <c r="E399" t="inlineStr">
        <is>
          <t>KROKOM</t>
        </is>
      </c>
      <c r="F399" t="inlineStr">
        <is>
          <t>Övriga Aktiebolag</t>
        </is>
      </c>
      <c r="G399" t="n">
        <v>32.2</v>
      </c>
      <c r="H399" t="n">
        <v>0</v>
      </c>
      <c r="I399" t="n">
        <v>0</v>
      </c>
      <c r="J399" t="n">
        <v>0</v>
      </c>
      <c r="K399" t="n">
        <v>0</v>
      </c>
      <c r="L399" t="n">
        <v>0</v>
      </c>
      <c r="M399" t="n">
        <v>0</v>
      </c>
      <c r="N399" t="n">
        <v>0</v>
      </c>
      <c r="O399" t="n">
        <v>0</v>
      </c>
      <c r="P399" t="n">
        <v>0</v>
      </c>
      <c r="Q399" t="n">
        <v>0</v>
      </c>
      <c r="R399" s="2" t="inlineStr"/>
    </row>
    <row r="400" ht="15" customHeight="1">
      <c r="A400" t="inlineStr">
        <is>
          <t>A 26486-2019</t>
        </is>
      </c>
      <c r="B400" s="1" t="n">
        <v>43612</v>
      </c>
      <c r="C400" s="1" t="n">
        <v>45831</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26408-2019</t>
        </is>
      </c>
      <c r="B401" s="1" t="n">
        <v>43612</v>
      </c>
      <c r="C401" s="1" t="n">
        <v>45831</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28077-2019</t>
        </is>
      </c>
      <c r="B402" s="1" t="n">
        <v>43613</v>
      </c>
      <c r="C402" s="1" t="n">
        <v>45831</v>
      </c>
      <c r="D402" t="inlineStr">
        <is>
          <t>JÄMTLANDS LÄN</t>
        </is>
      </c>
      <c r="E402" t="inlineStr">
        <is>
          <t>KROKOM</t>
        </is>
      </c>
      <c r="F402" t="inlineStr">
        <is>
          <t>Övriga Aktiebolag</t>
        </is>
      </c>
      <c r="G402" t="n">
        <v>26.1</v>
      </c>
      <c r="H402" t="n">
        <v>0</v>
      </c>
      <c r="I402" t="n">
        <v>0</v>
      </c>
      <c r="J402" t="n">
        <v>0</v>
      </c>
      <c r="K402" t="n">
        <v>0</v>
      </c>
      <c r="L402" t="n">
        <v>0</v>
      </c>
      <c r="M402" t="n">
        <v>0</v>
      </c>
      <c r="N402" t="n">
        <v>0</v>
      </c>
      <c r="O402" t="n">
        <v>0</v>
      </c>
      <c r="P402" t="n">
        <v>0</v>
      </c>
      <c r="Q402" t="n">
        <v>0</v>
      </c>
      <c r="R402" s="2" t="inlineStr"/>
    </row>
    <row r="403" ht="15" customHeight="1">
      <c r="A403" t="inlineStr">
        <is>
          <t>A 27031-2019</t>
        </is>
      </c>
      <c r="B403" s="1" t="n">
        <v>43614</v>
      </c>
      <c r="C403" s="1" t="n">
        <v>45831</v>
      </c>
      <c r="D403" t="inlineStr">
        <is>
          <t>JÄMTLANDS LÄN</t>
        </is>
      </c>
      <c r="E403" t="inlineStr">
        <is>
          <t>KROKOM</t>
        </is>
      </c>
      <c r="G403" t="n">
        <v>3.4</v>
      </c>
      <c r="H403" t="n">
        <v>0</v>
      </c>
      <c r="I403" t="n">
        <v>0</v>
      </c>
      <c r="J403" t="n">
        <v>0</v>
      </c>
      <c r="K403" t="n">
        <v>0</v>
      </c>
      <c r="L403" t="n">
        <v>0</v>
      </c>
      <c r="M403" t="n">
        <v>0</v>
      </c>
      <c r="N403" t="n">
        <v>0</v>
      </c>
      <c r="O403" t="n">
        <v>0</v>
      </c>
      <c r="P403" t="n">
        <v>0</v>
      </c>
      <c r="Q403" t="n">
        <v>0</v>
      </c>
      <c r="R403" s="2" t="inlineStr"/>
    </row>
    <row r="404" ht="15" customHeight="1">
      <c r="A404" t="inlineStr">
        <is>
          <t>A 27348-2019</t>
        </is>
      </c>
      <c r="B404" s="1" t="n">
        <v>43616</v>
      </c>
      <c r="C404" s="1" t="n">
        <v>45831</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27765-2019</t>
        </is>
      </c>
      <c r="B405" s="1" t="n">
        <v>43619</v>
      </c>
      <c r="C405" s="1" t="n">
        <v>45831</v>
      </c>
      <c r="D405" t="inlineStr">
        <is>
          <t>JÄMTLANDS LÄN</t>
        </is>
      </c>
      <c r="E405" t="inlineStr">
        <is>
          <t>KROKOM</t>
        </is>
      </c>
      <c r="G405" t="n">
        <v>20.1</v>
      </c>
      <c r="H405" t="n">
        <v>0</v>
      </c>
      <c r="I405" t="n">
        <v>0</v>
      </c>
      <c r="J405" t="n">
        <v>0</v>
      </c>
      <c r="K405" t="n">
        <v>0</v>
      </c>
      <c r="L405" t="n">
        <v>0</v>
      </c>
      <c r="M405" t="n">
        <v>0</v>
      </c>
      <c r="N405" t="n">
        <v>0</v>
      </c>
      <c r="O405" t="n">
        <v>0</v>
      </c>
      <c r="P405" t="n">
        <v>0</v>
      </c>
      <c r="Q405" t="n">
        <v>0</v>
      </c>
      <c r="R405" s="2" t="inlineStr"/>
    </row>
    <row r="406" ht="15" customHeight="1">
      <c r="A406" t="inlineStr">
        <is>
          <t>A 27766-2019</t>
        </is>
      </c>
      <c r="B406" s="1" t="n">
        <v>43619</v>
      </c>
      <c r="C406" s="1" t="n">
        <v>45831</v>
      </c>
      <c r="D406" t="inlineStr">
        <is>
          <t>JÄMTLANDS LÄN</t>
        </is>
      </c>
      <c r="E406" t="inlineStr">
        <is>
          <t>KROKOM</t>
        </is>
      </c>
      <c r="G406" t="n">
        <v>17.7</v>
      </c>
      <c r="H406" t="n">
        <v>0</v>
      </c>
      <c r="I406" t="n">
        <v>0</v>
      </c>
      <c r="J406" t="n">
        <v>0</v>
      </c>
      <c r="K406" t="n">
        <v>0</v>
      </c>
      <c r="L406" t="n">
        <v>0</v>
      </c>
      <c r="M406" t="n">
        <v>0</v>
      </c>
      <c r="N406" t="n">
        <v>0</v>
      </c>
      <c r="O406" t="n">
        <v>0</v>
      </c>
      <c r="P406" t="n">
        <v>0</v>
      </c>
      <c r="Q406" t="n">
        <v>0</v>
      </c>
      <c r="R406" s="2" t="inlineStr"/>
    </row>
    <row r="407" ht="15" customHeight="1">
      <c r="A407" t="inlineStr">
        <is>
          <t>A 27764-2019</t>
        </is>
      </c>
      <c r="B407" s="1" t="n">
        <v>43619</v>
      </c>
      <c r="C407" s="1" t="n">
        <v>45831</v>
      </c>
      <c r="D407" t="inlineStr">
        <is>
          <t>JÄMTLANDS LÄN</t>
        </is>
      </c>
      <c r="E407" t="inlineStr">
        <is>
          <t>KROKOM</t>
        </is>
      </c>
      <c r="G407" t="n">
        <v>41.8</v>
      </c>
      <c r="H407" t="n">
        <v>0</v>
      </c>
      <c r="I407" t="n">
        <v>0</v>
      </c>
      <c r="J407" t="n">
        <v>0</v>
      </c>
      <c r="K407" t="n">
        <v>0</v>
      </c>
      <c r="L407" t="n">
        <v>0</v>
      </c>
      <c r="M407" t="n">
        <v>0</v>
      </c>
      <c r="N407" t="n">
        <v>0</v>
      </c>
      <c r="O407" t="n">
        <v>0</v>
      </c>
      <c r="P407" t="n">
        <v>0</v>
      </c>
      <c r="Q407" t="n">
        <v>0</v>
      </c>
      <c r="R407" s="2" t="inlineStr"/>
    </row>
    <row r="408" ht="15" customHeight="1">
      <c r="A408" t="inlineStr">
        <is>
          <t>A 27763-2019</t>
        </is>
      </c>
      <c r="B408" s="1" t="n">
        <v>43619</v>
      </c>
      <c r="C408" s="1" t="n">
        <v>45831</v>
      </c>
      <c r="D408" t="inlineStr">
        <is>
          <t>JÄMTLANDS LÄN</t>
        </is>
      </c>
      <c r="E408" t="inlineStr">
        <is>
          <t>KROKOM</t>
        </is>
      </c>
      <c r="G408" t="n">
        <v>15.1</v>
      </c>
      <c r="H408" t="n">
        <v>0</v>
      </c>
      <c r="I408" t="n">
        <v>0</v>
      </c>
      <c r="J408" t="n">
        <v>0</v>
      </c>
      <c r="K408" t="n">
        <v>0</v>
      </c>
      <c r="L408" t="n">
        <v>0</v>
      </c>
      <c r="M408" t="n">
        <v>0</v>
      </c>
      <c r="N408" t="n">
        <v>0</v>
      </c>
      <c r="O408" t="n">
        <v>0</v>
      </c>
      <c r="P408" t="n">
        <v>0</v>
      </c>
      <c r="Q408" t="n">
        <v>0</v>
      </c>
      <c r="R408" s="2" t="inlineStr"/>
    </row>
    <row r="409" ht="15" customHeight="1">
      <c r="A409" t="inlineStr">
        <is>
          <t>A 29270-2019</t>
        </is>
      </c>
      <c r="B409" s="1" t="n">
        <v>43623</v>
      </c>
      <c r="C409" s="1" t="n">
        <v>45831</v>
      </c>
      <c r="D409" t="inlineStr">
        <is>
          <t>JÄMTLANDS LÄN</t>
        </is>
      </c>
      <c r="E409" t="inlineStr">
        <is>
          <t>KROKOM</t>
        </is>
      </c>
      <c r="G409" t="n">
        <v>0.3</v>
      </c>
      <c r="H409" t="n">
        <v>0</v>
      </c>
      <c r="I409" t="n">
        <v>0</v>
      </c>
      <c r="J409" t="n">
        <v>0</v>
      </c>
      <c r="K409" t="n">
        <v>0</v>
      </c>
      <c r="L409" t="n">
        <v>0</v>
      </c>
      <c r="M409" t="n">
        <v>0</v>
      </c>
      <c r="N409" t="n">
        <v>0</v>
      </c>
      <c r="O409" t="n">
        <v>0</v>
      </c>
      <c r="P409" t="n">
        <v>0</v>
      </c>
      <c r="Q409" t="n">
        <v>0</v>
      </c>
      <c r="R409" s="2" t="inlineStr"/>
    </row>
    <row r="410" ht="15" customHeight="1">
      <c r="A410" t="inlineStr">
        <is>
          <t>A 29222-2019</t>
        </is>
      </c>
      <c r="B410" s="1" t="n">
        <v>43623</v>
      </c>
      <c r="C410" s="1" t="n">
        <v>45831</v>
      </c>
      <c r="D410" t="inlineStr">
        <is>
          <t>JÄMTLANDS LÄN</t>
        </is>
      </c>
      <c r="E410" t="inlineStr">
        <is>
          <t>KROKOM</t>
        </is>
      </c>
      <c r="G410" t="n">
        <v>5.9</v>
      </c>
      <c r="H410" t="n">
        <v>0</v>
      </c>
      <c r="I410" t="n">
        <v>0</v>
      </c>
      <c r="J410" t="n">
        <v>0</v>
      </c>
      <c r="K410" t="n">
        <v>0</v>
      </c>
      <c r="L410" t="n">
        <v>0</v>
      </c>
      <c r="M410" t="n">
        <v>0</v>
      </c>
      <c r="N410" t="n">
        <v>0</v>
      </c>
      <c r="O410" t="n">
        <v>0</v>
      </c>
      <c r="P410" t="n">
        <v>0</v>
      </c>
      <c r="Q410" t="n">
        <v>0</v>
      </c>
      <c r="R410" s="2" t="inlineStr"/>
    </row>
    <row r="411" ht="15" customHeight="1">
      <c r="A411" t="inlineStr">
        <is>
          <t>A 29211-2019</t>
        </is>
      </c>
      <c r="B411" s="1" t="n">
        <v>43623</v>
      </c>
      <c r="C411" s="1" t="n">
        <v>45831</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28521-2019</t>
        </is>
      </c>
      <c r="B412" s="1" t="n">
        <v>43626</v>
      </c>
      <c r="C412" s="1" t="n">
        <v>45831</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29153-2019</t>
        </is>
      </c>
      <c r="B413" s="1" t="n">
        <v>43628</v>
      </c>
      <c r="C413" s="1" t="n">
        <v>45831</v>
      </c>
      <c r="D413" t="inlineStr">
        <is>
          <t>JÄMTLANDS LÄN</t>
        </is>
      </c>
      <c r="E413" t="inlineStr">
        <is>
          <t>KROKOM</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29705-2019</t>
        </is>
      </c>
      <c r="B414" s="1" t="n">
        <v>43628</v>
      </c>
      <c r="C414" s="1" t="n">
        <v>45831</v>
      </c>
      <c r="D414" t="inlineStr">
        <is>
          <t>JÄMTLANDS LÄN</t>
        </is>
      </c>
      <c r="E414" t="inlineStr">
        <is>
          <t>KROKOM</t>
        </is>
      </c>
      <c r="G414" t="n">
        <v>7.1</v>
      </c>
      <c r="H414" t="n">
        <v>0</v>
      </c>
      <c r="I414" t="n">
        <v>0</v>
      </c>
      <c r="J414" t="n">
        <v>0</v>
      </c>
      <c r="K414" t="n">
        <v>0</v>
      </c>
      <c r="L414" t="n">
        <v>0</v>
      </c>
      <c r="M414" t="n">
        <v>0</v>
      </c>
      <c r="N414" t="n">
        <v>0</v>
      </c>
      <c r="O414" t="n">
        <v>0</v>
      </c>
      <c r="P414" t="n">
        <v>0</v>
      </c>
      <c r="Q414" t="n">
        <v>0</v>
      </c>
      <c r="R414" s="2" t="inlineStr"/>
    </row>
    <row r="415" ht="15" customHeight="1">
      <c r="A415" t="inlineStr">
        <is>
          <t>A 29925-2019</t>
        </is>
      </c>
      <c r="B415" s="1" t="n">
        <v>43633</v>
      </c>
      <c r="C415" s="1" t="n">
        <v>45831</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29823-2019</t>
        </is>
      </c>
      <c r="B416" s="1" t="n">
        <v>43633</v>
      </c>
      <c r="C416" s="1" t="n">
        <v>45831</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30032-2019</t>
        </is>
      </c>
      <c r="B417" s="1" t="n">
        <v>43633</v>
      </c>
      <c r="C417" s="1" t="n">
        <v>45831</v>
      </c>
      <c r="D417" t="inlineStr">
        <is>
          <t>JÄMTLANDS LÄN</t>
        </is>
      </c>
      <c r="E417" t="inlineStr">
        <is>
          <t>KROKOM</t>
        </is>
      </c>
      <c r="G417" t="n">
        <v>4.1</v>
      </c>
      <c r="H417" t="n">
        <v>0</v>
      </c>
      <c r="I417" t="n">
        <v>0</v>
      </c>
      <c r="J417" t="n">
        <v>0</v>
      </c>
      <c r="K417" t="n">
        <v>0</v>
      </c>
      <c r="L417" t="n">
        <v>0</v>
      </c>
      <c r="M417" t="n">
        <v>0</v>
      </c>
      <c r="N417" t="n">
        <v>0</v>
      </c>
      <c r="O417" t="n">
        <v>0</v>
      </c>
      <c r="P417" t="n">
        <v>0</v>
      </c>
      <c r="Q417" t="n">
        <v>0</v>
      </c>
      <c r="R417" s="2" t="inlineStr"/>
    </row>
    <row r="418" ht="15" customHeight="1">
      <c r="A418" t="inlineStr">
        <is>
          <t>A 30138-2019</t>
        </is>
      </c>
      <c r="B418" s="1" t="n">
        <v>43634</v>
      </c>
      <c r="C418" s="1" t="n">
        <v>45831</v>
      </c>
      <c r="D418" t="inlineStr">
        <is>
          <t>JÄMTLANDS LÄN</t>
        </is>
      </c>
      <c r="E418" t="inlineStr">
        <is>
          <t>KROKOM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30691-2019</t>
        </is>
      </c>
      <c r="B419" s="1" t="n">
        <v>43636</v>
      </c>
      <c r="C419" s="1" t="n">
        <v>45831</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30758-2019</t>
        </is>
      </c>
      <c r="B420" s="1" t="n">
        <v>43636</v>
      </c>
      <c r="C420" s="1" t="n">
        <v>45831</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31070-2019</t>
        </is>
      </c>
      <c r="B421" s="1" t="n">
        <v>43640</v>
      </c>
      <c r="C421" s="1" t="n">
        <v>45831</v>
      </c>
      <c r="D421" t="inlineStr">
        <is>
          <t>JÄMTLANDS LÄN</t>
        </is>
      </c>
      <c r="E421" t="inlineStr">
        <is>
          <t>KROKOM</t>
        </is>
      </c>
      <c r="G421" t="n">
        <v>5.1</v>
      </c>
      <c r="H421" t="n">
        <v>0</v>
      </c>
      <c r="I421" t="n">
        <v>0</v>
      </c>
      <c r="J421" t="n">
        <v>0</v>
      </c>
      <c r="K421" t="n">
        <v>0</v>
      </c>
      <c r="L421" t="n">
        <v>0</v>
      </c>
      <c r="M421" t="n">
        <v>0</v>
      </c>
      <c r="N421" t="n">
        <v>0</v>
      </c>
      <c r="O421" t="n">
        <v>0</v>
      </c>
      <c r="P421" t="n">
        <v>0</v>
      </c>
      <c r="Q421" t="n">
        <v>0</v>
      </c>
      <c r="R421" s="2" t="inlineStr"/>
    </row>
    <row r="422" ht="15" customHeight="1">
      <c r="A422" t="inlineStr">
        <is>
          <t>A 31032-2019</t>
        </is>
      </c>
      <c r="B422" s="1" t="n">
        <v>43640</v>
      </c>
      <c r="C422" s="1" t="n">
        <v>45831</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31071-2019</t>
        </is>
      </c>
      <c r="B423" s="1" t="n">
        <v>43640</v>
      </c>
      <c r="C423" s="1" t="n">
        <v>45831</v>
      </c>
      <c r="D423" t="inlineStr">
        <is>
          <t>JÄMTLANDS LÄN</t>
        </is>
      </c>
      <c r="E423" t="inlineStr">
        <is>
          <t>KROKOM</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31574-2019</t>
        </is>
      </c>
      <c r="B424" s="1" t="n">
        <v>43641</v>
      </c>
      <c r="C424" s="1" t="n">
        <v>45831</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31575-2019</t>
        </is>
      </c>
      <c r="B425" s="1" t="n">
        <v>43641</v>
      </c>
      <c r="C425" s="1" t="n">
        <v>45831</v>
      </c>
      <c r="D425" t="inlineStr">
        <is>
          <t>JÄMTLANDS LÄN</t>
        </is>
      </c>
      <c r="E425" t="inlineStr">
        <is>
          <t>KROKOM</t>
        </is>
      </c>
      <c r="G425" t="n">
        <v>0.7</v>
      </c>
      <c r="H425" t="n">
        <v>0</v>
      </c>
      <c r="I425" t="n">
        <v>0</v>
      </c>
      <c r="J425" t="n">
        <v>0</v>
      </c>
      <c r="K425" t="n">
        <v>0</v>
      </c>
      <c r="L425" t="n">
        <v>0</v>
      </c>
      <c r="M425" t="n">
        <v>0</v>
      </c>
      <c r="N425" t="n">
        <v>0</v>
      </c>
      <c r="O425" t="n">
        <v>0</v>
      </c>
      <c r="P425" t="n">
        <v>0</v>
      </c>
      <c r="Q425" t="n">
        <v>0</v>
      </c>
      <c r="R425" s="2" t="inlineStr"/>
    </row>
    <row r="426" ht="15" customHeight="1">
      <c r="A426" t="inlineStr">
        <is>
          <t>A 31911-2019</t>
        </is>
      </c>
      <c r="B426" s="1" t="n">
        <v>43642</v>
      </c>
      <c r="C426" s="1" t="n">
        <v>45831</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32053-2019</t>
        </is>
      </c>
      <c r="B427" s="1" t="n">
        <v>43642</v>
      </c>
      <c r="C427" s="1" t="n">
        <v>45831</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33001-2019</t>
        </is>
      </c>
      <c r="B428" s="1" t="n">
        <v>43649</v>
      </c>
      <c r="C428" s="1" t="n">
        <v>45831</v>
      </c>
      <c r="D428" t="inlineStr">
        <is>
          <t>JÄMTLANDS LÄN</t>
        </is>
      </c>
      <c r="E428" t="inlineStr">
        <is>
          <t>KROKOM</t>
        </is>
      </c>
      <c r="F428" t="inlineStr">
        <is>
          <t>Övriga Aktiebolag</t>
        </is>
      </c>
      <c r="G428" t="n">
        <v>7.8</v>
      </c>
      <c r="H428" t="n">
        <v>0</v>
      </c>
      <c r="I428" t="n">
        <v>0</v>
      </c>
      <c r="J428" t="n">
        <v>0</v>
      </c>
      <c r="K428" t="n">
        <v>0</v>
      </c>
      <c r="L428" t="n">
        <v>0</v>
      </c>
      <c r="M428" t="n">
        <v>0</v>
      </c>
      <c r="N428" t="n">
        <v>0</v>
      </c>
      <c r="O428" t="n">
        <v>0</v>
      </c>
      <c r="P428" t="n">
        <v>0</v>
      </c>
      <c r="Q428" t="n">
        <v>0</v>
      </c>
      <c r="R428" s="2" t="inlineStr"/>
    </row>
    <row r="429" ht="15" customHeight="1">
      <c r="A429" t="inlineStr">
        <is>
          <t>A 33015-2019</t>
        </is>
      </c>
      <c r="B429" s="1" t="n">
        <v>43649</v>
      </c>
      <c r="C429" s="1" t="n">
        <v>45831</v>
      </c>
      <c r="D429" t="inlineStr">
        <is>
          <t>JÄMTLANDS LÄN</t>
        </is>
      </c>
      <c r="E429" t="inlineStr">
        <is>
          <t>KROKOM</t>
        </is>
      </c>
      <c r="F429" t="inlineStr">
        <is>
          <t>Övriga Aktiebolag</t>
        </is>
      </c>
      <c r="G429" t="n">
        <v>12.7</v>
      </c>
      <c r="H429" t="n">
        <v>0</v>
      </c>
      <c r="I429" t="n">
        <v>0</v>
      </c>
      <c r="J429" t="n">
        <v>0</v>
      </c>
      <c r="K429" t="n">
        <v>0</v>
      </c>
      <c r="L429" t="n">
        <v>0</v>
      </c>
      <c r="M429" t="n">
        <v>0</v>
      </c>
      <c r="N429" t="n">
        <v>0</v>
      </c>
      <c r="O429" t="n">
        <v>0</v>
      </c>
      <c r="P429" t="n">
        <v>0</v>
      </c>
      <c r="Q429" t="n">
        <v>0</v>
      </c>
      <c r="R429" s="2" t="inlineStr"/>
    </row>
    <row r="430" ht="15" customHeight="1">
      <c r="A430" t="inlineStr">
        <is>
          <t>A 33360-2019</t>
        </is>
      </c>
      <c r="B430" s="1" t="n">
        <v>43650</v>
      </c>
      <c r="C430" s="1" t="n">
        <v>45831</v>
      </c>
      <c r="D430" t="inlineStr">
        <is>
          <t>JÄMTLANDS LÄN</t>
        </is>
      </c>
      <c r="E430" t="inlineStr">
        <is>
          <t>KROKOM</t>
        </is>
      </c>
      <c r="G430" t="n">
        <v>15.8</v>
      </c>
      <c r="H430" t="n">
        <v>0</v>
      </c>
      <c r="I430" t="n">
        <v>0</v>
      </c>
      <c r="J430" t="n">
        <v>0</v>
      </c>
      <c r="K430" t="n">
        <v>0</v>
      </c>
      <c r="L430" t="n">
        <v>0</v>
      </c>
      <c r="M430" t="n">
        <v>0</v>
      </c>
      <c r="N430" t="n">
        <v>0</v>
      </c>
      <c r="O430" t="n">
        <v>0</v>
      </c>
      <c r="P430" t="n">
        <v>0</v>
      </c>
      <c r="Q430" t="n">
        <v>0</v>
      </c>
      <c r="R430" s="2" t="inlineStr"/>
    </row>
    <row r="431" ht="15" customHeight="1">
      <c r="A431" t="inlineStr">
        <is>
          <t>A 35288-2019</t>
        </is>
      </c>
      <c r="B431" s="1" t="n">
        <v>43651</v>
      </c>
      <c r="C431" s="1" t="n">
        <v>45831</v>
      </c>
      <c r="D431" t="inlineStr">
        <is>
          <t>JÄMTLANDS LÄN</t>
        </is>
      </c>
      <c r="E431" t="inlineStr">
        <is>
          <t>KROKOM</t>
        </is>
      </c>
      <c r="G431" t="n">
        <v>6.9</v>
      </c>
      <c r="H431" t="n">
        <v>0</v>
      </c>
      <c r="I431" t="n">
        <v>0</v>
      </c>
      <c r="J431" t="n">
        <v>0</v>
      </c>
      <c r="K431" t="n">
        <v>0</v>
      </c>
      <c r="L431" t="n">
        <v>0</v>
      </c>
      <c r="M431" t="n">
        <v>0</v>
      </c>
      <c r="N431" t="n">
        <v>0</v>
      </c>
      <c r="O431" t="n">
        <v>0</v>
      </c>
      <c r="P431" t="n">
        <v>0</v>
      </c>
      <c r="Q431" t="n">
        <v>0</v>
      </c>
      <c r="R431" s="2" t="inlineStr"/>
    </row>
    <row r="432" ht="15" customHeight="1">
      <c r="A432" t="inlineStr">
        <is>
          <t>A 35337-2019</t>
        </is>
      </c>
      <c r="B432" s="1" t="n">
        <v>43651</v>
      </c>
      <c r="C432" s="1" t="n">
        <v>45831</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35264-2019</t>
        </is>
      </c>
      <c r="B433" s="1" t="n">
        <v>43651</v>
      </c>
      <c r="C433" s="1" t="n">
        <v>45831</v>
      </c>
      <c r="D433" t="inlineStr">
        <is>
          <t>JÄMTLANDS LÄN</t>
        </is>
      </c>
      <c r="E433" t="inlineStr">
        <is>
          <t>KROKOM</t>
        </is>
      </c>
      <c r="G433" t="n">
        <v>10</v>
      </c>
      <c r="H433" t="n">
        <v>0</v>
      </c>
      <c r="I433" t="n">
        <v>0</v>
      </c>
      <c r="J433" t="n">
        <v>0</v>
      </c>
      <c r="K433" t="n">
        <v>0</v>
      </c>
      <c r="L433" t="n">
        <v>0</v>
      </c>
      <c r="M433" t="n">
        <v>0</v>
      </c>
      <c r="N433" t="n">
        <v>0</v>
      </c>
      <c r="O433" t="n">
        <v>0</v>
      </c>
      <c r="P433" t="n">
        <v>0</v>
      </c>
      <c r="Q433" t="n">
        <v>0</v>
      </c>
      <c r="R433" s="2" t="inlineStr"/>
    </row>
    <row r="434" ht="15" customHeight="1">
      <c r="A434" t="inlineStr">
        <is>
          <t>A 35339-2019</t>
        </is>
      </c>
      <c r="B434" s="1" t="n">
        <v>43651</v>
      </c>
      <c r="C434" s="1" t="n">
        <v>45831</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35266-2019</t>
        </is>
      </c>
      <c r="B435" s="1" t="n">
        <v>43651</v>
      </c>
      <c r="C435" s="1" t="n">
        <v>45831</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34065-2019</t>
        </is>
      </c>
      <c r="B436" s="1" t="n">
        <v>43654</v>
      </c>
      <c r="C436" s="1" t="n">
        <v>45831</v>
      </c>
      <c r="D436" t="inlineStr">
        <is>
          <t>JÄMTLANDS LÄN</t>
        </is>
      </c>
      <c r="E436" t="inlineStr">
        <is>
          <t>KROKOM</t>
        </is>
      </c>
      <c r="G436" t="n">
        <v>12.3</v>
      </c>
      <c r="H436" t="n">
        <v>0</v>
      </c>
      <c r="I436" t="n">
        <v>0</v>
      </c>
      <c r="J436" t="n">
        <v>0</v>
      </c>
      <c r="K436" t="n">
        <v>0</v>
      </c>
      <c r="L436" t="n">
        <v>0</v>
      </c>
      <c r="M436" t="n">
        <v>0</v>
      </c>
      <c r="N436" t="n">
        <v>0</v>
      </c>
      <c r="O436" t="n">
        <v>0</v>
      </c>
      <c r="P436" t="n">
        <v>0</v>
      </c>
      <c r="Q436" t="n">
        <v>0</v>
      </c>
      <c r="R436" s="2" t="inlineStr"/>
    </row>
    <row r="437" ht="15" customHeight="1">
      <c r="A437" t="inlineStr">
        <is>
          <t>A 34108-2019</t>
        </is>
      </c>
      <c r="B437" s="1" t="n">
        <v>43655</v>
      </c>
      <c r="C437" s="1" t="n">
        <v>45831</v>
      </c>
      <c r="D437" t="inlineStr">
        <is>
          <t>JÄMTLANDS LÄN</t>
        </is>
      </c>
      <c r="E437" t="inlineStr">
        <is>
          <t>KROKOM</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35668-2019</t>
        </is>
      </c>
      <c r="B438" s="1" t="n">
        <v>43655</v>
      </c>
      <c r="C438" s="1" t="n">
        <v>45831</v>
      </c>
      <c r="D438" t="inlineStr">
        <is>
          <t>JÄMTLANDS LÄN</t>
        </is>
      </c>
      <c r="E438" t="inlineStr">
        <is>
          <t>KROKOM</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35754-2019</t>
        </is>
      </c>
      <c r="B439" s="1" t="n">
        <v>43656</v>
      </c>
      <c r="C439" s="1" t="n">
        <v>45831</v>
      </c>
      <c r="D439" t="inlineStr">
        <is>
          <t>JÄMTLANDS LÄN</t>
        </is>
      </c>
      <c r="E439" t="inlineStr">
        <is>
          <t>KROKOM</t>
        </is>
      </c>
      <c r="G439" t="n">
        <v>4.5</v>
      </c>
      <c r="H439" t="n">
        <v>0</v>
      </c>
      <c r="I439" t="n">
        <v>0</v>
      </c>
      <c r="J439" t="n">
        <v>0</v>
      </c>
      <c r="K439" t="n">
        <v>0</v>
      </c>
      <c r="L439" t="n">
        <v>0</v>
      </c>
      <c r="M439" t="n">
        <v>0</v>
      </c>
      <c r="N439" t="n">
        <v>0</v>
      </c>
      <c r="O439" t="n">
        <v>0</v>
      </c>
      <c r="P439" t="n">
        <v>0</v>
      </c>
      <c r="Q439" t="n">
        <v>0</v>
      </c>
      <c r="R439" s="2" t="inlineStr"/>
    </row>
    <row r="440" ht="15" customHeight="1">
      <c r="A440" t="inlineStr">
        <is>
          <t>A 34739-2019</t>
        </is>
      </c>
      <c r="B440" s="1" t="n">
        <v>43657</v>
      </c>
      <c r="C440" s="1" t="n">
        <v>45831</v>
      </c>
      <c r="D440" t="inlineStr">
        <is>
          <t>JÄMTLANDS LÄN</t>
        </is>
      </c>
      <c r="E440" t="inlineStr">
        <is>
          <t>KROKOM</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36009-2019</t>
        </is>
      </c>
      <c r="B441" s="1" t="n">
        <v>43657</v>
      </c>
      <c r="C441" s="1" t="n">
        <v>45831</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35131-2019</t>
        </is>
      </c>
      <c r="B442" s="1" t="n">
        <v>43661</v>
      </c>
      <c r="C442" s="1" t="n">
        <v>45831</v>
      </c>
      <c r="D442" t="inlineStr">
        <is>
          <t>JÄMTLANDS LÄN</t>
        </is>
      </c>
      <c r="E442" t="inlineStr">
        <is>
          <t>KROKOM</t>
        </is>
      </c>
      <c r="G442" t="n">
        <v>10.4</v>
      </c>
      <c r="H442" t="n">
        <v>0</v>
      </c>
      <c r="I442" t="n">
        <v>0</v>
      </c>
      <c r="J442" t="n">
        <v>0</v>
      </c>
      <c r="K442" t="n">
        <v>0</v>
      </c>
      <c r="L442" t="n">
        <v>0</v>
      </c>
      <c r="M442" t="n">
        <v>0</v>
      </c>
      <c r="N442" t="n">
        <v>0</v>
      </c>
      <c r="O442" t="n">
        <v>0</v>
      </c>
      <c r="P442" t="n">
        <v>0</v>
      </c>
      <c r="Q442" t="n">
        <v>0</v>
      </c>
      <c r="R442" s="2" t="inlineStr"/>
    </row>
    <row r="443" ht="15" customHeight="1">
      <c r="A443" t="inlineStr">
        <is>
          <t>A 35340-2019</t>
        </is>
      </c>
      <c r="B443" s="1" t="n">
        <v>43661</v>
      </c>
      <c r="C443" s="1" t="n">
        <v>45831</v>
      </c>
      <c r="D443" t="inlineStr">
        <is>
          <t>JÄMTLANDS LÄN</t>
        </is>
      </c>
      <c r="E443" t="inlineStr">
        <is>
          <t>KROKOM</t>
        </is>
      </c>
      <c r="G443" t="n">
        <v>4.4</v>
      </c>
      <c r="H443" t="n">
        <v>0</v>
      </c>
      <c r="I443" t="n">
        <v>0</v>
      </c>
      <c r="J443" t="n">
        <v>0</v>
      </c>
      <c r="K443" t="n">
        <v>0</v>
      </c>
      <c r="L443" t="n">
        <v>0</v>
      </c>
      <c r="M443" t="n">
        <v>0</v>
      </c>
      <c r="N443" t="n">
        <v>0</v>
      </c>
      <c r="O443" t="n">
        <v>0</v>
      </c>
      <c r="P443" t="n">
        <v>0</v>
      </c>
      <c r="Q443" t="n">
        <v>0</v>
      </c>
      <c r="R443" s="2" t="inlineStr"/>
    </row>
    <row r="444" ht="15" customHeight="1">
      <c r="A444" t="inlineStr">
        <is>
          <t>A 36271-2019</t>
        </is>
      </c>
      <c r="B444" s="1" t="n">
        <v>43661</v>
      </c>
      <c r="C444" s="1" t="n">
        <v>45831</v>
      </c>
      <c r="D444" t="inlineStr">
        <is>
          <t>JÄMTLANDS LÄN</t>
        </is>
      </c>
      <c r="E444" t="inlineStr">
        <is>
          <t>KROKOM</t>
        </is>
      </c>
      <c r="G444" t="n">
        <v>2.4</v>
      </c>
      <c r="H444" t="n">
        <v>0</v>
      </c>
      <c r="I444" t="n">
        <v>0</v>
      </c>
      <c r="J444" t="n">
        <v>0</v>
      </c>
      <c r="K444" t="n">
        <v>0</v>
      </c>
      <c r="L444" t="n">
        <v>0</v>
      </c>
      <c r="M444" t="n">
        <v>0</v>
      </c>
      <c r="N444" t="n">
        <v>0</v>
      </c>
      <c r="O444" t="n">
        <v>0</v>
      </c>
      <c r="P444" t="n">
        <v>0</v>
      </c>
      <c r="Q444" t="n">
        <v>0</v>
      </c>
      <c r="R444" s="2" t="inlineStr"/>
    </row>
    <row r="445" ht="15" customHeight="1">
      <c r="A445" t="inlineStr">
        <is>
          <t>A 37369-2019</t>
        </is>
      </c>
      <c r="B445" s="1" t="n">
        <v>43678</v>
      </c>
      <c r="C445" s="1" t="n">
        <v>45831</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37756-2019</t>
        </is>
      </c>
      <c r="B446" s="1" t="n">
        <v>43682</v>
      </c>
      <c r="C446" s="1" t="n">
        <v>45831</v>
      </c>
      <c r="D446" t="inlineStr">
        <is>
          <t>JÄMTLANDS LÄN</t>
        </is>
      </c>
      <c r="E446" t="inlineStr">
        <is>
          <t>KROKOM</t>
        </is>
      </c>
      <c r="G446" t="n">
        <v>2.1</v>
      </c>
      <c r="H446" t="n">
        <v>0</v>
      </c>
      <c r="I446" t="n">
        <v>0</v>
      </c>
      <c r="J446" t="n">
        <v>0</v>
      </c>
      <c r="K446" t="n">
        <v>0</v>
      </c>
      <c r="L446" t="n">
        <v>0</v>
      </c>
      <c r="M446" t="n">
        <v>0</v>
      </c>
      <c r="N446" t="n">
        <v>0</v>
      </c>
      <c r="O446" t="n">
        <v>0</v>
      </c>
      <c r="P446" t="n">
        <v>0</v>
      </c>
      <c r="Q446" t="n">
        <v>0</v>
      </c>
      <c r="R446" s="2" t="inlineStr"/>
    </row>
    <row r="447" ht="15" customHeight="1">
      <c r="A447" t="inlineStr">
        <is>
          <t>A 38208-2019</t>
        </is>
      </c>
      <c r="B447" s="1" t="n">
        <v>43684</v>
      </c>
      <c r="C447" s="1" t="n">
        <v>45831</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39353-2019</t>
        </is>
      </c>
      <c r="B448" s="1" t="n">
        <v>43690</v>
      </c>
      <c r="C448" s="1" t="n">
        <v>45831</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39587-2019</t>
        </is>
      </c>
      <c r="B449" s="1" t="n">
        <v>43691</v>
      </c>
      <c r="C449" s="1" t="n">
        <v>45831</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39956-2019</t>
        </is>
      </c>
      <c r="B450" s="1" t="n">
        <v>43692</v>
      </c>
      <c r="C450" s="1" t="n">
        <v>45831</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39943-2019</t>
        </is>
      </c>
      <c r="B451" s="1" t="n">
        <v>43692</v>
      </c>
      <c r="C451" s="1" t="n">
        <v>45831</v>
      </c>
      <c r="D451" t="inlineStr">
        <is>
          <t>JÄMTLANDS LÄN</t>
        </is>
      </c>
      <c r="E451" t="inlineStr">
        <is>
          <t>KROKOM</t>
        </is>
      </c>
      <c r="G451" t="n">
        <v>17.9</v>
      </c>
      <c r="H451" t="n">
        <v>0</v>
      </c>
      <c r="I451" t="n">
        <v>0</v>
      </c>
      <c r="J451" t="n">
        <v>0</v>
      </c>
      <c r="K451" t="n">
        <v>0</v>
      </c>
      <c r="L451" t="n">
        <v>0</v>
      </c>
      <c r="M451" t="n">
        <v>0</v>
      </c>
      <c r="N451" t="n">
        <v>0</v>
      </c>
      <c r="O451" t="n">
        <v>0</v>
      </c>
      <c r="P451" t="n">
        <v>0</v>
      </c>
      <c r="Q451" t="n">
        <v>0</v>
      </c>
      <c r="R451" s="2" t="inlineStr"/>
    </row>
    <row r="452" ht="15" customHeight="1">
      <c r="A452" t="inlineStr">
        <is>
          <t>A 40929-2019</t>
        </is>
      </c>
      <c r="B452" s="1" t="n">
        <v>43693</v>
      </c>
      <c r="C452" s="1" t="n">
        <v>45831</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40491-2019</t>
        </is>
      </c>
      <c r="B453" s="1" t="n">
        <v>43696</v>
      </c>
      <c r="C453" s="1" t="n">
        <v>45831</v>
      </c>
      <c r="D453" t="inlineStr">
        <is>
          <t>JÄMTLANDS LÄN</t>
        </is>
      </c>
      <c r="E453" t="inlineStr">
        <is>
          <t>KROKOM</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41491-2019</t>
        </is>
      </c>
      <c r="B454" s="1" t="n">
        <v>43699</v>
      </c>
      <c r="C454" s="1" t="n">
        <v>45831</v>
      </c>
      <c r="D454" t="inlineStr">
        <is>
          <t>JÄMTLANDS LÄN</t>
        </is>
      </c>
      <c r="E454" t="inlineStr">
        <is>
          <t>KROKOM</t>
        </is>
      </c>
      <c r="G454" t="n">
        <v>9.1</v>
      </c>
      <c r="H454" t="n">
        <v>0</v>
      </c>
      <c r="I454" t="n">
        <v>0</v>
      </c>
      <c r="J454" t="n">
        <v>0</v>
      </c>
      <c r="K454" t="n">
        <v>0</v>
      </c>
      <c r="L454" t="n">
        <v>0</v>
      </c>
      <c r="M454" t="n">
        <v>0</v>
      </c>
      <c r="N454" t="n">
        <v>0</v>
      </c>
      <c r="O454" t="n">
        <v>0</v>
      </c>
      <c r="P454" t="n">
        <v>0</v>
      </c>
      <c r="Q454" t="n">
        <v>0</v>
      </c>
      <c r="R454" s="2" t="inlineStr"/>
    </row>
    <row r="455" ht="15" customHeight="1">
      <c r="A455" t="inlineStr">
        <is>
          <t>A 42258-2019</t>
        </is>
      </c>
      <c r="B455" s="1" t="n">
        <v>43703</v>
      </c>
      <c r="C455" s="1" t="n">
        <v>45831</v>
      </c>
      <c r="D455" t="inlineStr">
        <is>
          <t>JÄMTLANDS LÄN</t>
        </is>
      </c>
      <c r="E455" t="inlineStr">
        <is>
          <t>KROKOM</t>
        </is>
      </c>
      <c r="G455" t="n">
        <v>4.9</v>
      </c>
      <c r="H455" t="n">
        <v>0</v>
      </c>
      <c r="I455" t="n">
        <v>0</v>
      </c>
      <c r="J455" t="n">
        <v>0</v>
      </c>
      <c r="K455" t="n">
        <v>0</v>
      </c>
      <c r="L455" t="n">
        <v>0</v>
      </c>
      <c r="M455" t="n">
        <v>0</v>
      </c>
      <c r="N455" t="n">
        <v>0</v>
      </c>
      <c r="O455" t="n">
        <v>0</v>
      </c>
      <c r="P455" t="n">
        <v>0</v>
      </c>
      <c r="Q455" t="n">
        <v>0</v>
      </c>
      <c r="R455" s="2" t="inlineStr"/>
    </row>
    <row r="456" ht="15" customHeight="1">
      <c r="A456" t="inlineStr">
        <is>
          <t>A 42237-2019</t>
        </is>
      </c>
      <c r="B456" s="1" t="n">
        <v>43703</v>
      </c>
      <c r="C456" s="1" t="n">
        <v>45831</v>
      </c>
      <c r="D456" t="inlineStr">
        <is>
          <t>JÄMTLANDS LÄN</t>
        </is>
      </c>
      <c r="E456" t="inlineStr">
        <is>
          <t>KROKOM</t>
        </is>
      </c>
      <c r="G456" t="n">
        <v>7.1</v>
      </c>
      <c r="H456" t="n">
        <v>0</v>
      </c>
      <c r="I456" t="n">
        <v>0</v>
      </c>
      <c r="J456" t="n">
        <v>0</v>
      </c>
      <c r="K456" t="n">
        <v>0</v>
      </c>
      <c r="L456" t="n">
        <v>0</v>
      </c>
      <c r="M456" t="n">
        <v>0</v>
      </c>
      <c r="N456" t="n">
        <v>0</v>
      </c>
      <c r="O456" t="n">
        <v>0</v>
      </c>
      <c r="P456" t="n">
        <v>0</v>
      </c>
      <c r="Q456" t="n">
        <v>0</v>
      </c>
      <c r="R456" s="2" t="inlineStr"/>
    </row>
    <row r="457" ht="15" customHeight="1">
      <c r="A457" t="inlineStr">
        <is>
          <t>A 42537-2019</t>
        </is>
      </c>
      <c r="B457" s="1" t="n">
        <v>43704</v>
      </c>
      <c r="C457" s="1" t="n">
        <v>45831</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42547-2019</t>
        </is>
      </c>
      <c r="B458" s="1" t="n">
        <v>43704</v>
      </c>
      <c r="C458" s="1" t="n">
        <v>45831</v>
      </c>
      <c r="D458" t="inlineStr">
        <is>
          <t>JÄMTLANDS LÄN</t>
        </is>
      </c>
      <c r="E458" t="inlineStr">
        <is>
          <t>KROKOM</t>
        </is>
      </c>
      <c r="F458" t="inlineStr">
        <is>
          <t>Övriga Aktiebolag</t>
        </is>
      </c>
      <c r="G458" t="n">
        <v>27.5</v>
      </c>
      <c r="H458" t="n">
        <v>0</v>
      </c>
      <c r="I458" t="n">
        <v>0</v>
      </c>
      <c r="J458" t="n">
        <v>0</v>
      </c>
      <c r="K458" t="n">
        <v>0</v>
      </c>
      <c r="L458" t="n">
        <v>0</v>
      </c>
      <c r="M458" t="n">
        <v>0</v>
      </c>
      <c r="N458" t="n">
        <v>0</v>
      </c>
      <c r="O458" t="n">
        <v>0</v>
      </c>
      <c r="P458" t="n">
        <v>0</v>
      </c>
      <c r="Q458" t="n">
        <v>0</v>
      </c>
      <c r="R458" s="2" t="inlineStr"/>
    </row>
    <row r="459" ht="15" customHeight="1">
      <c r="A459" t="inlineStr">
        <is>
          <t>A 42498-2019</t>
        </is>
      </c>
      <c r="B459" s="1" t="n">
        <v>43704</v>
      </c>
      <c r="C459" s="1" t="n">
        <v>45831</v>
      </c>
      <c r="D459" t="inlineStr">
        <is>
          <t>JÄMTLANDS LÄN</t>
        </is>
      </c>
      <c r="E459" t="inlineStr">
        <is>
          <t>KROKOM</t>
        </is>
      </c>
      <c r="F459" t="inlineStr">
        <is>
          <t>Övriga Aktiebolag</t>
        </is>
      </c>
      <c r="G459" t="n">
        <v>3.9</v>
      </c>
      <c r="H459" t="n">
        <v>0</v>
      </c>
      <c r="I459" t="n">
        <v>0</v>
      </c>
      <c r="J459" t="n">
        <v>0</v>
      </c>
      <c r="K459" t="n">
        <v>0</v>
      </c>
      <c r="L459" t="n">
        <v>0</v>
      </c>
      <c r="M459" t="n">
        <v>0</v>
      </c>
      <c r="N459" t="n">
        <v>0</v>
      </c>
      <c r="O459" t="n">
        <v>0</v>
      </c>
      <c r="P459" t="n">
        <v>0</v>
      </c>
      <c r="Q459" t="n">
        <v>0</v>
      </c>
      <c r="R459" s="2" t="inlineStr"/>
    </row>
    <row r="460" ht="15" customHeight="1">
      <c r="A460" t="inlineStr">
        <is>
          <t>A 42602-2019</t>
        </is>
      </c>
      <c r="B460" s="1" t="n">
        <v>43704</v>
      </c>
      <c r="C460" s="1" t="n">
        <v>45831</v>
      </c>
      <c r="D460" t="inlineStr">
        <is>
          <t>JÄMTLANDS LÄN</t>
        </is>
      </c>
      <c r="E460" t="inlineStr">
        <is>
          <t>KROKOM</t>
        </is>
      </c>
      <c r="G460" t="n">
        <v>3.9</v>
      </c>
      <c r="H460" t="n">
        <v>0</v>
      </c>
      <c r="I460" t="n">
        <v>0</v>
      </c>
      <c r="J460" t="n">
        <v>0</v>
      </c>
      <c r="K460" t="n">
        <v>0</v>
      </c>
      <c r="L460" t="n">
        <v>0</v>
      </c>
      <c r="M460" t="n">
        <v>0</v>
      </c>
      <c r="N460" t="n">
        <v>0</v>
      </c>
      <c r="O460" t="n">
        <v>0</v>
      </c>
      <c r="P460" t="n">
        <v>0</v>
      </c>
      <c r="Q460" t="n">
        <v>0</v>
      </c>
      <c r="R460" s="2" t="inlineStr"/>
    </row>
    <row r="461" ht="15" customHeight="1">
      <c r="A461" t="inlineStr">
        <is>
          <t>A 42635-2019</t>
        </is>
      </c>
      <c r="B461" s="1" t="n">
        <v>43704</v>
      </c>
      <c r="C461" s="1" t="n">
        <v>45831</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43708-2019</t>
        </is>
      </c>
      <c r="B462" s="1" t="n">
        <v>43707</v>
      </c>
      <c r="C462" s="1" t="n">
        <v>45831</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43721-2019</t>
        </is>
      </c>
      <c r="B463" s="1" t="n">
        <v>43707</v>
      </c>
      <c r="C463" s="1" t="n">
        <v>45831</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44128-2019</t>
        </is>
      </c>
      <c r="B464" s="1" t="n">
        <v>43710</v>
      </c>
      <c r="C464" s="1" t="n">
        <v>45831</v>
      </c>
      <c r="D464" t="inlineStr">
        <is>
          <t>JÄMTLANDS LÄN</t>
        </is>
      </c>
      <c r="E464" t="inlineStr">
        <is>
          <t>KROKOM</t>
        </is>
      </c>
      <c r="G464" t="n">
        <v>8.1</v>
      </c>
      <c r="H464" t="n">
        <v>0</v>
      </c>
      <c r="I464" t="n">
        <v>0</v>
      </c>
      <c r="J464" t="n">
        <v>0</v>
      </c>
      <c r="K464" t="n">
        <v>0</v>
      </c>
      <c r="L464" t="n">
        <v>0</v>
      </c>
      <c r="M464" t="n">
        <v>0</v>
      </c>
      <c r="N464" t="n">
        <v>0</v>
      </c>
      <c r="O464" t="n">
        <v>0</v>
      </c>
      <c r="P464" t="n">
        <v>0</v>
      </c>
      <c r="Q464" t="n">
        <v>0</v>
      </c>
      <c r="R464" s="2" t="inlineStr"/>
    </row>
    <row r="465" ht="15" customHeight="1">
      <c r="A465" t="inlineStr">
        <is>
          <t>A 44190-2019</t>
        </is>
      </c>
      <c r="B465" s="1" t="n">
        <v>43710</v>
      </c>
      <c r="C465" s="1" t="n">
        <v>45831</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44653-2019</t>
        </is>
      </c>
      <c r="B466" s="1" t="n">
        <v>43712</v>
      </c>
      <c r="C466" s="1" t="n">
        <v>45831</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46288-2019</t>
        </is>
      </c>
      <c r="B467" s="1" t="n">
        <v>43717</v>
      </c>
      <c r="C467" s="1" t="n">
        <v>45831</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47406-2019</t>
        </is>
      </c>
      <c r="B468" s="1" t="n">
        <v>43722</v>
      </c>
      <c r="C468" s="1" t="n">
        <v>45831</v>
      </c>
      <c r="D468" t="inlineStr">
        <is>
          <t>JÄMTLANDS LÄN</t>
        </is>
      </c>
      <c r="E468" t="inlineStr">
        <is>
          <t>KROKOM</t>
        </is>
      </c>
      <c r="G468" t="n">
        <v>7.4</v>
      </c>
      <c r="H468" t="n">
        <v>0</v>
      </c>
      <c r="I468" t="n">
        <v>0</v>
      </c>
      <c r="J468" t="n">
        <v>0</v>
      </c>
      <c r="K468" t="n">
        <v>0</v>
      </c>
      <c r="L468" t="n">
        <v>0</v>
      </c>
      <c r="M468" t="n">
        <v>0</v>
      </c>
      <c r="N468" t="n">
        <v>0</v>
      </c>
      <c r="O468" t="n">
        <v>0</v>
      </c>
      <c r="P468" t="n">
        <v>0</v>
      </c>
      <c r="Q468" t="n">
        <v>0</v>
      </c>
      <c r="R468" s="2" t="inlineStr"/>
    </row>
    <row r="469" ht="15" customHeight="1">
      <c r="A469" t="inlineStr">
        <is>
          <t>A 48311-2019</t>
        </is>
      </c>
      <c r="B469" s="1" t="n">
        <v>43726</v>
      </c>
      <c r="C469" s="1" t="n">
        <v>45831</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48613-2019</t>
        </is>
      </c>
      <c r="B470" s="1" t="n">
        <v>43727</v>
      </c>
      <c r="C470" s="1" t="n">
        <v>45831</v>
      </c>
      <c r="D470" t="inlineStr">
        <is>
          <t>JÄMTLANDS LÄN</t>
        </is>
      </c>
      <c r="E470" t="inlineStr">
        <is>
          <t>KROKOM</t>
        </is>
      </c>
      <c r="G470" t="n">
        <v>0.1</v>
      </c>
      <c r="H470" t="n">
        <v>0</v>
      </c>
      <c r="I470" t="n">
        <v>0</v>
      </c>
      <c r="J470" t="n">
        <v>0</v>
      </c>
      <c r="K470" t="n">
        <v>0</v>
      </c>
      <c r="L470" t="n">
        <v>0</v>
      </c>
      <c r="M470" t="n">
        <v>0</v>
      </c>
      <c r="N470" t="n">
        <v>0</v>
      </c>
      <c r="O470" t="n">
        <v>0</v>
      </c>
      <c r="P470" t="n">
        <v>0</v>
      </c>
      <c r="Q470" t="n">
        <v>0</v>
      </c>
      <c r="R470" s="2" t="inlineStr"/>
    </row>
    <row r="471" ht="15" customHeight="1">
      <c r="A471" t="inlineStr">
        <is>
          <t>A 49213-2019</t>
        </is>
      </c>
      <c r="B471" s="1" t="n">
        <v>43731</v>
      </c>
      <c r="C471" s="1" t="n">
        <v>45831</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50104-2019</t>
        </is>
      </c>
      <c r="B472" s="1" t="n">
        <v>43731</v>
      </c>
      <c r="C472" s="1" t="n">
        <v>45831</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50115-2019</t>
        </is>
      </c>
      <c r="B473" s="1" t="n">
        <v>43731</v>
      </c>
      <c r="C473" s="1" t="n">
        <v>45831</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50084-2019</t>
        </is>
      </c>
      <c r="B474" s="1" t="n">
        <v>43731</v>
      </c>
      <c r="C474" s="1" t="n">
        <v>45831</v>
      </c>
      <c r="D474" t="inlineStr">
        <is>
          <t>JÄMTLANDS LÄN</t>
        </is>
      </c>
      <c r="E474" t="inlineStr">
        <is>
          <t>KROKOM</t>
        </is>
      </c>
      <c r="G474" t="n">
        <v>12.5</v>
      </c>
      <c r="H474" t="n">
        <v>0</v>
      </c>
      <c r="I474" t="n">
        <v>0</v>
      </c>
      <c r="J474" t="n">
        <v>0</v>
      </c>
      <c r="K474" t="n">
        <v>0</v>
      </c>
      <c r="L474" t="n">
        <v>0</v>
      </c>
      <c r="M474" t="n">
        <v>0</v>
      </c>
      <c r="N474" t="n">
        <v>0</v>
      </c>
      <c r="O474" t="n">
        <v>0</v>
      </c>
      <c r="P474" t="n">
        <v>0</v>
      </c>
      <c r="Q474" t="n">
        <v>0</v>
      </c>
      <c r="R474" s="2" t="inlineStr"/>
    </row>
    <row r="475" ht="15" customHeight="1">
      <c r="A475" t="inlineStr">
        <is>
          <t>A 50112-2019</t>
        </is>
      </c>
      <c r="B475" s="1" t="n">
        <v>43731</v>
      </c>
      <c r="C475" s="1" t="n">
        <v>45831</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50144-2019</t>
        </is>
      </c>
      <c r="B476" s="1" t="n">
        <v>43734</v>
      </c>
      <c r="C476" s="1" t="n">
        <v>45831</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52049-2019</t>
        </is>
      </c>
      <c r="B477" s="1" t="n">
        <v>43734</v>
      </c>
      <c r="C477" s="1" t="n">
        <v>45831</v>
      </c>
      <c r="D477" t="inlineStr">
        <is>
          <t>JÄMTLANDS LÄN</t>
        </is>
      </c>
      <c r="E477" t="inlineStr">
        <is>
          <t>KROKOM</t>
        </is>
      </c>
      <c r="G477" t="n">
        <v>6.3</v>
      </c>
      <c r="H477" t="n">
        <v>0</v>
      </c>
      <c r="I477" t="n">
        <v>0</v>
      </c>
      <c r="J477" t="n">
        <v>0</v>
      </c>
      <c r="K477" t="n">
        <v>0</v>
      </c>
      <c r="L477" t="n">
        <v>0</v>
      </c>
      <c r="M477" t="n">
        <v>0</v>
      </c>
      <c r="N477" t="n">
        <v>0</v>
      </c>
      <c r="O477" t="n">
        <v>0</v>
      </c>
      <c r="P477" t="n">
        <v>0</v>
      </c>
      <c r="Q477" t="n">
        <v>0</v>
      </c>
      <c r="R477" s="2" t="inlineStr"/>
    </row>
    <row r="478" ht="15" customHeight="1">
      <c r="A478" t="inlineStr">
        <is>
          <t>A 52028-2019</t>
        </is>
      </c>
      <c r="B478" s="1" t="n">
        <v>43734</v>
      </c>
      <c r="C478" s="1" t="n">
        <v>45831</v>
      </c>
      <c r="D478" t="inlineStr">
        <is>
          <t>JÄMTLANDS LÄN</t>
        </is>
      </c>
      <c r="E478" t="inlineStr">
        <is>
          <t>KROKOM</t>
        </is>
      </c>
      <c r="F478" t="inlineStr">
        <is>
          <t>Övriga Aktiebolag</t>
        </is>
      </c>
      <c r="G478" t="n">
        <v>5.5</v>
      </c>
      <c r="H478" t="n">
        <v>0</v>
      </c>
      <c r="I478" t="n">
        <v>0</v>
      </c>
      <c r="J478" t="n">
        <v>0</v>
      </c>
      <c r="K478" t="n">
        <v>0</v>
      </c>
      <c r="L478" t="n">
        <v>0</v>
      </c>
      <c r="M478" t="n">
        <v>0</v>
      </c>
      <c r="N478" t="n">
        <v>0</v>
      </c>
      <c r="O478" t="n">
        <v>0</v>
      </c>
      <c r="P478" t="n">
        <v>0</v>
      </c>
      <c r="Q478" t="n">
        <v>0</v>
      </c>
      <c r="R478" s="2" t="inlineStr"/>
    </row>
    <row r="479" ht="15" customHeight="1">
      <c r="A479" t="inlineStr">
        <is>
          <t>A 50360-2019</t>
        </is>
      </c>
      <c r="B479" s="1" t="n">
        <v>43735</v>
      </c>
      <c r="C479" s="1" t="n">
        <v>45831</v>
      </c>
      <c r="D479" t="inlineStr">
        <is>
          <t>JÄMTLANDS LÄN</t>
        </is>
      </c>
      <c r="E479" t="inlineStr">
        <is>
          <t>KROKOM</t>
        </is>
      </c>
      <c r="G479" t="n">
        <v>2.3</v>
      </c>
      <c r="H479" t="n">
        <v>0</v>
      </c>
      <c r="I479" t="n">
        <v>0</v>
      </c>
      <c r="J479" t="n">
        <v>0</v>
      </c>
      <c r="K479" t="n">
        <v>0</v>
      </c>
      <c r="L479" t="n">
        <v>0</v>
      </c>
      <c r="M479" t="n">
        <v>0</v>
      </c>
      <c r="N479" t="n">
        <v>0</v>
      </c>
      <c r="O479" t="n">
        <v>0</v>
      </c>
      <c r="P479" t="n">
        <v>0</v>
      </c>
      <c r="Q479" t="n">
        <v>0</v>
      </c>
      <c r="R479" s="2" t="inlineStr"/>
    </row>
    <row r="480" ht="15" customHeight="1">
      <c r="A480" t="inlineStr">
        <is>
          <t>A 52446-2019</t>
        </is>
      </c>
      <c r="B480" s="1" t="n">
        <v>43735</v>
      </c>
      <c r="C480" s="1" t="n">
        <v>45831</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53662-2019</t>
        </is>
      </c>
      <c r="B481" s="1" t="n">
        <v>43741</v>
      </c>
      <c r="C481" s="1" t="n">
        <v>45831</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54154-2019</t>
        </is>
      </c>
      <c r="B482" s="1" t="n">
        <v>43745</v>
      </c>
      <c r="C482" s="1" t="n">
        <v>45831</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54494-2019</t>
        </is>
      </c>
      <c r="B483" s="1" t="n">
        <v>43747</v>
      </c>
      <c r="C483" s="1" t="n">
        <v>45831</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53941-2019</t>
        </is>
      </c>
      <c r="B484" s="1" t="n">
        <v>43752</v>
      </c>
      <c r="C484" s="1" t="n">
        <v>45831</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54013-2019</t>
        </is>
      </c>
      <c r="B485" s="1" t="n">
        <v>43752</v>
      </c>
      <c r="C485" s="1" t="n">
        <v>45831</v>
      </c>
      <c r="D485" t="inlineStr">
        <is>
          <t>JÄMTLANDS LÄN</t>
        </is>
      </c>
      <c r="E485" t="inlineStr">
        <is>
          <t>KROKOM</t>
        </is>
      </c>
      <c r="F485" t="inlineStr">
        <is>
          <t>Övriga Aktiebolag</t>
        </is>
      </c>
      <c r="G485" t="n">
        <v>32.6</v>
      </c>
      <c r="H485" t="n">
        <v>0</v>
      </c>
      <c r="I485" t="n">
        <v>0</v>
      </c>
      <c r="J485" t="n">
        <v>0</v>
      </c>
      <c r="K485" t="n">
        <v>0</v>
      </c>
      <c r="L485" t="n">
        <v>0</v>
      </c>
      <c r="M485" t="n">
        <v>0</v>
      </c>
      <c r="N485" t="n">
        <v>0</v>
      </c>
      <c r="O485" t="n">
        <v>0</v>
      </c>
      <c r="P485" t="n">
        <v>0</v>
      </c>
      <c r="Q485" t="n">
        <v>0</v>
      </c>
      <c r="R485" s="2" t="inlineStr"/>
    </row>
    <row r="486" ht="15" customHeight="1">
      <c r="A486" t="inlineStr">
        <is>
          <t>A 54045-2019</t>
        </is>
      </c>
      <c r="B486" s="1" t="n">
        <v>43752</v>
      </c>
      <c r="C486" s="1" t="n">
        <v>45831</v>
      </c>
      <c r="D486" t="inlineStr">
        <is>
          <t>JÄMTLANDS LÄN</t>
        </is>
      </c>
      <c r="E486" t="inlineStr">
        <is>
          <t>KROKOM</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54820-2019</t>
        </is>
      </c>
      <c r="B487" s="1" t="n">
        <v>43755</v>
      </c>
      <c r="C487" s="1" t="n">
        <v>45831</v>
      </c>
      <c r="D487" t="inlineStr">
        <is>
          <t>JÄMTLANDS LÄN</t>
        </is>
      </c>
      <c r="E487" t="inlineStr">
        <is>
          <t>KROKOM</t>
        </is>
      </c>
      <c r="G487" t="n">
        <v>5.4</v>
      </c>
      <c r="H487" t="n">
        <v>0</v>
      </c>
      <c r="I487" t="n">
        <v>0</v>
      </c>
      <c r="J487" t="n">
        <v>0</v>
      </c>
      <c r="K487" t="n">
        <v>0</v>
      </c>
      <c r="L487" t="n">
        <v>0</v>
      </c>
      <c r="M487" t="n">
        <v>0</v>
      </c>
      <c r="N487" t="n">
        <v>0</v>
      </c>
      <c r="O487" t="n">
        <v>0</v>
      </c>
      <c r="P487" t="n">
        <v>0</v>
      </c>
      <c r="Q487" t="n">
        <v>0</v>
      </c>
      <c r="R487" s="2" t="inlineStr"/>
    </row>
    <row r="488" ht="15" customHeight="1">
      <c r="A488" t="inlineStr">
        <is>
          <t>A 55013-2019</t>
        </is>
      </c>
      <c r="B488" s="1" t="n">
        <v>43755</v>
      </c>
      <c r="C488" s="1" t="n">
        <v>45831</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55804-2019</t>
        </is>
      </c>
      <c r="B489" s="1" t="n">
        <v>43759</v>
      </c>
      <c r="C489" s="1" t="n">
        <v>45831</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56672-2019</t>
        </is>
      </c>
      <c r="B490" s="1" t="n">
        <v>43759</v>
      </c>
      <c r="C490" s="1" t="n">
        <v>45831</v>
      </c>
      <c r="D490" t="inlineStr">
        <is>
          <t>JÄMTLANDS LÄN</t>
        </is>
      </c>
      <c r="E490" t="inlineStr">
        <is>
          <t>KROKOM</t>
        </is>
      </c>
      <c r="G490" t="n">
        <v>0.4</v>
      </c>
      <c r="H490" t="n">
        <v>0</v>
      </c>
      <c r="I490" t="n">
        <v>0</v>
      </c>
      <c r="J490" t="n">
        <v>0</v>
      </c>
      <c r="K490" t="n">
        <v>0</v>
      </c>
      <c r="L490" t="n">
        <v>0</v>
      </c>
      <c r="M490" t="n">
        <v>0</v>
      </c>
      <c r="N490" t="n">
        <v>0</v>
      </c>
      <c r="O490" t="n">
        <v>0</v>
      </c>
      <c r="P490" t="n">
        <v>0</v>
      </c>
      <c r="Q490" t="n">
        <v>0</v>
      </c>
      <c r="R490" s="2" t="inlineStr"/>
    </row>
    <row r="491" ht="15" customHeight="1">
      <c r="A491" t="inlineStr">
        <is>
          <t>A 56321-2019</t>
        </is>
      </c>
      <c r="B491" s="1" t="n">
        <v>43762</v>
      </c>
      <c r="C491" s="1" t="n">
        <v>45831</v>
      </c>
      <c r="D491" t="inlineStr">
        <is>
          <t>JÄMTLANDS LÄN</t>
        </is>
      </c>
      <c r="E491" t="inlineStr">
        <is>
          <t>KROKOM</t>
        </is>
      </c>
      <c r="G491" t="n">
        <v>1.7</v>
      </c>
      <c r="H491" t="n">
        <v>0</v>
      </c>
      <c r="I491" t="n">
        <v>0</v>
      </c>
      <c r="J491" t="n">
        <v>0</v>
      </c>
      <c r="K491" t="n">
        <v>0</v>
      </c>
      <c r="L491" t="n">
        <v>0</v>
      </c>
      <c r="M491" t="n">
        <v>0</v>
      </c>
      <c r="N491" t="n">
        <v>0</v>
      </c>
      <c r="O491" t="n">
        <v>0</v>
      </c>
      <c r="P491" t="n">
        <v>0</v>
      </c>
      <c r="Q491" t="n">
        <v>0</v>
      </c>
      <c r="R491" s="2" t="inlineStr"/>
    </row>
    <row r="492" ht="15" customHeight="1">
      <c r="A492" t="inlineStr">
        <is>
          <t>A 56397-2019</t>
        </is>
      </c>
      <c r="B492" s="1" t="n">
        <v>43762</v>
      </c>
      <c r="C492" s="1" t="n">
        <v>45831</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56320-2019</t>
        </is>
      </c>
      <c r="B493" s="1" t="n">
        <v>43762</v>
      </c>
      <c r="C493" s="1" t="n">
        <v>45831</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56403-2019</t>
        </is>
      </c>
      <c r="B494" s="1" t="n">
        <v>43762</v>
      </c>
      <c r="C494" s="1" t="n">
        <v>45831</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56510-2019</t>
        </is>
      </c>
      <c r="B495" s="1" t="n">
        <v>43762</v>
      </c>
      <c r="C495" s="1" t="n">
        <v>45831</v>
      </c>
      <c r="D495" t="inlineStr">
        <is>
          <t>JÄMTLANDS LÄN</t>
        </is>
      </c>
      <c r="E495" t="inlineStr">
        <is>
          <t>KROKOM</t>
        </is>
      </c>
      <c r="G495" t="n">
        <v>3.2</v>
      </c>
      <c r="H495" t="n">
        <v>0</v>
      </c>
      <c r="I495" t="n">
        <v>0</v>
      </c>
      <c r="J495" t="n">
        <v>0</v>
      </c>
      <c r="K495" t="n">
        <v>0</v>
      </c>
      <c r="L495" t="n">
        <v>0</v>
      </c>
      <c r="M495" t="n">
        <v>0</v>
      </c>
      <c r="N495" t="n">
        <v>0</v>
      </c>
      <c r="O495" t="n">
        <v>0</v>
      </c>
      <c r="P495" t="n">
        <v>0</v>
      </c>
      <c r="Q495" t="n">
        <v>0</v>
      </c>
      <c r="R495" s="2" t="inlineStr"/>
    </row>
    <row r="496" ht="15" customHeight="1">
      <c r="A496" t="inlineStr">
        <is>
          <t>A 56332-2019</t>
        </is>
      </c>
      <c r="B496" s="1" t="n">
        <v>43762</v>
      </c>
      <c r="C496" s="1" t="n">
        <v>45831</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57796-2019</t>
        </is>
      </c>
      <c r="B497" s="1" t="n">
        <v>43762</v>
      </c>
      <c r="C497" s="1" t="n">
        <v>45831</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56763-2019</t>
        </is>
      </c>
      <c r="B498" s="1" t="n">
        <v>43763</v>
      </c>
      <c r="C498" s="1" t="n">
        <v>45831</v>
      </c>
      <c r="D498" t="inlineStr">
        <is>
          <t>JÄMTLANDS LÄN</t>
        </is>
      </c>
      <c r="E498" t="inlineStr">
        <is>
          <t>KROKOM</t>
        </is>
      </c>
      <c r="F498" t="inlineStr">
        <is>
          <t>Övriga Aktiebolag</t>
        </is>
      </c>
      <c r="G498" t="n">
        <v>29.4</v>
      </c>
      <c r="H498" t="n">
        <v>0</v>
      </c>
      <c r="I498" t="n">
        <v>0</v>
      </c>
      <c r="J498" t="n">
        <v>0</v>
      </c>
      <c r="K498" t="n">
        <v>0</v>
      </c>
      <c r="L498" t="n">
        <v>0</v>
      </c>
      <c r="M498" t="n">
        <v>0</v>
      </c>
      <c r="N498" t="n">
        <v>0</v>
      </c>
      <c r="O498" t="n">
        <v>0</v>
      </c>
      <c r="P498" t="n">
        <v>0</v>
      </c>
      <c r="Q498" t="n">
        <v>0</v>
      </c>
      <c r="R498" s="2" t="inlineStr"/>
    </row>
    <row r="499" ht="15" customHeight="1">
      <c r="A499" t="inlineStr">
        <is>
          <t>A 57732-2019</t>
        </is>
      </c>
      <c r="B499" s="1" t="n">
        <v>43768</v>
      </c>
      <c r="C499" s="1" t="n">
        <v>45831</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58235-2019</t>
        </is>
      </c>
      <c r="B500" s="1" t="n">
        <v>43770</v>
      </c>
      <c r="C500" s="1" t="n">
        <v>45831</v>
      </c>
      <c r="D500" t="inlineStr">
        <is>
          <t>JÄMTLANDS LÄN</t>
        </is>
      </c>
      <c r="E500" t="inlineStr">
        <is>
          <t>KROKOM</t>
        </is>
      </c>
      <c r="G500" t="n">
        <v>47.9</v>
      </c>
      <c r="H500" t="n">
        <v>0</v>
      </c>
      <c r="I500" t="n">
        <v>0</v>
      </c>
      <c r="J500" t="n">
        <v>0</v>
      </c>
      <c r="K500" t="n">
        <v>0</v>
      </c>
      <c r="L500" t="n">
        <v>0</v>
      </c>
      <c r="M500" t="n">
        <v>0</v>
      </c>
      <c r="N500" t="n">
        <v>0</v>
      </c>
      <c r="O500" t="n">
        <v>0</v>
      </c>
      <c r="P500" t="n">
        <v>0</v>
      </c>
      <c r="Q500" t="n">
        <v>0</v>
      </c>
      <c r="R500" s="2" t="inlineStr"/>
    </row>
    <row r="501" ht="15" customHeight="1">
      <c r="A501" t="inlineStr">
        <is>
          <t>A 58778-2019</t>
        </is>
      </c>
      <c r="B501" s="1" t="n">
        <v>43773</v>
      </c>
      <c r="C501" s="1" t="n">
        <v>45831</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59027-2019</t>
        </is>
      </c>
      <c r="B502" s="1" t="n">
        <v>43774</v>
      </c>
      <c r="C502" s="1" t="n">
        <v>45831</v>
      </c>
      <c r="D502" t="inlineStr">
        <is>
          <t>JÄMTLANDS LÄN</t>
        </is>
      </c>
      <c r="E502" t="inlineStr">
        <is>
          <t>KROKOM</t>
        </is>
      </c>
      <c r="F502" t="inlineStr">
        <is>
          <t>Övriga Aktiebolag</t>
        </is>
      </c>
      <c r="G502" t="n">
        <v>19.6</v>
      </c>
      <c r="H502" t="n">
        <v>0</v>
      </c>
      <c r="I502" t="n">
        <v>0</v>
      </c>
      <c r="J502" t="n">
        <v>0</v>
      </c>
      <c r="K502" t="n">
        <v>0</v>
      </c>
      <c r="L502" t="n">
        <v>0</v>
      </c>
      <c r="M502" t="n">
        <v>0</v>
      </c>
      <c r="N502" t="n">
        <v>0</v>
      </c>
      <c r="O502" t="n">
        <v>0</v>
      </c>
      <c r="P502" t="n">
        <v>0</v>
      </c>
      <c r="Q502" t="n">
        <v>0</v>
      </c>
      <c r="R502" s="2" t="inlineStr"/>
    </row>
    <row r="503" ht="15" customHeight="1">
      <c r="A503" t="inlineStr">
        <is>
          <t>A 59588-2019</t>
        </is>
      </c>
      <c r="B503" s="1" t="n">
        <v>43776</v>
      </c>
      <c r="C503" s="1" t="n">
        <v>45831</v>
      </c>
      <c r="D503" t="inlineStr">
        <is>
          <t>JÄMTLANDS LÄN</t>
        </is>
      </c>
      <c r="E503" t="inlineStr">
        <is>
          <t>KROKOM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59672-2019</t>
        </is>
      </c>
      <c r="B504" s="1" t="n">
        <v>43776</v>
      </c>
      <c r="C504" s="1" t="n">
        <v>45831</v>
      </c>
      <c r="D504" t="inlineStr">
        <is>
          <t>JÄMTLANDS LÄN</t>
        </is>
      </c>
      <c r="E504" t="inlineStr">
        <is>
          <t>KROKOM</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60867-2019</t>
        </is>
      </c>
      <c r="B505" s="1" t="n">
        <v>43781</v>
      </c>
      <c r="C505" s="1" t="n">
        <v>45831</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61018-2019</t>
        </is>
      </c>
      <c r="B506" s="1" t="n">
        <v>43782</v>
      </c>
      <c r="C506" s="1" t="n">
        <v>45831</v>
      </c>
      <c r="D506" t="inlineStr">
        <is>
          <t>JÄMTLANDS LÄN</t>
        </is>
      </c>
      <c r="E506" t="inlineStr">
        <is>
          <t>KROKOM</t>
        </is>
      </c>
      <c r="F506" t="inlineStr">
        <is>
          <t>Övriga Aktiebolag</t>
        </is>
      </c>
      <c r="G506" t="n">
        <v>18.6</v>
      </c>
      <c r="H506" t="n">
        <v>0</v>
      </c>
      <c r="I506" t="n">
        <v>0</v>
      </c>
      <c r="J506" t="n">
        <v>0</v>
      </c>
      <c r="K506" t="n">
        <v>0</v>
      </c>
      <c r="L506" t="n">
        <v>0</v>
      </c>
      <c r="M506" t="n">
        <v>0</v>
      </c>
      <c r="N506" t="n">
        <v>0</v>
      </c>
      <c r="O506" t="n">
        <v>0</v>
      </c>
      <c r="P506" t="n">
        <v>0</v>
      </c>
      <c r="Q506" t="n">
        <v>0</v>
      </c>
      <c r="R506" s="2" t="inlineStr"/>
    </row>
    <row r="507" ht="15" customHeight="1">
      <c r="A507" t="inlineStr">
        <is>
          <t>A 61424-2019</t>
        </is>
      </c>
      <c r="B507" s="1" t="n">
        <v>43783</v>
      </c>
      <c r="C507" s="1" t="n">
        <v>45831</v>
      </c>
      <c r="D507" t="inlineStr">
        <is>
          <t>JÄMTLANDS LÄN</t>
        </is>
      </c>
      <c r="E507" t="inlineStr">
        <is>
          <t>KROKOM</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61472-2019</t>
        </is>
      </c>
      <c r="B508" s="1" t="n">
        <v>43783</v>
      </c>
      <c r="C508" s="1" t="n">
        <v>45831</v>
      </c>
      <c r="D508" t="inlineStr">
        <is>
          <t>JÄMTLANDS LÄN</t>
        </is>
      </c>
      <c r="E508" t="inlineStr">
        <is>
          <t>KROKOM</t>
        </is>
      </c>
      <c r="G508" t="n">
        <v>13.8</v>
      </c>
      <c r="H508" t="n">
        <v>0</v>
      </c>
      <c r="I508" t="n">
        <v>0</v>
      </c>
      <c r="J508" t="n">
        <v>0</v>
      </c>
      <c r="K508" t="n">
        <v>0</v>
      </c>
      <c r="L508" t="n">
        <v>0</v>
      </c>
      <c r="M508" t="n">
        <v>0</v>
      </c>
      <c r="N508" t="n">
        <v>0</v>
      </c>
      <c r="O508" t="n">
        <v>0</v>
      </c>
      <c r="P508" t="n">
        <v>0</v>
      </c>
      <c r="Q508" t="n">
        <v>0</v>
      </c>
      <c r="R508" s="2" t="inlineStr"/>
    </row>
    <row r="509" ht="15" customHeight="1">
      <c r="A509" t="inlineStr">
        <is>
          <t>A 62400-2019</t>
        </is>
      </c>
      <c r="B509" s="1" t="n">
        <v>43783</v>
      </c>
      <c r="C509" s="1" t="n">
        <v>45831</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62927-2019</t>
        </is>
      </c>
      <c r="B510" s="1" t="n">
        <v>43784</v>
      </c>
      <c r="C510" s="1" t="n">
        <v>45831</v>
      </c>
      <c r="D510" t="inlineStr">
        <is>
          <t>JÄMTLANDS LÄN</t>
        </is>
      </c>
      <c r="E510" t="inlineStr">
        <is>
          <t>KROKOM</t>
        </is>
      </c>
      <c r="G510" t="n">
        <v>9</v>
      </c>
      <c r="H510" t="n">
        <v>0</v>
      </c>
      <c r="I510" t="n">
        <v>0</v>
      </c>
      <c r="J510" t="n">
        <v>0</v>
      </c>
      <c r="K510" t="n">
        <v>0</v>
      </c>
      <c r="L510" t="n">
        <v>0</v>
      </c>
      <c r="M510" t="n">
        <v>0</v>
      </c>
      <c r="N510" t="n">
        <v>0</v>
      </c>
      <c r="O510" t="n">
        <v>0</v>
      </c>
      <c r="P510" t="n">
        <v>0</v>
      </c>
      <c r="Q510" t="n">
        <v>0</v>
      </c>
      <c r="R510" s="2" t="inlineStr"/>
    </row>
    <row r="511" ht="15" customHeight="1">
      <c r="A511" t="inlineStr">
        <is>
          <t>A 62056-2019</t>
        </is>
      </c>
      <c r="B511" s="1" t="n">
        <v>43787</v>
      </c>
      <c r="C511" s="1" t="n">
        <v>45831</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62110-2019</t>
        </is>
      </c>
      <c r="B512" s="1" t="n">
        <v>43787</v>
      </c>
      <c r="C512" s="1" t="n">
        <v>45831</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62194-2019</t>
        </is>
      </c>
      <c r="B513" s="1" t="n">
        <v>43787</v>
      </c>
      <c r="C513" s="1" t="n">
        <v>45831</v>
      </c>
      <c r="D513" t="inlineStr">
        <is>
          <t>JÄMTLANDS LÄN</t>
        </is>
      </c>
      <c r="E513" t="inlineStr">
        <is>
          <t>KROKOM</t>
        </is>
      </c>
      <c r="G513" t="n">
        <v>1</v>
      </c>
      <c r="H513" t="n">
        <v>0</v>
      </c>
      <c r="I513" t="n">
        <v>0</v>
      </c>
      <c r="J513" t="n">
        <v>0</v>
      </c>
      <c r="K513" t="n">
        <v>0</v>
      </c>
      <c r="L513" t="n">
        <v>0</v>
      </c>
      <c r="M513" t="n">
        <v>0</v>
      </c>
      <c r="N513" t="n">
        <v>0</v>
      </c>
      <c r="O513" t="n">
        <v>0</v>
      </c>
      <c r="P513" t="n">
        <v>0</v>
      </c>
      <c r="Q513" t="n">
        <v>0</v>
      </c>
      <c r="R513" s="2" t="inlineStr"/>
    </row>
    <row r="514" ht="15" customHeight="1">
      <c r="A514" t="inlineStr">
        <is>
          <t>A 62187-2019</t>
        </is>
      </c>
      <c r="B514" s="1" t="n">
        <v>43787</v>
      </c>
      <c r="C514" s="1" t="n">
        <v>45831</v>
      </c>
      <c r="D514" t="inlineStr">
        <is>
          <t>JÄMTLANDS LÄN</t>
        </is>
      </c>
      <c r="E514" t="inlineStr">
        <is>
          <t>KROKOM</t>
        </is>
      </c>
      <c r="G514" t="n">
        <v>1.9</v>
      </c>
      <c r="H514" t="n">
        <v>0</v>
      </c>
      <c r="I514" t="n">
        <v>0</v>
      </c>
      <c r="J514" t="n">
        <v>0</v>
      </c>
      <c r="K514" t="n">
        <v>0</v>
      </c>
      <c r="L514" t="n">
        <v>0</v>
      </c>
      <c r="M514" t="n">
        <v>0</v>
      </c>
      <c r="N514" t="n">
        <v>0</v>
      </c>
      <c r="O514" t="n">
        <v>0</v>
      </c>
      <c r="P514" t="n">
        <v>0</v>
      </c>
      <c r="Q514" t="n">
        <v>0</v>
      </c>
      <c r="R514" s="2" t="inlineStr"/>
    </row>
    <row r="515" ht="15" customHeight="1">
      <c r="A515" t="inlineStr">
        <is>
          <t>A 62656-2019</t>
        </is>
      </c>
      <c r="B515" s="1" t="n">
        <v>43789</v>
      </c>
      <c r="C515" s="1" t="n">
        <v>45831</v>
      </c>
      <c r="D515" t="inlineStr">
        <is>
          <t>JÄMTLANDS LÄN</t>
        </is>
      </c>
      <c r="E515" t="inlineStr">
        <is>
          <t>KROKOM</t>
        </is>
      </c>
      <c r="F515" t="inlineStr">
        <is>
          <t>Övriga Aktiebolag</t>
        </is>
      </c>
      <c r="G515" t="n">
        <v>58.5</v>
      </c>
      <c r="H515" t="n">
        <v>0</v>
      </c>
      <c r="I515" t="n">
        <v>0</v>
      </c>
      <c r="J515" t="n">
        <v>0</v>
      </c>
      <c r="K515" t="n">
        <v>0</v>
      </c>
      <c r="L515" t="n">
        <v>0</v>
      </c>
      <c r="M515" t="n">
        <v>0</v>
      </c>
      <c r="N515" t="n">
        <v>0</v>
      </c>
      <c r="O515" t="n">
        <v>0</v>
      </c>
      <c r="P515" t="n">
        <v>0</v>
      </c>
      <c r="Q515" t="n">
        <v>0</v>
      </c>
      <c r="R515" s="2" t="inlineStr"/>
    </row>
    <row r="516" ht="15" customHeight="1">
      <c r="A516" t="inlineStr">
        <is>
          <t>A 62568-2019</t>
        </is>
      </c>
      <c r="B516" s="1" t="n">
        <v>43789</v>
      </c>
      <c r="C516" s="1" t="n">
        <v>45831</v>
      </c>
      <c r="D516" t="inlineStr">
        <is>
          <t>JÄMTLANDS LÄN</t>
        </is>
      </c>
      <c r="E516" t="inlineStr">
        <is>
          <t>KROKOM</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62864-2019</t>
        </is>
      </c>
      <c r="B517" s="1" t="n">
        <v>43790</v>
      </c>
      <c r="C517" s="1" t="n">
        <v>45831</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63987-2019</t>
        </is>
      </c>
      <c r="B518" s="1" t="n">
        <v>43791</v>
      </c>
      <c r="C518" s="1" t="n">
        <v>45831</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63338-2019</t>
        </is>
      </c>
      <c r="B519" s="1" t="n">
        <v>43794</v>
      </c>
      <c r="C519" s="1" t="n">
        <v>45831</v>
      </c>
      <c r="D519" t="inlineStr">
        <is>
          <t>JÄMTLANDS LÄN</t>
        </is>
      </c>
      <c r="E519" t="inlineStr">
        <is>
          <t>KROKOM</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63345-2019</t>
        </is>
      </c>
      <c r="B520" s="1" t="n">
        <v>43794</v>
      </c>
      <c r="C520" s="1" t="n">
        <v>45831</v>
      </c>
      <c r="D520" t="inlineStr">
        <is>
          <t>JÄMTLANDS LÄN</t>
        </is>
      </c>
      <c r="E520" t="inlineStr">
        <is>
          <t>KROKOM</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65065-2019</t>
        </is>
      </c>
      <c r="B521" s="1" t="n">
        <v>43801</v>
      </c>
      <c r="C521" s="1" t="n">
        <v>45831</v>
      </c>
      <c r="D521" t="inlineStr">
        <is>
          <t>JÄMTLANDS LÄN</t>
        </is>
      </c>
      <c r="E521" t="inlineStr">
        <is>
          <t>KROKOM</t>
        </is>
      </c>
      <c r="F521" t="inlineStr">
        <is>
          <t>Övriga Aktiebolag</t>
        </is>
      </c>
      <c r="G521" t="n">
        <v>30.7</v>
      </c>
      <c r="H521" t="n">
        <v>0</v>
      </c>
      <c r="I521" t="n">
        <v>0</v>
      </c>
      <c r="J521" t="n">
        <v>0</v>
      </c>
      <c r="K521" t="n">
        <v>0</v>
      </c>
      <c r="L521" t="n">
        <v>0</v>
      </c>
      <c r="M521" t="n">
        <v>0</v>
      </c>
      <c r="N521" t="n">
        <v>0</v>
      </c>
      <c r="O521" t="n">
        <v>0</v>
      </c>
      <c r="P521" t="n">
        <v>0</v>
      </c>
      <c r="Q521" t="n">
        <v>0</v>
      </c>
      <c r="R521" s="2" t="inlineStr"/>
    </row>
    <row r="522" ht="15" customHeight="1">
      <c r="A522" t="inlineStr">
        <is>
          <t>A 65323-2019</t>
        </is>
      </c>
      <c r="B522" s="1" t="n">
        <v>43802</v>
      </c>
      <c r="C522" s="1" t="n">
        <v>45831</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65322-2019</t>
        </is>
      </c>
      <c r="B523" s="1" t="n">
        <v>43802</v>
      </c>
      <c r="C523" s="1" t="n">
        <v>45831</v>
      </c>
      <c r="D523" t="inlineStr">
        <is>
          <t>JÄMTLANDS LÄN</t>
        </is>
      </c>
      <c r="E523" t="inlineStr">
        <is>
          <t>KROKOM</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65786-2019</t>
        </is>
      </c>
      <c r="B524" s="1" t="n">
        <v>43804</v>
      </c>
      <c r="C524" s="1" t="n">
        <v>45831</v>
      </c>
      <c r="D524" t="inlineStr">
        <is>
          <t>JÄMTLANDS LÄN</t>
        </is>
      </c>
      <c r="E524" t="inlineStr">
        <is>
          <t>KROKOM</t>
        </is>
      </c>
      <c r="G524" t="n">
        <v>2.3</v>
      </c>
      <c r="H524" t="n">
        <v>0</v>
      </c>
      <c r="I524" t="n">
        <v>0</v>
      </c>
      <c r="J524" t="n">
        <v>0</v>
      </c>
      <c r="K524" t="n">
        <v>0</v>
      </c>
      <c r="L524" t="n">
        <v>0</v>
      </c>
      <c r="M524" t="n">
        <v>0</v>
      </c>
      <c r="N524" t="n">
        <v>0</v>
      </c>
      <c r="O524" t="n">
        <v>0</v>
      </c>
      <c r="P524" t="n">
        <v>0</v>
      </c>
      <c r="Q524" t="n">
        <v>0</v>
      </c>
      <c r="R524" s="2" t="inlineStr"/>
    </row>
    <row r="525" ht="15" customHeight="1">
      <c r="A525" t="inlineStr">
        <is>
          <t>A 65780-2019</t>
        </is>
      </c>
      <c r="B525" s="1" t="n">
        <v>43804</v>
      </c>
      <c r="C525" s="1" t="n">
        <v>45831</v>
      </c>
      <c r="D525" t="inlineStr">
        <is>
          <t>JÄMTLANDS LÄN</t>
        </is>
      </c>
      <c r="E525" t="inlineStr">
        <is>
          <t>KROKOM</t>
        </is>
      </c>
      <c r="G525" t="n">
        <v>0.2</v>
      </c>
      <c r="H525" t="n">
        <v>0</v>
      </c>
      <c r="I525" t="n">
        <v>0</v>
      </c>
      <c r="J525" t="n">
        <v>0</v>
      </c>
      <c r="K525" t="n">
        <v>0</v>
      </c>
      <c r="L525" t="n">
        <v>0</v>
      </c>
      <c r="M525" t="n">
        <v>0</v>
      </c>
      <c r="N525" t="n">
        <v>0</v>
      </c>
      <c r="O525" t="n">
        <v>0</v>
      </c>
      <c r="P525" t="n">
        <v>0</v>
      </c>
      <c r="Q525" t="n">
        <v>0</v>
      </c>
      <c r="R525" s="2" t="inlineStr"/>
    </row>
    <row r="526" ht="15" customHeight="1">
      <c r="A526" t="inlineStr">
        <is>
          <t>A 66051-2019</t>
        </is>
      </c>
      <c r="B526" s="1" t="n">
        <v>43805</v>
      </c>
      <c r="C526" s="1" t="n">
        <v>45831</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66444-2019</t>
        </is>
      </c>
      <c r="B527" s="1" t="n">
        <v>43809</v>
      </c>
      <c r="C527" s="1" t="n">
        <v>45831</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67323-2019</t>
        </is>
      </c>
      <c r="B528" s="1" t="n">
        <v>43810</v>
      </c>
      <c r="C528" s="1" t="n">
        <v>45831</v>
      </c>
      <c r="D528" t="inlineStr">
        <is>
          <t>JÄMTLANDS LÄN</t>
        </is>
      </c>
      <c r="E528" t="inlineStr">
        <is>
          <t>KROKOM</t>
        </is>
      </c>
      <c r="G528" t="n">
        <v>4.3</v>
      </c>
      <c r="H528" t="n">
        <v>0</v>
      </c>
      <c r="I528" t="n">
        <v>0</v>
      </c>
      <c r="J528" t="n">
        <v>0</v>
      </c>
      <c r="K528" t="n">
        <v>0</v>
      </c>
      <c r="L528" t="n">
        <v>0</v>
      </c>
      <c r="M528" t="n">
        <v>0</v>
      </c>
      <c r="N528" t="n">
        <v>0</v>
      </c>
      <c r="O528" t="n">
        <v>0</v>
      </c>
      <c r="P528" t="n">
        <v>0</v>
      </c>
      <c r="Q528" t="n">
        <v>0</v>
      </c>
      <c r="R528" s="2" t="inlineStr"/>
    </row>
    <row r="529" ht="15" customHeight="1">
      <c r="A529" t="inlineStr">
        <is>
          <t>A 67098-2019</t>
        </is>
      </c>
      <c r="B529" s="1" t="n">
        <v>43811</v>
      </c>
      <c r="C529" s="1" t="n">
        <v>45831</v>
      </c>
      <c r="D529" t="inlineStr">
        <is>
          <t>JÄMTLANDS LÄN</t>
        </is>
      </c>
      <c r="E529" t="inlineStr">
        <is>
          <t>KROKOM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67102-2019</t>
        </is>
      </c>
      <c r="B530" s="1" t="n">
        <v>43811</v>
      </c>
      <c r="C530" s="1" t="n">
        <v>45831</v>
      </c>
      <c r="D530" t="inlineStr">
        <is>
          <t>JÄMTLANDS LÄN</t>
        </is>
      </c>
      <c r="E530" t="inlineStr">
        <is>
          <t>KROKOM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67071-2019</t>
        </is>
      </c>
      <c r="B531" s="1" t="n">
        <v>43811</v>
      </c>
      <c r="C531" s="1" t="n">
        <v>45831</v>
      </c>
      <c r="D531" t="inlineStr">
        <is>
          <t>JÄMTLANDS LÄN</t>
        </is>
      </c>
      <c r="E531" t="inlineStr">
        <is>
          <t>KROKOM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67081-2019</t>
        </is>
      </c>
      <c r="B532" s="1" t="n">
        <v>43811</v>
      </c>
      <c r="C532" s="1" t="n">
        <v>45831</v>
      </c>
      <c r="D532" t="inlineStr">
        <is>
          <t>JÄMTLANDS LÄN</t>
        </is>
      </c>
      <c r="E532" t="inlineStr">
        <is>
          <t>KROKOM</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68480-2019</t>
        </is>
      </c>
      <c r="B533" s="1" t="n">
        <v>43811</v>
      </c>
      <c r="C533" s="1" t="n">
        <v>45831</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68081-2019</t>
        </is>
      </c>
      <c r="B534" s="1" t="n">
        <v>43816</v>
      </c>
      <c r="C534" s="1" t="n">
        <v>45831</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908-2020</t>
        </is>
      </c>
      <c r="B535" s="1" t="n">
        <v>43818</v>
      </c>
      <c r="C535" s="1" t="n">
        <v>45831</v>
      </c>
      <c r="D535" t="inlineStr">
        <is>
          <t>JÄMTLANDS LÄN</t>
        </is>
      </c>
      <c r="E535" t="inlineStr">
        <is>
          <t>KROKOM</t>
        </is>
      </c>
      <c r="G535" t="n">
        <v>5.8</v>
      </c>
      <c r="H535" t="n">
        <v>0</v>
      </c>
      <c r="I535" t="n">
        <v>0</v>
      </c>
      <c r="J535" t="n">
        <v>0</v>
      </c>
      <c r="K535" t="n">
        <v>0</v>
      </c>
      <c r="L535" t="n">
        <v>0</v>
      </c>
      <c r="M535" t="n">
        <v>0</v>
      </c>
      <c r="N535" t="n">
        <v>0</v>
      </c>
      <c r="O535" t="n">
        <v>0</v>
      </c>
      <c r="P535" t="n">
        <v>0</v>
      </c>
      <c r="Q535" t="n">
        <v>0</v>
      </c>
      <c r="R535" s="2" t="inlineStr"/>
    </row>
    <row r="536" ht="15" customHeight="1">
      <c r="A536" t="inlineStr">
        <is>
          <t>A 911-2020</t>
        </is>
      </c>
      <c r="B536" s="1" t="n">
        <v>43818</v>
      </c>
      <c r="C536" s="1" t="n">
        <v>45831</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69010-2019</t>
        </is>
      </c>
      <c r="B537" s="1" t="n">
        <v>43826</v>
      </c>
      <c r="C537" s="1" t="n">
        <v>45831</v>
      </c>
      <c r="D537" t="inlineStr">
        <is>
          <t>JÄMTLANDS LÄN</t>
        </is>
      </c>
      <c r="E537" t="inlineStr">
        <is>
          <t>KROKOM</t>
        </is>
      </c>
      <c r="G537" t="n">
        <v>4.7</v>
      </c>
      <c r="H537" t="n">
        <v>0</v>
      </c>
      <c r="I537" t="n">
        <v>0</v>
      </c>
      <c r="J537" t="n">
        <v>0</v>
      </c>
      <c r="K537" t="n">
        <v>0</v>
      </c>
      <c r="L537" t="n">
        <v>0</v>
      </c>
      <c r="M537" t="n">
        <v>0</v>
      </c>
      <c r="N537" t="n">
        <v>0</v>
      </c>
      <c r="O537" t="n">
        <v>0</v>
      </c>
      <c r="P537" t="n">
        <v>0</v>
      </c>
      <c r="Q537" t="n">
        <v>0</v>
      </c>
      <c r="R537" s="2" t="inlineStr"/>
    </row>
    <row r="538" ht="15" customHeight="1">
      <c r="A538" t="inlineStr">
        <is>
          <t>A 68996-2019</t>
        </is>
      </c>
      <c r="B538" s="1" t="n">
        <v>43826</v>
      </c>
      <c r="C538" s="1" t="n">
        <v>45831</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12-2020</t>
        </is>
      </c>
      <c r="B539" s="1" t="n">
        <v>43831</v>
      </c>
      <c r="C539" s="1" t="n">
        <v>45831</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327-2020</t>
        </is>
      </c>
      <c r="B540" s="1" t="n">
        <v>43837</v>
      </c>
      <c r="C540" s="1" t="n">
        <v>45831</v>
      </c>
      <c r="D540" t="inlineStr">
        <is>
          <t>JÄMTLANDS LÄN</t>
        </is>
      </c>
      <c r="E540" t="inlineStr">
        <is>
          <t>KROKOM</t>
        </is>
      </c>
      <c r="G540" t="n">
        <v>2.9</v>
      </c>
      <c r="H540" t="n">
        <v>0</v>
      </c>
      <c r="I540" t="n">
        <v>0</v>
      </c>
      <c r="J540" t="n">
        <v>0</v>
      </c>
      <c r="K540" t="n">
        <v>0</v>
      </c>
      <c r="L540" t="n">
        <v>0</v>
      </c>
      <c r="M540" t="n">
        <v>0</v>
      </c>
      <c r="N540" t="n">
        <v>0</v>
      </c>
      <c r="O540" t="n">
        <v>0</v>
      </c>
      <c r="P540" t="n">
        <v>0</v>
      </c>
      <c r="Q540" t="n">
        <v>0</v>
      </c>
      <c r="R540" s="2" t="inlineStr"/>
    </row>
    <row r="541" ht="15" customHeight="1">
      <c r="A541" t="inlineStr">
        <is>
          <t>A 735-2020</t>
        </is>
      </c>
      <c r="B541" s="1" t="n">
        <v>43838</v>
      </c>
      <c r="C541" s="1" t="n">
        <v>45831</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4599-2020</t>
        </is>
      </c>
      <c r="B542" s="1" t="n">
        <v>43858</v>
      </c>
      <c r="C542" s="1" t="n">
        <v>45831</v>
      </c>
      <c r="D542" t="inlineStr">
        <is>
          <t>JÄMTLANDS LÄN</t>
        </is>
      </c>
      <c r="E542" t="inlineStr">
        <is>
          <t>KROKOM</t>
        </is>
      </c>
      <c r="G542" t="n">
        <v>32.1</v>
      </c>
      <c r="H542" t="n">
        <v>0</v>
      </c>
      <c r="I542" t="n">
        <v>0</v>
      </c>
      <c r="J542" t="n">
        <v>0</v>
      </c>
      <c r="K542" t="n">
        <v>0</v>
      </c>
      <c r="L542" t="n">
        <v>0</v>
      </c>
      <c r="M542" t="n">
        <v>0</v>
      </c>
      <c r="N542" t="n">
        <v>0</v>
      </c>
      <c r="O542" t="n">
        <v>0</v>
      </c>
      <c r="P542" t="n">
        <v>0</v>
      </c>
      <c r="Q542" t="n">
        <v>0</v>
      </c>
      <c r="R542" s="2" t="inlineStr"/>
    </row>
    <row r="543" ht="15" customHeight="1">
      <c r="A543" t="inlineStr">
        <is>
          <t>A 4762-2020</t>
        </is>
      </c>
      <c r="B543" s="1" t="n">
        <v>43859</v>
      </c>
      <c r="C543" s="1" t="n">
        <v>45831</v>
      </c>
      <c r="D543" t="inlineStr">
        <is>
          <t>JÄMTLANDS LÄN</t>
        </is>
      </c>
      <c r="E543" t="inlineStr">
        <is>
          <t>KROKOM</t>
        </is>
      </c>
      <c r="G543" t="n">
        <v>2.2</v>
      </c>
      <c r="H543" t="n">
        <v>0</v>
      </c>
      <c r="I543" t="n">
        <v>0</v>
      </c>
      <c r="J543" t="n">
        <v>0</v>
      </c>
      <c r="K543" t="n">
        <v>0</v>
      </c>
      <c r="L543" t="n">
        <v>0</v>
      </c>
      <c r="M543" t="n">
        <v>0</v>
      </c>
      <c r="N543" t="n">
        <v>0</v>
      </c>
      <c r="O543" t="n">
        <v>0</v>
      </c>
      <c r="P543" t="n">
        <v>0</v>
      </c>
      <c r="Q543" t="n">
        <v>0</v>
      </c>
      <c r="R543" s="2" t="inlineStr"/>
    </row>
    <row r="544" ht="15" customHeight="1">
      <c r="A544" t="inlineStr">
        <is>
          <t>A 5337-2020</t>
        </is>
      </c>
      <c r="B544" s="1" t="n">
        <v>43860</v>
      </c>
      <c r="C544" s="1" t="n">
        <v>45831</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8110-2020</t>
        </is>
      </c>
      <c r="B545" s="1" t="n">
        <v>43874</v>
      </c>
      <c r="C545" s="1" t="n">
        <v>45831</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8380-2020</t>
        </is>
      </c>
      <c r="B546" s="1" t="n">
        <v>43874</v>
      </c>
      <c r="C546" s="1" t="n">
        <v>45831</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9049-2020</t>
        </is>
      </c>
      <c r="B547" s="1" t="n">
        <v>43879</v>
      </c>
      <c r="C547" s="1" t="n">
        <v>45831</v>
      </c>
      <c r="D547" t="inlineStr">
        <is>
          <t>JÄMTLANDS LÄN</t>
        </is>
      </c>
      <c r="E547" t="inlineStr">
        <is>
          <t>KROKOM</t>
        </is>
      </c>
      <c r="G547" t="n">
        <v>9.5</v>
      </c>
      <c r="H547" t="n">
        <v>0</v>
      </c>
      <c r="I547" t="n">
        <v>0</v>
      </c>
      <c r="J547" t="n">
        <v>0</v>
      </c>
      <c r="K547" t="n">
        <v>0</v>
      </c>
      <c r="L547" t="n">
        <v>0</v>
      </c>
      <c r="M547" t="n">
        <v>0</v>
      </c>
      <c r="N547" t="n">
        <v>0</v>
      </c>
      <c r="O547" t="n">
        <v>0</v>
      </c>
      <c r="P547" t="n">
        <v>0</v>
      </c>
      <c r="Q547" t="n">
        <v>0</v>
      </c>
      <c r="R547" s="2" t="inlineStr"/>
    </row>
    <row r="548" ht="15" customHeight="1">
      <c r="A548" t="inlineStr">
        <is>
          <t>A 9412-2020</t>
        </is>
      </c>
      <c r="B548" s="1" t="n">
        <v>43880</v>
      </c>
      <c r="C548" s="1" t="n">
        <v>45831</v>
      </c>
      <c r="D548" t="inlineStr">
        <is>
          <t>JÄMTLANDS LÄN</t>
        </is>
      </c>
      <c r="E548" t="inlineStr">
        <is>
          <t>KROKOM</t>
        </is>
      </c>
      <c r="G548" t="n">
        <v>12.1</v>
      </c>
      <c r="H548" t="n">
        <v>0</v>
      </c>
      <c r="I548" t="n">
        <v>0</v>
      </c>
      <c r="J548" t="n">
        <v>0</v>
      </c>
      <c r="K548" t="n">
        <v>0</v>
      </c>
      <c r="L548" t="n">
        <v>0</v>
      </c>
      <c r="M548" t="n">
        <v>0</v>
      </c>
      <c r="N548" t="n">
        <v>0</v>
      </c>
      <c r="O548" t="n">
        <v>0</v>
      </c>
      <c r="P548" t="n">
        <v>0</v>
      </c>
      <c r="Q548" t="n">
        <v>0</v>
      </c>
      <c r="R548" s="2" t="inlineStr"/>
    </row>
    <row r="549" ht="15" customHeight="1">
      <c r="A549" t="inlineStr">
        <is>
          <t>A 10206-2020</t>
        </is>
      </c>
      <c r="B549" s="1" t="n">
        <v>43885</v>
      </c>
      <c r="C549" s="1" t="n">
        <v>45831</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10180-2020</t>
        </is>
      </c>
      <c r="B550" s="1" t="n">
        <v>43887</v>
      </c>
      <c r="C550" s="1" t="n">
        <v>45831</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11021-2020</t>
        </is>
      </c>
      <c r="B551" s="1" t="n">
        <v>43889</v>
      </c>
      <c r="C551" s="1" t="n">
        <v>45831</v>
      </c>
      <c r="D551" t="inlineStr">
        <is>
          <t>JÄMTLANDS LÄN</t>
        </is>
      </c>
      <c r="E551" t="inlineStr">
        <is>
          <t>KROKOM</t>
        </is>
      </c>
      <c r="G551" t="n">
        <v>14.3</v>
      </c>
      <c r="H551" t="n">
        <v>0</v>
      </c>
      <c r="I551" t="n">
        <v>0</v>
      </c>
      <c r="J551" t="n">
        <v>0</v>
      </c>
      <c r="K551" t="n">
        <v>0</v>
      </c>
      <c r="L551" t="n">
        <v>0</v>
      </c>
      <c r="M551" t="n">
        <v>0</v>
      </c>
      <c r="N551" t="n">
        <v>0</v>
      </c>
      <c r="O551" t="n">
        <v>0</v>
      </c>
      <c r="P551" t="n">
        <v>0</v>
      </c>
      <c r="Q551" t="n">
        <v>0</v>
      </c>
      <c r="R551" s="2" t="inlineStr"/>
    </row>
    <row r="552" ht="15" customHeight="1">
      <c r="A552" t="inlineStr">
        <is>
          <t>A 11500-2020</t>
        </is>
      </c>
      <c r="B552" s="1" t="n">
        <v>43893</v>
      </c>
      <c r="C552" s="1" t="n">
        <v>45831</v>
      </c>
      <c r="D552" t="inlineStr">
        <is>
          <t>JÄMTLANDS LÄN</t>
        </is>
      </c>
      <c r="E552" t="inlineStr">
        <is>
          <t>KROKOM</t>
        </is>
      </c>
      <c r="G552" t="n">
        <v>3.5</v>
      </c>
      <c r="H552" t="n">
        <v>0</v>
      </c>
      <c r="I552" t="n">
        <v>0</v>
      </c>
      <c r="J552" t="n">
        <v>0</v>
      </c>
      <c r="K552" t="n">
        <v>0</v>
      </c>
      <c r="L552" t="n">
        <v>0</v>
      </c>
      <c r="M552" t="n">
        <v>0</v>
      </c>
      <c r="N552" t="n">
        <v>0</v>
      </c>
      <c r="O552" t="n">
        <v>0</v>
      </c>
      <c r="P552" t="n">
        <v>0</v>
      </c>
      <c r="Q552" t="n">
        <v>0</v>
      </c>
      <c r="R552" s="2" t="inlineStr"/>
    </row>
    <row r="553" ht="15" customHeight="1">
      <c r="A553" t="inlineStr">
        <is>
          <t>A 11487-2020</t>
        </is>
      </c>
      <c r="B553" s="1" t="n">
        <v>43893</v>
      </c>
      <c r="C553" s="1" t="n">
        <v>45831</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13367-2020</t>
        </is>
      </c>
      <c r="B554" s="1" t="n">
        <v>43894</v>
      </c>
      <c r="C554" s="1" t="n">
        <v>45831</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12914-2020</t>
        </is>
      </c>
      <c r="B555" s="1" t="n">
        <v>43900</v>
      </c>
      <c r="C555" s="1" t="n">
        <v>45831</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13502-2020</t>
        </is>
      </c>
      <c r="B556" s="1" t="n">
        <v>43900</v>
      </c>
      <c r="C556" s="1" t="n">
        <v>45831</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12908-2020</t>
        </is>
      </c>
      <c r="B557" s="1" t="n">
        <v>43900</v>
      </c>
      <c r="C557" s="1" t="n">
        <v>45831</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14285-2020</t>
        </is>
      </c>
      <c r="B558" s="1" t="n">
        <v>43907</v>
      </c>
      <c r="C558" s="1" t="n">
        <v>45831</v>
      </c>
      <c r="D558" t="inlineStr">
        <is>
          <t>JÄMTLANDS LÄN</t>
        </is>
      </c>
      <c r="E558" t="inlineStr">
        <is>
          <t>KROKOM</t>
        </is>
      </c>
      <c r="G558" t="n">
        <v>13.9</v>
      </c>
      <c r="H558" t="n">
        <v>0</v>
      </c>
      <c r="I558" t="n">
        <v>0</v>
      </c>
      <c r="J558" t="n">
        <v>0</v>
      </c>
      <c r="K558" t="n">
        <v>0</v>
      </c>
      <c r="L558" t="n">
        <v>0</v>
      </c>
      <c r="M558" t="n">
        <v>0</v>
      </c>
      <c r="N558" t="n">
        <v>0</v>
      </c>
      <c r="O558" t="n">
        <v>0</v>
      </c>
      <c r="P558" t="n">
        <v>0</v>
      </c>
      <c r="Q558" t="n">
        <v>0</v>
      </c>
      <c r="R558" s="2" t="inlineStr"/>
    </row>
    <row r="559" ht="15" customHeight="1">
      <c r="A559" t="inlineStr">
        <is>
          <t>A 15315-2020</t>
        </is>
      </c>
      <c r="B559" s="1" t="n">
        <v>43913</v>
      </c>
      <c r="C559" s="1" t="n">
        <v>45831</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17527-2020</t>
        </is>
      </c>
      <c r="B560" s="1" t="n">
        <v>43920</v>
      </c>
      <c r="C560" s="1" t="n">
        <v>45831</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18445-2020</t>
        </is>
      </c>
      <c r="B561" s="1" t="n">
        <v>43927</v>
      </c>
      <c r="C561" s="1" t="n">
        <v>45831</v>
      </c>
      <c r="D561" t="inlineStr">
        <is>
          <t>JÄMTLANDS LÄN</t>
        </is>
      </c>
      <c r="E561" t="inlineStr">
        <is>
          <t>KROKOM</t>
        </is>
      </c>
      <c r="G561" t="n">
        <v>4.2</v>
      </c>
      <c r="H561" t="n">
        <v>0</v>
      </c>
      <c r="I561" t="n">
        <v>0</v>
      </c>
      <c r="J561" t="n">
        <v>0</v>
      </c>
      <c r="K561" t="n">
        <v>0</v>
      </c>
      <c r="L561" t="n">
        <v>0</v>
      </c>
      <c r="M561" t="n">
        <v>0</v>
      </c>
      <c r="N561" t="n">
        <v>0</v>
      </c>
      <c r="O561" t="n">
        <v>0</v>
      </c>
      <c r="P561" t="n">
        <v>0</v>
      </c>
      <c r="Q561" t="n">
        <v>0</v>
      </c>
      <c r="R561" s="2" t="inlineStr"/>
    </row>
    <row r="562" ht="15" customHeight="1">
      <c r="A562" t="inlineStr">
        <is>
          <t>A 18591-2020</t>
        </is>
      </c>
      <c r="B562" s="1" t="n">
        <v>43928</v>
      </c>
      <c r="C562" s="1" t="n">
        <v>45831</v>
      </c>
      <c r="D562" t="inlineStr">
        <is>
          <t>JÄMTLANDS LÄN</t>
        </is>
      </c>
      <c r="E562" t="inlineStr">
        <is>
          <t>KROKOM</t>
        </is>
      </c>
      <c r="G562" t="n">
        <v>13.6</v>
      </c>
      <c r="H562" t="n">
        <v>0</v>
      </c>
      <c r="I562" t="n">
        <v>0</v>
      </c>
      <c r="J562" t="n">
        <v>0</v>
      </c>
      <c r="K562" t="n">
        <v>0</v>
      </c>
      <c r="L562" t="n">
        <v>0</v>
      </c>
      <c r="M562" t="n">
        <v>0</v>
      </c>
      <c r="N562" t="n">
        <v>0</v>
      </c>
      <c r="O562" t="n">
        <v>0</v>
      </c>
      <c r="P562" t="n">
        <v>0</v>
      </c>
      <c r="Q562" t="n">
        <v>0</v>
      </c>
      <c r="R562" s="2" t="inlineStr"/>
    </row>
    <row r="563" ht="15" customHeight="1">
      <c r="A563" t="inlineStr">
        <is>
          <t>A 19031-2020</t>
        </is>
      </c>
      <c r="B563" s="1" t="n">
        <v>43936</v>
      </c>
      <c r="C563" s="1" t="n">
        <v>45831</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19827-2020</t>
        </is>
      </c>
      <c r="B564" s="1" t="n">
        <v>43938</v>
      </c>
      <c r="C564" s="1" t="n">
        <v>45831</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19648-2020</t>
        </is>
      </c>
      <c r="B565" s="1" t="n">
        <v>43941</v>
      </c>
      <c r="C565" s="1" t="n">
        <v>45831</v>
      </c>
      <c r="D565" t="inlineStr">
        <is>
          <t>JÄMTLANDS LÄN</t>
        </is>
      </c>
      <c r="E565" t="inlineStr">
        <is>
          <t>KROKOM</t>
        </is>
      </c>
      <c r="G565" t="n">
        <v>21.6</v>
      </c>
      <c r="H565" t="n">
        <v>0</v>
      </c>
      <c r="I565" t="n">
        <v>0</v>
      </c>
      <c r="J565" t="n">
        <v>0</v>
      </c>
      <c r="K565" t="n">
        <v>0</v>
      </c>
      <c r="L565" t="n">
        <v>0</v>
      </c>
      <c r="M565" t="n">
        <v>0</v>
      </c>
      <c r="N565" t="n">
        <v>0</v>
      </c>
      <c r="O565" t="n">
        <v>0</v>
      </c>
      <c r="P565" t="n">
        <v>0</v>
      </c>
      <c r="Q565" t="n">
        <v>0</v>
      </c>
      <c r="R565" s="2" t="inlineStr"/>
    </row>
    <row r="566" ht="15" customHeight="1">
      <c r="A566" t="inlineStr">
        <is>
          <t>A 19768-2020</t>
        </is>
      </c>
      <c r="B566" s="1" t="n">
        <v>43942</v>
      </c>
      <c r="C566" s="1" t="n">
        <v>45831</v>
      </c>
      <c r="D566" t="inlineStr">
        <is>
          <t>JÄMTLANDS LÄN</t>
        </is>
      </c>
      <c r="E566" t="inlineStr">
        <is>
          <t>KROKOM</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21106-2020</t>
        </is>
      </c>
      <c r="B567" s="1" t="n">
        <v>43951</v>
      </c>
      <c r="C567" s="1" t="n">
        <v>45831</v>
      </c>
      <c r="D567" t="inlineStr">
        <is>
          <t>JÄMTLANDS LÄN</t>
        </is>
      </c>
      <c r="E567" t="inlineStr">
        <is>
          <t>KROKOM</t>
        </is>
      </c>
      <c r="G567" t="n">
        <v>17.7</v>
      </c>
      <c r="H567" t="n">
        <v>0</v>
      </c>
      <c r="I567" t="n">
        <v>0</v>
      </c>
      <c r="J567" t="n">
        <v>0</v>
      </c>
      <c r="K567" t="n">
        <v>0</v>
      </c>
      <c r="L567" t="n">
        <v>0</v>
      </c>
      <c r="M567" t="n">
        <v>0</v>
      </c>
      <c r="N567" t="n">
        <v>0</v>
      </c>
      <c r="O567" t="n">
        <v>0</v>
      </c>
      <c r="P567" t="n">
        <v>0</v>
      </c>
      <c r="Q567" t="n">
        <v>0</v>
      </c>
      <c r="R567" s="2" t="inlineStr"/>
    </row>
    <row r="568" ht="15" customHeight="1">
      <c r="A568" t="inlineStr">
        <is>
          <t>A 21144-2020</t>
        </is>
      </c>
      <c r="B568" s="1" t="n">
        <v>43951</v>
      </c>
      <c r="C568" s="1" t="n">
        <v>45831</v>
      </c>
      <c r="D568" t="inlineStr">
        <is>
          <t>JÄMTLANDS LÄN</t>
        </is>
      </c>
      <c r="E568" t="inlineStr">
        <is>
          <t>KROKOM</t>
        </is>
      </c>
      <c r="G568" t="n">
        <v>2.7</v>
      </c>
      <c r="H568" t="n">
        <v>0</v>
      </c>
      <c r="I568" t="n">
        <v>0</v>
      </c>
      <c r="J568" t="n">
        <v>0</v>
      </c>
      <c r="K568" t="n">
        <v>0</v>
      </c>
      <c r="L568" t="n">
        <v>0</v>
      </c>
      <c r="M568" t="n">
        <v>0</v>
      </c>
      <c r="N568" t="n">
        <v>0</v>
      </c>
      <c r="O568" t="n">
        <v>0</v>
      </c>
      <c r="P568" t="n">
        <v>0</v>
      </c>
      <c r="Q568" t="n">
        <v>0</v>
      </c>
      <c r="R568" s="2" t="inlineStr"/>
    </row>
    <row r="569" ht="15" customHeight="1">
      <c r="A569" t="inlineStr">
        <is>
          <t>A 21443-2020</t>
        </is>
      </c>
      <c r="B569" s="1" t="n">
        <v>43955</v>
      </c>
      <c r="C569" s="1" t="n">
        <v>45831</v>
      </c>
      <c r="D569" t="inlineStr">
        <is>
          <t>JÄMTLANDS LÄN</t>
        </is>
      </c>
      <c r="E569" t="inlineStr">
        <is>
          <t>KROKOM</t>
        </is>
      </c>
      <c r="G569" t="n">
        <v>7.7</v>
      </c>
      <c r="H569" t="n">
        <v>0</v>
      </c>
      <c r="I569" t="n">
        <v>0</v>
      </c>
      <c r="J569" t="n">
        <v>0</v>
      </c>
      <c r="K569" t="n">
        <v>0</v>
      </c>
      <c r="L569" t="n">
        <v>0</v>
      </c>
      <c r="M569" t="n">
        <v>0</v>
      </c>
      <c r="N569" t="n">
        <v>0</v>
      </c>
      <c r="O569" t="n">
        <v>0</v>
      </c>
      <c r="P569" t="n">
        <v>0</v>
      </c>
      <c r="Q569" t="n">
        <v>0</v>
      </c>
      <c r="R569" s="2" t="inlineStr"/>
    </row>
    <row r="570" ht="15" customHeight="1">
      <c r="A570" t="inlineStr">
        <is>
          <t>A 22005-2020</t>
        </is>
      </c>
      <c r="B570" s="1" t="n">
        <v>43959</v>
      </c>
      <c r="C570" s="1" t="n">
        <v>45831</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25520-2020</t>
        </is>
      </c>
      <c r="B571" s="1" t="n">
        <v>43983</v>
      </c>
      <c r="C571" s="1" t="n">
        <v>45831</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25489-2020</t>
        </is>
      </c>
      <c r="B572" s="1" t="n">
        <v>43983</v>
      </c>
      <c r="C572" s="1" t="n">
        <v>45831</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27056-2020</t>
        </is>
      </c>
      <c r="B573" s="1" t="n">
        <v>43991</v>
      </c>
      <c r="C573" s="1" t="n">
        <v>45831</v>
      </c>
      <c r="D573" t="inlineStr">
        <is>
          <t>JÄMTLANDS LÄN</t>
        </is>
      </c>
      <c r="E573" t="inlineStr">
        <is>
          <t>KROKOM</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30368-2020</t>
        </is>
      </c>
      <c r="B574" s="1" t="n">
        <v>44007</v>
      </c>
      <c r="C574" s="1" t="n">
        <v>45831</v>
      </c>
      <c r="D574" t="inlineStr">
        <is>
          <t>JÄMTLANDS LÄN</t>
        </is>
      </c>
      <c r="E574" t="inlineStr">
        <is>
          <t>KROKOM</t>
        </is>
      </c>
      <c r="G574" t="n">
        <v>1.9</v>
      </c>
      <c r="H574" t="n">
        <v>0</v>
      </c>
      <c r="I574" t="n">
        <v>0</v>
      </c>
      <c r="J574" t="n">
        <v>0</v>
      </c>
      <c r="K574" t="n">
        <v>0</v>
      </c>
      <c r="L574" t="n">
        <v>0</v>
      </c>
      <c r="M574" t="n">
        <v>0</v>
      </c>
      <c r="N574" t="n">
        <v>0</v>
      </c>
      <c r="O574" t="n">
        <v>0</v>
      </c>
      <c r="P574" t="n">
        <v>0</v>
      </c>
      <c r="Q574" t="n">
        <v>0</v>
      </c>
      <c r="R574" s="2" t="inlineStr"/>
    </row>
    <row r="575" ht="15" customHeight="1">
      <c r="A575" t="inlineStr">
        <is>
          <t>A 31421-2020</t>
        </is>
      </c>
      <c r="B575" s="1" t="n">
        <v>44013</v>
      </c>
      <c r="C575" s="1" t="n">
        <v>45831</v>
      </c>
      <c r="D575" t="inlineStr">
        <is>
          <t>JÄMTLANDS LÄN</t>
        </is>
      </c>
      <c r="E575" t="inlineStr">
        <is>
          <t>KROKOM</t>
        </is>
      </c>
      <c r="G575" t="n">
        <v>14.1</v>
      </c>
      <c r="H575" t="n">
        <v>0</v>
      </c>
      <c r="I575" t="n">
        <v>0</v>
      </c>
      <c r="J575" t="n">
        <v>0</v>
      </c>
      <c r="K575" t="n">
        <v>0</v>
      </c>
      <c r="L575" t="n">
        <v>0</v>
      </c>
      <c r="M575" t="n">
        <v>0</v>
      </c>
      <c r="N575" t="n">
        <v>0</v>
      </c>
      <c r="O575" t="n">
        <v>0</v>
      </c>
      <c r="P575" t="n">
        <v>0</v>
      </c>
      <c r="Q575" t="n">
        <v>0</v>
      </c>
      <c r="R575" s="2" t="inlineStr"/>
    </row>
    <row r="576" ht="15" customHeight="1">
      <c r="A576" t="inlineStr">
        <is>
          <t>A 32084-2020</t>
        </is>
      </c>
      <c r="B576" s="1" t="n">
        <v>44015</v>
      </c>
      <c r="C576" s="1" t="n">
        <v>45831</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34469-2020</t>
        </is>
      </c>
      <c r="B577" s="1" t="n">
        <v>44032</v>
      </c>
      <c r="C577" s="1" t="n">
        <v>45831</v>
      </c>
      <c r="D577" t="inlineStr">
        <is>
          <t>JÄMTLANDS LÄN</t>
        </is>
      </c>
      <c r="E577" t="inlineStr">
        <is>
          <t>KROKOM</t>
        </is>
      </c>
      <c r="G577" t="n">
        <v>0.8</v>
      </c>
      <c r="H577" t="n">
        <v>0</v>
      </c>
      <c r="I577" t="n">
        <v>0</v>
      </c>
      <c r="J577" t="n">
        <v>0</v>
      </c>
      <c r="K577" t="n">
        <v>0</v>
      </c>
      <c r="L577" t="n">
        <v>0</v>
      </c>
      <c r="M577" t="n">
        <v>0</v>
      </c>
      <c r="N577" t="n">
        <v>0</v>
      </c>
      <c r="O577" t="n">
        <v>0</v>
      </c>
      <c r="P577" t="n">
        <v>0</v>
      </c>
      <c r="Q577" t="n">
        <v>0</v>
      </c>
      <c r="R577" s="2" t="inlineStr"/>
    </row>
    <row r="578" ht="15" customHeight="1">
      <c r="A578" t="inlineStr">
        <is>
          <t>A 34619-2020</t>
        </is>
      </c>
      <c r="B578" s="1" t="n">
        <v>44033</v>
      </c>
      <c r="C578" s="1" t="n">
        <v>45831</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34954-2020</t>
        </is>
      </c>
      <c r="B579" s="1" t="n">
        <v>44038</v>
      </c>
      <c r="C579" s="1" t="n">
        <v>45831</v>
      </c>
      <c r="D579" t="inlineStr">
        <is>
          <t>JÄMTLANDS LÄN</t>
        </is>
      </c>
      <c r="E579" t="inlineStr">
        <is>
          <t>KROKOM</t>
        </is>
      </c>
      <c r="G579" t="n">
        <v>14.3</v>
      </c>
      <c r="H579" t="n">
        <v>0</v>
      </c>
      <c r="I579" t="n">
        <v>0</v>
      </c>
      <c r="J579" t="n">
        <v>0</v>
      </c>
      <c r="K579" t="n">
        <v>0</v>
      </c>
      <c r="L579" t="n">
        <v>0</v>
      </c>
      <c r="M579" t="n">
        <v>0</v>
      </c>
      <c r="N579" t="n">
        <v>0</v>
      </c>
      <c r="O579" t="n">
        <v>0</v>
      </c>
      <c r="P579" t="n">
        <v>0</v>
      </c>
      <c r="Q579" t="n">
        <v>0</v>
      </c>
      <c r="R579" s="2" t="inlineStr"/>
    </row>
    <row r="580" ht="15" customHeight="1">
      <c r="A580" t="inlineStr">
        <is>
          <t>A 36098-2020</t>
        </is>
      </c>
      <c r="B580" s="1" t="n">
        <v>44048</v>
      </c>
      <c r="C580" s="1" t="n">
        <v>45831</v>
      </c>
      <c r="D580" t="inlineStr">
        <is>
          <t>JÄMTLANDS LÄN</t>
        </is>
      </c>
      <c r="E580" t="inlineStr">
        <is>
          <t>KROKOM</t>
        </is>
      </c>
      <c r="G580" t="n">
        <v>0.9</v>
      </c>
      <c r="H580" t="n">
        <v>0</v>
      </c>
      <c r="I580" t="n">
        <v>0</v>
      </c>
      <c r="J580" t="n">
        <v>0</v>
      </c>
      <c r="K580" t="n">
        <v>0</v>
      </c>
      <c r="L580" t="n">
        <v>0</v>
      </c>
      <c r="M580" t="n">
        <v>0</v>
      </c>
      <c r="N580" t="n">
        <v>0</v>
      </c>
      <c r="O580" t="n">
        <v>0</v>
      </c>
      <c r="P580" t="n">
        <v>0</v>
      </c>
      <c r="Q580" t="n">
        <v>0</v>
      </c>
      <c r="R580" s="2" t="inlineStr"/>
    </row>
    <row r="581" ht="15" customHeight="1">
      <c r="A581" t="inlineStr">
        <is>
          <t>A 36698-2020</t>
        </is>
      </c>
      <c r="B581" s="1" t="n">
        <v>44050</v>
      </c>
      <c r="C581" s="1" t="n">
        <v>45831</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36523-2020</t>
        </is>
      </c>
      <c r="B582" s="1" t="n">
        <v>44050</v>
      </c>
      <c r="C582" s="1" t="n">
        <v>45831</v>
      </c>
      <c r="D582" t="inlineStr">
        <is>
          <t>JÄMTLANDS LÄN</t>
        </is>
      </c>
      <c r="E582" t="inlineStr">
        <is>
          <t>KROKOM</t>
        </is>
      </c>
      <c r="G582" t="n">
        <v>5.1</v>
      </c>
      <c r="H582" t="n">
        <v>0</v>
      </c>
      <c r="I582" t="n">
        <v>0</v>
      </c>
      <c r="J582" t="n">
        <v>0</v>
      </c>
      <c r="K582" t="n">
        <v>0</v>
      </c>
      <c r="L582" t="n">
        <v>0</v>
      </c>
      <c r="M582" t="n">
        <v>0</v>
      </c>
      <c r="N582" t="n">
        <v>0</v>
      </c>
      <c r="O582" t="n">
        <v>0</v>
      </c>
      <c r="P582" t="n">
        <v>0</v>
      </c>
      <c r="Q582" t="n">
        <v>0</v>
      </c>
      <c r="R582" s="2" t="inlineStr"/>
    </row>
    <row r="583" ht="15" customHeight="1">
      <c r="A583" t="inlineStr">
        <is>
          <t>A 36696-2020</t>
        </is>
      </c>
      <c r="B583" s="1" t="n">
        <v>44050</v>
      </c>
      <c r="C583" s="1" t="n">
        <v>45831</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38001-2020</t>
        </is>
      </c>
      <c r="B584" s="1" t="n">
        <v>44057</v>
      </c>
      <c r="C584" s="1" t="n">
        <v>45831</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38720-2020</t>
        </is>
      </c>
      <c r="B585" s="1" t="n">
        <v>44061</v>
      </c>
      <c r="C585" s="1" t="n">
        <v>45831</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38866-2020</t>
        </is>
      </c>
      <c r="B586" s="1" t="n">
        <v>44062</v>
      </c>
      <c r="C586" s="1" t="n">
        <v>45831</v>
      </c>
      <c r="D586" t="inlineStr">
        <is>
          <t>JÄMTLANDS LÄN</t>
        </is>
      </c>
      <c r="E586" t="inlineStr">
        <is>
          <t>KROKOM</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42385-2020</t>
        </is>
      </c>
      <c r="B587" s="1" t="n">
        <v>44076</v>
      </c>
      <c r="C587" s="1" t="n">
        <v>45831</v>
      </c>
      <c r="D587" t="inlineStr">
        <is>
          <t>JÄMTLANDS LÄN</t>
        </is>
      </c>
      <c r="E587" t="inlineStr">
        <is>
          <t>KROKOM</t>
        </is>
      </c>
      <c r="G587" t="n">
        <v>2.9</v>
      </c>
      <c r="H587" t="n">
        <v>0</v>
      </c>
      <c r="I587" t="n">
        <v>0</v>
      </c>
      <c r="J587" t="n">
        <v>0</v>
      </c>
      <c r="K587" t="n">
        <v>0</v>
      </c>
      <c r="L587" t="n">
        <v>0</v>
      </c>
      <c r="M587" t="n">
        <v>0</v>
      </c>
      <c r="N587" t="n">
        <v>0</v>
      </c>
      <c r="O587" t="n">
        <v>0</v>
      </c>
      <c r="P587" t="n">
        <v>0</v>
      </c>
      <c r="Q587" t="n">
        <v>0</v>
      </c>
      <c r="R587" s="2" t="inlineStr"/>
    </row>
    <row r="588" ht="15" customHeight="1">
      <c r="A588" t="inlineStr">
        <is>
          <t>A 42550-2020</t>
        </is>
      </c>
      <c r="B588" s="1" t="n">
        <v>44077</v>
      </c>
      <c r="C588" s="1" t="n">
        <v>45831</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45602-2020</t>
        </is>
      </c>
      <c r="B589" s="1" t="n">
        <v>44090</v>
      </c>
      <c r="C589" s="1" t="n">
        <v>45831</v>
      </c>
      <c r="D589" t="inlineStr">
        <is>
          <t>JÄMTLANDS LÄN</t>
        </is>
      </c>
      <c r="E589" t="inlineStr">
        <is>
          <t>KROKOM</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46589-2020</t>
        </is>
      </c>
      <c r="B590" s="1" t="n">
        <v>44095</v>
      </c>
      <c r="C590" s="1" t="n">
        <v>45831</v>
      </c>
      <c r="D590" t="inlineStr">
        <is>
          <t>JÄMTLANDS LÄN</t>
        </is>
      </c>
      <c r="E590" t="inlineStr">
        <is>
          <t>KROKOM</t>
        </is>
      </c>
      <c r="G590" t="n">
        <v>8.5</v>
      </c>
      <c r="H590" t="n">
        <v>0</v>
      </c>
      <c r="I590" t="n">
        <v>0</v>
      </c>
      <c r="J590" t="n">
        <v>0</v>
      </c>
      <c r="K590" t="n">
        <v>0</v>
      </c>
      <c r="L590" t="n">
        <v>0</v>
      </c>
      <c r="M590" t="n">
        <v>0</v>
      </c>
      <c r="N590" t="n">
        <v>0</v>
      </c>
      <c r="O590" t="n">
        <v>0</v>
      </c>
      <c r="P590" t="n">
        <v>0</v>
      </c>
      <c r="Q590" t="n">
        <v>0</v>
      </c>
      <c r="R590" s="2" t="inlineStr"/>
    </row>
    <row r="591" ht="15" customHeight="1">
      <c r="A591" t="inlineStr">
        <is>
          <t>A 46597-2020</t>
        </is>
      </c>
      <c r="B591" s="1" t="n">
        <v>44095</v>
      </c>
      <c r="C591" s="1" t="n">
        <v>45831</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49037-2020</t>
        </is>
      </c>
      <c r="B592" s="1" t="n">
        <v>44102</v>
      </c>
      <c r="C592" s="1" t="n">
        <v>45831</v>
      </c>
      <c r="D592" t="inlineStr">
        <is>
          <t>JÄMTLANDS LÄN</t>
        </is>
      </c>
      <c r="E592" t="inlineStr">
        <is>
          <t>KROKOM</t>
        </is>
      </c>
      <c r="G592" t="n">
        <v>1.5</v>
      </c>
      <c r="H592" t="n">
        <v>0</v>
      </c>
      <c r="I592" t="n">
        <v>0</v>
      </c>
      <c r="J592" t="n">
        <v>0</v>
      </c>
      <c r="K592" t="n">
        <v>0</v>
      </c>
      <c r="L592" t="n">
        <v>0</v>
      </c>
      <c r="M592" t="n">
        <v>0</v>
      </c>
      <c r="N592" t="n">
        <v>0</v>
      </c>
      <c r="O592" t="n">
        <v>0</v>
      </c>
      <c r="P592" t="n">
        <v>0</v>
      </c>
      <c r="Q592" t="n">
        <v>0</v>
      </c>
      <c r="R592" s="2" t="inlineStr"/>
    </row>
    <row r="593" ht="15" customHeight="1">
      <c r="A593" t="inlineStr">
        <is>
          <t>A 48610-2020</t>
        </is>
      </c>
      <c r="B593" s="1" t="n">
        <v>44103</v>
      </c>
      <c r="C593" s="1" t="n">
        <v>45831</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49697-2020</t>
        </is>
      </c>
      <c r="B594" s="1" t="n">
        <v>44106</v>
      </c>
      <c r="C594" s="1" t="n">
        <v>45831</v>
      </c>
      <c r="D594" t="inlineStr">
        <is>
          <t>JÄMTLANDS LÄN</t>
        </is>
      </c>
      <c r="E594" t="inlineStr">
        <is>
          <t>KROKOM</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51719-2020</t>
        </is>
      </c>
      <c r="B595" s="1" t="n">
        <v>44113</v>
      </c>
      <c r="C595" s="1" t="n">
        <v>45831</v>
      </c>
      <c r="D595" t="inlineStr">
        <is>
          <t>JÄMTLANDS LÄN</t>
        </is>
      </c>
      <c r="E595" t="inlineStr">
        <is>
          <t>KROKOM</t>
        </is>
      </c>
      <c r="F595" t="inlineStr">
        <is>
          <t>SCA</t>
        </is>
      </c>
      <c r="G595" t="n">
        <v>9</v>
      </c>
      <c r="H595" t="n">
        <v>0</v>
      </c>
      <c r="I595" t="n">
        <v>0</v>
      </c>
      <c r="J595" t="n">
        <v>0</v>
      </c>
      <c r="K595" t="n">
        <v>0</v>
      </c>
      <c r="L595" t="n">
        <v>0</v>
      </c>
      <c r="M595" t="n">
        <v>0</v>
      </c>
      <c r="N595" t="n">
        <v>0</v>
      </c>
      <c r="O595" t="n">
        <v>0</v>
      </c>
      <c r="P595" t="n">
        <v>0</v>
      </c>
      <c r="Q595" t="n">
        <v>0</v>
      </c>
      <c r="R595" s="2" t="inlineStr"/>
    </row>
    <row r="596" ht="15" customHeight="1">
      <c r="A596" t="inlineStr">
        <is>
          <t>A 51717-2020</t>
        </is>
      </c>
      <c r="B596" s="1" t="n">
        <v>44113</v>
      </c>
      <c r="C596" s="1" t="n">
        <v>45831</v>
      </c>
      <c r="D596" t="inlineStr">
        <is>
          <t>JÄMTLANDS LÄN</t>
        </is>
      </c>
      <c r="E596" t="inlineStr">
        <is>
          <t>KROKOM</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52487-2020</t>
        </is>
      </c>
      <c r="B597" s="1" t="n">
        <v>44113</v>
      </c>
      <c r="C597" s="1" t="n">
        <v>45831</v>
      </c>
      <c r="D597" t="inlineStr">
        <is>
          <t>JÄMTLANDS LÄN</t>
        </is>
      </c>
      <c r="E597" t="inlineStr">
        <is>
          <t>KROKOM</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52491-2020</t>
        </is>
      </c>
      <c r="B598" s="1" t="n">
        <v>44113</v>
      </c>
      <c r="C598" s="1" t="n">
        <v>45831</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52626-2020</t>
        </is>
      </c>
      <c r="B599" s="1" t="n">
        <v>44119</v>
      </c>
      <c r="C599" s="1" t="n">
        <v>45831</v>
      </c>
      <c r="D599" t="inlineStr">
        <is>
          <t>JÄMTLANDS LÄN</t>
        </is>
      </c>
      <c r="E599" t="inlineStr">
        <is>
          <t>KROKOM</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53241-2020</t>
        </is>
      </c>
      <c r="B600" s="1" t="n">
        <v>44123</v>
      </c>
      <c r="C600" s="1" t="n">
        <v>45831</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53501-2020</t>
        </is>
      </c>
      <c r="B601" s="1" t="n">
        <v>44123</v>
      </c>
      <c r="C601" s="1" t="n">
        <v>45831</v>
      </c>
      <c r="D601" t="inlineStr">
        <is>
          <t>JÄMTLANDS LÄN</t>
        </is>
      </c>
      <c r="E601" t="inlineStr">
        <is>
          <t>KROKOM</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53499-2020</t>
        </is>
      </c>
      <c r="B602" s="1" t="n">
        <v>44123</v>
      </c>
      <c r="C602" s="1" t="n">
        <v>45831</v>
      </c>
      <c r="D602" t="inlineStr">
        <is>
          <t>JÄMTLANDS LÄN</t>
        </is>
      </c>
      <c r="E602" t="inlineStr">
        <is>
          <t>KROKOM</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53500-2020</t>
        </is>
      </c>
      <c r="B603" s="1" t="n">
        <v>44123</v>
      </c>
      <c r="C603" s="1" t="n">
        <v>45831</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54575-2020</t>
        </is>
      </c>
      <c r="B604" s="1" t="n">
        <v>44126</v>
      </c>
      <c r="C604" s="1" t="n">
        <v>45831</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54582-2020</t>
        </is>
      </c>
      <c r="B605" s="1" t="n">
        <v>44127</v>
      </c>
      <c r="C605" s="1" t="n">
        <v>45831</v>
      </c>
      <c r="D605" t="inlineStr">
        <is>
          <t>JÄMTLANDS LÄN</t>
        </is>
      </c>
      <c r="E605" t="inlineStr">
        <is>
          <t>KROKOM</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56203-2020</t>
        </is>
      </c>
      <c r="B606" s="1" t="n">
        <v>44133</v>
      </c>
      <c r="C606" s="1" t="n">
        <v>45831</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56596-2020</t>
        </is>
      </c>
      <c r="B607" s="1" t="n">
        <v>44133</v>
      </c>
      <c r="C607" s="1" t="n">
        <v>45831</v>
      </c>
      <c r="D607" t="inlineStr">
        <is>
          <t>JÄMTLANDS LÄN</t>
        </is>
      </c>
      <c r="E607" t="inlineStr">
        <is>
          <t>KROKOM</t>
        </is>
      </c>
      <c r="G607" t="n">
        <v>7.2</v>
      </c>
      <c r="H607" t="n">
        <v>0</v>
      </c>
      <c r="I607" t="n">
        <v>0</v>
      </c>
      <c r="J607" t="n">
        <v>0</v>
      </c>
      <c r="K607" t="n">
        <v>0</v>
      </c>
      <c r="L607" t="n">
        <v>0</v>
      </c>
      <c r="M607" t="n">
        <v>0</v>
      </c>
      <c r="N607" t="n">
        <v>0</v>
      </c>
      <c r="O607" t="n">
        <v>0</v>
      </c>
      <c r="P607" t="n">
        <v>0</v>
      </c>
      <c r="Q607" t="n">
        <v>0</v>
      </c>
      <c r="R607" s="2" t="inlineStr"/>
    </row>
    <row r="608" ht="15" customHeight="1">
      <c r="A608" t="inlineStr">
        <is>
          <t>A 56168-2020</t>
        </is>
      </c>
      <c r="B608" s="1" t="n">
        <v>44133</v>
      </c>
      <c r="C608" s="1" t="n">
        <v>45831</v>
      </c>
      <c r="D608" t="inlineStr">
        <is>
          <t>JÄMTLANDS LÄN</t>
        </is>
      </c>
      <c r="E608" t="inlineStr">
        <is>
          <t>KROKOM</t>
        </is>
      </c>
      <c r="G608" t="n">
        <v>3.5</v>
      </c>
      <c r="H608" t="n">
        <v>0</v>
      </c>
      <c r="I608" t="n">
        <v>0</v>
      </c>
      <c r="J608" t="n">
        <v>0</v>
      </c>
      <c r="K608" t="n">
        <v>0</v>
      </c>
      <c r="L608" t="n">
        <v>0</v>
      </c>
      <c r="M608" t="n">
        <v>0</v>
      </c>
      <c r="N608" t="n">
        <v>0</v>
      </c>
      <c r="O608" t="n">
        <v>0</v>
      </c>
      <c r="P608" t="n">
        <v>0</v>
      </c>
      <c r="Q608" t="n">
        <v>0</v>
      </c>
      <c r="R608" s="2" t="inlineStr"/>
    </row>
    <row r="609" ht="15" customHeight="1">
      <c r="A609" t="inlineStr">
        <is>
          <t>A 57375-2020</t>
        </is>
      </c>
      <c r="B609" s="1" t="n">
        <v>44139</v>
      </c>
      <c r="C609" s="1" t="n">
        <v>45831</v>
      </c>
      <c r="D609" t="inlineStr">
        <is>
          <t>JÄMTLANDS LÄN</t>
        </is>
      </c>
      <c r="E609" t="inlineStr">
        <is>
          <t>KROKOM</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57726-2020</t>
        </is>
      </c>
      <c r="B610" s="1" t="n">
        <v>44140</v>
      </c>
      <c r="C610" s="1" t="n">
        <v>45831</v>
      </c>
      <c r="D610" t="inlineStr">
        <is>
          <t>JÄMTLANDS LÄN</t>
        </is>
      </c>
      <c r="E610" t="inlineStr">
        <is>
          <t>KROKOM</t>
        </is>
      </c>
      <c r="G610" t="n">
        <v>3.8</v>
      </c>
      <c r="H610" t="n">
        <v>0</v>
      </c>
      <c r="I610" t="n">
        <v>0</v>
      </c>
      <c r="J610" t="n">
        <v>0</v>
      </c>
      <c r="K610" t="n">
        <v>0</v>
      </c>
      <c r="L610" t="n">
        <v>0</v>
      </c>
      <c r="M610" t="n">
        <v>0</v>
      </c>
      <c r="N610" t="n">
        <v>0</v>
      </c>
      <c r="O610" t="n">
        <v>0</v>
      </c>
      <c r="P610" t="n">
        <v>0</v>
      </c>
      <c r="Q610" t="n">
        <v>0</v>
      </c>
      <c r="R610" s="2" t="inlineStr"/>
    </row>
    <row r="611" ht="15" customHeight="1">
      <c r="A611" t="inlineStr">
        <is>
          <t>A 57728-2020</t>
        </is>
      </c>
      <c r="B611" s="1" t="n">
        <v>44140</v>
      </c>
      <c r="C611" s="1" t="n">
        <v>45831</v>
      </c>
      <c r="D611" t="inlineStr">
        <is>
          <t>JÄMTLANDS LÄN</t>
        </is>
      </c>
      <c r="E611" t="inlineStr">
        <is>
          <t>KROKOM</t>
        </is>
      </c>
      <c r="G611" t="n">
        <v>5</v>
      </c>
      <c r="H611" t="n">
        <v>0</v>
      </c>
      <c r="I611" t="n">
        <v>0</v>
      </c>
      <c r="J611" t="n">
        <v>0</v>
      </c>
      <c r="K611" t="n">
        <v>0</v>
      </c>
      <c r="L611" t="n">
        <v>0</v>
      </c>
      <c r="M611" t="n">
        <v>0</v>
      </c>
      <c r="N611" t="n">
        <v>0</v>
      </c>
      <c r="O611" t="n">
        <v>0</v>
      </c>
      <c r="P611" t="n">
        <v>0</v>
      </c>
      <c r="Q611" t="n">
        <v>0</v>
      </c>
      <c r="R611" s="2" t="inlineStr"/>
    </row>
    <row r="612" ht="15" customHeight="1">
      <c r="A612" t="inlineStr">
        <is>
          <t>A 58378-2020</t>
        </is>
      </c>
      <c r="B612" s="1" t="n">
        <v>44141</v>
      </c>
      <c r="C612" s="1" t="n">
        <v>45831</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58569-2020</t>
        </is>
      </c>
      <c r="B613" s="1" t="n">
        <v>44141</v>
      </c>
      <c r="C613" s="1" t="n">
        <v>45831</v>
      </c>
      <c r="D613" t="inlineStr">
        <is>
          <t>JÄMTLANDS LÄN</t>
        </is>
      </c>
      <c r="E613" t="inlineStr">
        <is>
          <t>KROKOM</t>
        </is>
      </c>
      <c r="G613" t="n">
        <v>52.8</v>
      </c>
      <c r="H613" t="n">
        <v>0</v>
      </c>
      <c r="I613" t="n">
        <v>0</v>
      </c>
      <c r="J613" t="n">
        <v>0</v>
      </c>
      <c r="K613" t="n">
        <v>0</v>
      </c>
      <c r="L613" t="n">
        <v>0</v>
      </c>
      <c r="M613" t="n">
        <v>0</v>
      </c>
      <c r="N613" t="n">
        <v>0</v>
      </c>
      <c r="O613" t="n">
        <v>0</v>
      </c>
      <c r="P613" t="n">
        <v>0</v>
      </c>
      <c r="Q613" t="n">
        <v>0</v>
      </c>
      <c r="R613" s="2" t="inlineStr"/>
    </row>
    <row r="614" ht="15" customHeight="1">
      <c r="A614" t="inlineStr">
        <is>
          <t>A 58868-2020</t>
        </is>
      </c>
      <c r="B614" s="1" t="n">
        <v>44146</v>
      </c>
      <c r="C614" s="1" t="n">
        <v>45831</v>
      </c>
      <c r="D614" t="inlineStr">
        <is>
          <t>JÄMTLANDS LÄN</t>
        </is>
      </c>
      <c r="E614" t="inlineStr">
        <is>
          <t>KROKOM</t>
        </is>
      </c>
      <c r="G614" t="n">
        <v>0.8</v>
      </c>
      <c r="H614" t="n">
        <v>0</v>
      </c>
      <c r="I614" t="n">
        <v>0</v>
      </c>
      <c r="J614" t="n">
        <v>0</v>
      </c>
      <c r="K614" t="n">
        <v>0</v>
      </c>
      <c r="L614" t="n">
        <v>0</v>
      </c>
      <c r="M614" t="n">
        <v>0</v>
      </c>
      <c r="N614" t="n">
        <v>0</v>
      </c>
      <c r="O614" t="n">
        <v>0</v>
      </c>
      <c r="P614" t="n">
        <v>0</v>
      </c>
      <c r="Q614" t="n">
        <v>0</v>
      </c>
      <c r="R614" s="2" t="inlineStr"/>
    </row>
    <row r="615" ht="15" customHeight="1">
      <c r="A615" t="inlineStr">
        <is>
          <t>A 59778-2020</t>
        </is>
      </c>
      <c r="B615" s="1" t="n">
        <v>44148</v>
      </c>
      <c r="C615" s="1" t="n">
        <v>45831</v>
      </c>
      <c r="D615" t="inlineStr">
        <is>
          <t>JÄMTLANDS LÄN</t>
        </is>
      </c>
      <c r="E615" t="inlineStr">
        <is>
          <t>KROKOM</t>
        </is>
      </c>
      <c r="G615" t="n">
        <v>39.3</v>
      </c>
      <c r="H615" t="n">
        <v>0</v>
      </c>
      <c r="I615" t="n">
        <v>0</v>
      </c>
      <c r="J615" t="n">
        <v>0</v>
      </c>
      <c r="K615" t="n">
        <v>0</v>
      </c>
      <c r="L615" t="n">
        <v>0</v>
      </c>
      <c r="M615" t="n">
        <v>0</v>
      </c>
      <c r="N615" t="n">
        <v>0</v>
      </c>
      <c r="O615" t="n">
        <v>0</v>
      </c>
      <c r="P615" t="n">
        <v>0</v>
      </c>
      <c r="Q615" t="n">
        <v>0</v>
      </c>
      <c r="R615" s="2" t="inlineStr"/>
    </row>
    <row r="616" ht="15" customHeight="1">
      <c r="A616" t="inlineStr">
        <is>
          <t>A 59718-2020</t>
        </is>
      </c>
      <c r="B616" s="1" t="n">
        <v>44151</v>
      </c>
      <c r="C616" s="1" t="n">
        <v>45831</v>
      </c>
      <c r="D616" t="inlineStr">
        <is>
          <t>JÄMTLANDS LÄN</t>
        </is>
      </c>
      <c r="E616" t="inlineStr">
        <is>
          <t>KROKOM</t>
        </is>
      </c>
      <c r="G616" t="n">
        <v>3.7</v>
      </c>
      <c r="H616" t="n">
        <v>0</v>
      </c>
      <c r="I616" t="n">
        <v>0</v>
      </c>
      <c r="J616" t="n">
        <v>0</v>
      </c>
      <c r="K616" t="n">
        <v>0</v>
      </c>
      <c r="L616" t="n">
        <v>0</v>
      </c>
      <c r="M616" t="n">
        <v>0</v>
      </c>
      <c r="N616" t="n">
        <v>0</v>
      </c>
      <c r="O616" t="n">
        <v>0</v>
      </c>
      <c r="P616" t="n">
        <v>0</v>
      </c>
      <c r="Q616" t="n">
        <v>0</v>
      </c>
      <c r="R616" s="2" t="inlineStr"/>
    </row>
    <row r="617" ht="15" customHeight="1">
      <c r="A617" t="inlineStr">
        <is>
          <t>A 59706-2020</t>
        </is>
      </c>
      <c r="B617" s="1" t="n">
        <v>44151</v>
      </c>
      <c r="C617" s="1" t="n">
        <v>45831</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61091-2020</t>
        </is>
      </c>
      <c r="B618" s="1" t="n">
        <v>44153</v>
      </c>
      <c r="C618" s="1" t="n">
        <v>45831</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61609-2020</t>
        </is>
      </c>
      <c r="B619" s="1" t="n">
        <v>44154</v>
      </c>
      <c r="C619" s="1" t="n">
        <v>45831</v>
      </c>
      <c r="D619" t="inlineStr">
        <is>
          <t>JÄMTLANDS LÄN</t>
        </is>
      </c>
      <c r="E619" t="inlineStr">
        <is>
          <t>KROKOM</t>
        </is>
      </c>
      <c r="G619" t="n">
        <v>6.4</v>
      </c>
      <c r="H619" t="n">
        <v>0</v>
      </c>
      <c r="I619" t="n">
        <v>0</v>
      </c>
      <c r="J619" t="n">
        <v>0</v>
      </c>
      <c r="K619" t="n">
        <v>0</v>
      </c>
      <c r="L619" t="n">
        <v>0</v>
      </c>
      <c r="M619" t="n">
        <v>0</v>
      </c>
      <c r="N619" t="n">
        <v>0</v>
      </c>
      <c r="O619" t="n">
        <v>0</v>
      </c>
      <c r="P619" t="n">
        <v>0</v>
      </c>
      <c r="Q619" t="n">
        <v>0</v>
      </c>
      <c r="R619" s="2" t="inlineStr"/>
    </row>
    <row r="620" ht="15" customHeight="1">
      <c r="A620" t="inlineStr">
        <is>
          <t>A 60928-2020</t>
        </is>
      </c>
      <c r="B620" s="1" t="n">
        <v>44154</v>
      </c>
      <c r="C620" s="1" t="n">
        <v>45831</v>
      </c>
      <c r="D620" t="inlineStr">
        <is>
          <t>JÄMTLANDS LÄN</t>
        </is>
      </c>
      <c r="E620" t="inlineStr">
        <is>
          <t>KROKOM</t>
        </is>
      </c>
      <c r="G620" t="n">
        <v>2.5</v>
      </c>
      <c r="H620" t="n">
        <v>0</v>
      </c>
      <c r="I620" t="n">
        <v>0</v>
      </c>
      <c r="J620" t="n">
        <v>0</v>
      </c>
      <c r="K620" t="n">
        <v>0</v>
      </c>
      <c r="L620" t="n">
        <v>0</v>
      </c>
      <c r="M620" t="n">
        <v>0</v>
      </c>
      <c r="N620" t="n">
        <v>0</v>
      </c>
      <c r="O620" t="n">
        <v>0</v>
      </c>
      <c r="P620" t="n">
        <v>0</v>
      </c>
      <c r="Q620" t="n">
        <v>0</v>
      </c>
      <c r="R620" s="2" t="inlineStr"/>
    </row>
    <row r="621" ht="15" customHeight="1">
      <c r="A621" t="inlineStr">
        <is>
          <t>A 62406-2020</t>
        </is>
      </c>
      <c r="B621" s="1" t="n">
        <v>44159</v>
      </c>
      <c r="C621" s="1" t="n">
        <v>45831</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63821-2020</t>
        </is>
      </c>
      <c r="B622" s="1" t="n">
        <v>44161</v>
      </c>
      <c r="C622" s="1" t="n">
        <v>45831</v>
      </c>
      <c r="D622" t="inlineStr">
        <is>
          <t>JÄMTLANDS LÄN</t>
        </is>
      </c>
      <c r="E622" t="inlineStr">
        <is>
          <t>KROKOM</t>
        </is>
      </c>
      <c r="G622" t="n">
        <v>6.8</v>
      </c>
      <c r="H622" t="n">
        <v>0</v>
      </c>
      <c r="I622" t="n">
        <v>0</v>
      </c>
      <c r="J622" t="n">
        <v>0</v>
      </c>
      <c r="K622" t="n">
        <v>0</v>
      </c>
      <c r="L622" t="n">
        <v>0</v>
      </c>
      <c r="M622" t="n">
        <v>0</v>
      </c>
      <c r="N622" t="n">
        <v>0</v>
      </c>
      <c r="O622" t="n">
        <v>0</v>
      </c>
      <c r="P622" t="n">
        <v>0</v>
      </c>
      <c r="Q622" t="n">
        <v>0</v>
      </c>
      <c r="R622" s="2" t="inlineStr"/>
    </row>
    <row r="623" ht="15" customHeight="1">
      <c r="A623" t="inlineStr">
        <is>
          <t>A 63701-2020</t>
        </is>
      </c>
      <c r="B623" s="1" t="n">
        <v>44162</v>
      </c>
      <c r="C623" s="1" t="n">
        <v>45831</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63787-2020</t>
        </is>
      </c>
      <c r="B624" s="1" t="n">
        <v>44162</v>
      </c>
      <c r="C624" s="1" t="n">
        <v>45831</v>
      </c>
      <c r="D624" t="inlineStr">
        <is>
          <t>JÄMTLANDS LÄN</t>
        </is>
      </c>
      <c r="E624" t="inlineStr">
        <is>
          <t>KROKOM</t>
        </is>
      </c>
      <c r="G624" t="n">
        <v>60.3</v>
      </c>
      <c r="H624" t="n">
        <v>0</v>
      </c>
      <c r="I624" t="n">
        <v>0</v>
      </c>
      <c r="J624" t="n">
        <v>0</v>
      </c>
      <c r="K624" t="n">
        <v>0</v>
      </c>
      <c r="L624" t="n">
        <v>0</v>
      </c>
      <c r="M624" t="n">
        <v>0</v>
      </c>
      <c r="N624" t="n">
        <v>0</v>
      </c>
      <c r="O624" t="n">
        <v>0</v>
      </c>
      <c r="P624" t="n">
        <v>0</v>
      </c>
      <c r="Q624" t="n">
        <v>0</v>
      </c>
      <c r="R624" s="2" t="inlineStr"/>
    </row>
    <row r="625" ht="15" customHeight="1">
      <c r="A625" t="inlineStr">
        <is>
          <t>A 64777-2020</t>
        </is>
      </c>
      <c r="B625" s="1" t="n">
        <v>44167</v>
      </c>
      <c r="C625" s="1" t="n">
        <v>45831</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65433-2020</t>
        </is>
      </c>
      <c r="B626" s="1" t="n">
        <v>44169</v>
      </c>
      <c r="C626" s="1" t="n">
        <v>45831</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65451-2020</t>
        </is>
      </c>
      <c r="B627" s="1" t="n">
        <v>44169</v>
      </c>
      <c r="C627" s="1" t="n">
        <v>45831</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65787-2020</t>
        </is>
      </c>
      <c r="B628" s="1" t="n">
        <v>44172</v>
      </c>
      <c r="C628" s="1" t="n">
        <v>45831</v>
      </c>
      <c r="D628" t="inlineStr">
        <is>
          <t>JÄMTLANDS LÄN</t>
        </is>
      </c>
      <c r="E628" t="inlineStr">
        <is>
          <t>KROKOM</t>
        </is>
      </c>
      <c r="G628" t="n">
        <v>5.8</v>
      </c>
      <c r="H628" t="n">
        <v>0</v>
      </c>
      <c r="I628" t="n">
        <v>0</v>
      </c>
      <c r="J628" t="n">
        <v>0</v>
      </c>
      <c r="K628" t="n">
        <v>0</v>
      </c>
      <c r="L628" t="n">
        <v>0</v>
      </c>
      <c r="M628" t="n">
        <v>0</v>
      </c>
      <c r="N628" t="n">
        <v>0</v>
      </c>
      <c r="O628" t="n">
        <v>0</v>
      </c>
      <c r="P628" t="n">
        <v>0</v>
      </c>
      <c r="Q628" t="n">
        <v>0</v>
      </c>
      <c r="R628" s="2" t="inlineStr"/>
    </row>
    <row r="629" ht="15" customHeight="1">
      <c r="A629" t="inlineStr">
        <is>
          <t>A 65783-2020</t>
        </is>
      </c>
      <c r="B629" s="1" t="n">
        <v>44172</v>
      </c>
      <c r="C629" s="1" t="n">
        <v>45831</v>
      </c>
      <c r="D629" t="inlineStr">
        <is>
          <t>JÄMTLANDS LÄN</t>
        </is>
      </c>
      <c r="E629" t="inlineStr">
        <is>
          <t>KROKOM</t>
        </is>
      </c>
      <c r="G629" t="n">
        <v>3.8</v>
      </c>
      <c r="H629" t="n">
        <v>0</v>
      </c>
      <c r="I629" t="n">
        <v>0</v>
      </c>
      <c r="J629" t="n">
        <v>0</v>
      </c>
      <c r="K629" t="n">
        <v>0</v>
      </c>
      <c r="L629" t="n">
        <v>0</v>
      </c>
      <c r="M629" t="n">
        <v>0</v>
      </c>
      <c r="N629" t="n">
        <v>0</v>
      </c>
      <c r="O629" t="n">
        <v>0</v>
      </c>
      <c r="P629" t="n">
        <v>0</v>
      </c>
      <c r="Q629" t="n">
        <v>0</v>
      </c>
      <c r="R629" s="2" t="inlineStr"/>
    </row>
    <row r="630" ht="15" customHeight="1">
      <c r="A630" t="inlineStr">
        <is>
          <t>A 65316-2020</t>
        </is>
      </c>
      <c r="B630" s="1" t="n">
        <v>44173</v>
      </c>
      <c r="C630" s="1" t="n">
        <v>45831</v>
      </c>
      <c r="D630" t="inlineStr">
        <is>
          <t>JÄMTLANDS LÄN</t>
        </is>
      </c>
      <c r="E630" t="inlineStr">
        <is>
          <t>KROKOM</t>
        </is>
      </c>
      <c r="F630" t="inlineStr">
        <is>
          <t>Övriga Aktiebolag</t>
        </is>
      </c>
      <c r="G630" t="n">
        <v>12.5</v>
      </c>
      <c r="H630" t="n">
        <v>0</v>
      </c>
      <c r="I630" t="n">
        <v>0</v>
      </c>
      <c r="J630" t="n">
        <v>0</v>
      </c>
      <c r="K630" t="n">
        <v>0</v>
      </c>
      <c r="L630" t="n">
        <v>0</v>
      </c>
      <c r="M630" t="n">
        <v>0</v>
      </c>
      <c r="N630" t="n">
        <v>0</v>
      </c>
      <c r="O630" t="n">
        <v>0</v>
      </c>
      <c r="P630" t="n">
        <v>0</v>
      </c>
      <c r="Q630" t="n">
        <v>0</v>
      </c>
      <c r="R630" s="2" t="inlineStr"/>
    </row>
    <row r="631" ht="15" customHeight="1">
      <c r="A631" t="inlineStr">
        <is>
          <t>A 66784-2020</t>
        </is>
      </c>
      <c r="B631" s="1" t="n">
        <v>44175</v>
      </c>
      <c r="C631" s="1" t="n">
        <v>45831</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66774-2020</t>
        </is>
      </c>
      <c r="B632" s="1" t="n">
        <v>44175</v>
      </c>
      <c r="C632" s="1" t="n">
        <v>45831</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67730-2020</t>
        </is>
      </c>
      <c r="B633" s="1" t="n">
        <v>44179</v>
      </c>
      <c r="C633" s="1" t="n">
        <v>45831</v>
      </c>
      <c r="D633" t="inlineStr">
        <is>
          <t>JÄMTLANDS LÄN</t>
        </is>
      </c>
      <c r="E633" t="inlineStr">
        <is>
          <t>KROKOM</t>
        </is>
      </c>
      <c r="G633" t="n">
        <v>7.5</v>
      </c>
      <c r="H633" t="n">
        <v>0</v>
      </c>
      <c r="I633" t="n">
        <v>0</v>
      </c>
      <c r="J633" t="n">
        <v>0</v>
      </c>
      <c r="K633" t="n">
        <v>0</v>
      </c>
      <c r="L633" t="n">
        <v>0</v>
      </c>
      <c r="M633" t="n">
        <v>0</v>
      </c>
      <c r="N633" t="n">
        <v>0</v>
      </c>
      <c r="O633" t="n">
        <v>0</v>
      </c>
      <c r="P633" t="n">
        <v>0</v>
      </c>
      <c r="Q633" t="n">
        <v>0</v>
      </c>
      <c r="R633" s="2" t="inlineStr"/>
    </row>
    <row r="634" ht="15" customHeight="1">
      <c r="A634" t="inlineStr">
        <is>
          <t>A 68060-2020</t>
        </is>
      </c>
      <c r="B634" s="1" t="n">
        <v>44183</v>
      </c>
      <c r="C634" s="1" t="n">
        <v>45831</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68387-2020</t>
        </is>
      </c>
      <c r="B635" s="1" t="n">
        <v>44183</v>
      </c>
      <c r="C635" s="1" t="n">
        <v>45831</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68393-2020</t>
        </is>
      </c>
      <c r="B636" s="1" t="n">
        <v>44183</v>
      </c>
      <c r="C636" s="1" t="n">
        <v>45831</v>
      </c>
      <c r="D636" t="inlineStr">
        <is>
          <t>JÄMTLANDS LÄN</t>
        </is>
      </c>
      <c r="E636" t="inlineStr">
        <is>
          <t>KROKOM</t>
        </is>
      </c>
      <c r="G636" t="n">
        <v>0.4</v>
      </c>
      <c r="H636" t="n">
        <v>0</v>
      </c>
      <c r="I636" t="n">
        <v>0</v>
      </c>
      <c r="J636" t="n">
        <v>0</v>
      </c>
      <c r="K636" t="n">
        <v>0</v>
      </c>
      <c r="L636" t="n">
        <v>0</v>
      </c>
      <c r="M636" t="n">
        <v>0</v>
      </c>
      <c r="N636" t="n">
        <v>0</v>
      </c>
      <c r="O636" t="n">
        <v>0</v>
      </c>
      <c r="P636" t="n">
        <v>0</v>
      </c>
      <c r="Q636" t="n">
        <v>0</v>
      </c>
      <c r="R636" s="2" t="inlineStr"/>
    </row>
    <row r="637" ht="15" customHeight="1">
      <c r="A637" t="inlineStr">
        <is>
          <t>A 68433-2020</t>
        </is>
      </c>
      <c r="B637" s="1" t="n">
        <v>44183</v>
      </c>
      <c r="C637" s="1" t="n">
        <v>45831</v>
      </c>
      <c r="D637" t="inlineStr">
        <is>
          <t>JÄMTLANDS LÄN</t>
        </is>
      </c>
      <c r="E637" t="inlineStr">
        <is>
          <t>KROKOM</t>
        </is>
      </c>
      <c r="G637" t="n">
        <v>7.4</v>
      </c>
      <c r="H637" t="n">
        <v>0</v>
      </c>
      <c r="I637" t="n">
        <v>0</v>
      </c>
      <c r="J637" t="n">
        <v>0</v>
      </c>
      <c r="K637" t="n">
        <v>0</v>
      </c>
      <c r="L637" t="n">
        <v>0</v>
      </c>
      <c r="M637" t="n">
        <v>0</v>
      </c>
      <c r="N637" t="n">
        <v>0</v>
      </c>
      <c r="O637" t="n">
        <v>0</v>
      </c>
      <c r="P637" t="n">
        <v>0</v>
      </c>
      <c r="Q637" t="n">
        <v>0</v>
      </c>
      <c r="R637" s="2" t="inlineStr"/>
    </row>
    <row r="638" ht="15" customHeight="1">
      <c r="A638" t="inlineStr">
        <is>
          <t>A 68395-2020</t>
        </is>
      </c>
      <c r="B638" s="1" t="n">
        <v>44183</v>
      </c>
      <c r="C638" s="1" t="n">
        <v>45831</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45831</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68764-2020</t>
        </is>
      </c>
      <c r="B640" s="1" t="n">
        <v>44186</v>
      </c>
      <c r="C640" s="1" t="n">
        <v>45831</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69120-2020</t>
        </is>
      </c>
      <c r="B641" s="1" t="n">
        <v>44188</v>
      </c>
      <c r="C641" s="1" t="n">
        <v>45831</v>
      </c>
      <c r="D641" t="inlineStr">
        <is>
          <t>JÄMTLANDS LÄN</t>
        </is>
      </c>
      <c r="E641" t="inlineStr">
        <is>
          <t>KROKOM</t>
        </is>
      </c>
      <c r="G641" t="n">
        <v>4.1</v>
      </c>
      <c r="H641" t="n">
        <v>0</v>
      </c>
      <c r="I641" t="n">
        <v>0</v>
      </c>
      <c r="J641" t="n">
        <v>0</v>
      </c>
      <c r="K641" t="n">
        <v>0</v>
      </c>
      <c r="L641" t="n">
        <v>0</v>
      </c>
      <c r="M641" t="n">
        <v>0</v>
      </c>
      <c r="N641" t="n">
        <v>0</v>
      </c>
      <c r="O641" t="n">
        <v>0</v>
      </c>
      <c r="P641" t="n">
        <v>0</v>
      </c>
      <c r="Q641" t="n">
        <v>0</v>
      </c>
      <c r="R641" s="2" t="inlineStr"/>
    </row>
    <row r="642" ht="15" customHeight="1">
      <c r="A642" t="inlineStr">
        <is>
          <t>A 327-2021</t>
        </is>
      </c>
      <c r="B642" s="1" t="n">
        <v>44200</v>
      </c>
      <c r="C642" s="1" t="n">
        <v>45831</v>
      </c>
      <c r="D642" t="inlineStr">
        <is>
          <t>JÄMTLANDS LÄN</t>
        </is>
      </c>
      <c r="E642" t="inlineStr">
        <is>
          <t>KROKOM</t>
        </is>
      </c>
      <c r="G642" t="n">
        <v>0.2</v>
      </c>
      <c r="H642" t="n">
        <v>0</v>
      </c>
      <c r="I642" t="n">
        <v>0</v>
      </c>
      <c r="J642" t="n">
        <v>0</v>
      </c>
      <c r="K642" t="n">
        <v>0</v>
      </c>
      <c r="L642" t="n">
        <v>0</v>
      </c>
      <c r="M642" t="n">
        <v>0</v>
      </c>
      <c r="N642" t="n">
        <v>0</v>
      </c>
      <c r="O642" t="n">
        <v>0</v>
      </c>
      <c r="P642" t="n">
        <v>0</v>
      </c>
      <c r="Q642" t="n">
        <v>0</v>
      </c>
      <c r="R642" s="2" t="inlineStr"/>
    </row>
    <row r="643" ht="15" customHeight="1">
      <c r="A643" t="inlineStr">
        <is>
          <t>A 688-2021</t>
        </is>
      </c>
      <c r="B643" s="1" t="n">
        <v>44203</v>
      </c>
      <c r="C643" s="1" t="n">
        <v>45831</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884-2021</t>
        </is>
      </c>
      <c r="B644" s="1" t="n">
        <v>44206</v>
      </c>
      <c r="C644" s="1" t="n">
        <v>45831</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913-2021</t>
        </is>
      </c>
      <c r="B645" s="1" t="n">
        <v>44207</v>
      </c>
      <c r="C645" s="1" t="n">
        <v>45831</v>
      </c>
      <c r="D645" t="inlineStr">
        <is>
          <t>JÄMTLANDS LÄN</t>
        </is>
      </c>
      <c r="E645" t="inlineStr">
        <is>
          <t>KROKOM</t>
        </is>
      </c>
      <c r="F645" t="inlineStr">
        <is>
          <t>Övriga Aktiebolag</t>
        </is>
      </c>
      <c r="G645" t="n">
        <v>50.8</v>
      </c>
      <c r="H645" t="n">
        <v>0</v>
      </c>
      <c r="I645" t="n">
        <v>0</v>
      </c>
      <c r="J645" t="n">
        <v>0</v>
      </c>
      <c r="K645" t="n">
        <v>0</v>
      </c>
      <c r="L645" t="n">
        <v>0</v>
      </c>
      <c r="M645" t="n">
        <v>0</v>
      </c>
      <c r="N645" t="n">
        <v>0</v>
      </c>
      <c r="O645" t="n">
        <v>0</v>
      </c>
      <c r="P645" t="n">
        <v>0</v>
      </c>
      <c r="Q645" t="n">
        <v>0</v>
      </c>
      <c r="R645" s="2" t="inlineStr"/>
    </row>
    <row r="646" ht="15" customHeight="1">
      <c r="A646" t="inlineStr">
        <is>
          <t>A 981-2021</t>
        </is>
      </c>
      <c r="B646" s="1" t="n">
        <v>44207</v>
      </c>
      <c r="C646" s="1" t="n">
        <v>45831</v>
      </c>
      <c r="D646" t="inlineStr">
        <is>
          <t>JÄMTLANDS LÄN</t>
        </is>
      </c>
      <c r="E646" t="inlineStr">
        <is>
          <t>KROKOM</t>
        </is>
      </c>
      <c r="G646" t="n">
        <v>3.5</v>
      </c>
      <c r="H646" t="n">
        <v>0</v>
      </c>
      <c r="I646" t="n">
        <v>0</v>
      </c>
      <c r="J646" t="n">
        <v>0</v>
      </c>
      <c r="K646" t="n">
        <v>0</v>
      </c>
      <c r="L646" t="n">
        <v>0</v>
      </c>
      <c r="M646" t="n">
        <v>0</v>
      </c>
      <c r="N646" t="n">
        <v>0</v>
      </c>
      <c r="O646" t="n">
        <v>0</v>
      </c>
      <c r="P646" t="n">
        <v>0</v>
      </c>
      <c r="Q646" t="n">
        <v>0</v>
      </c>
      <c r="R646" s="2" t="inlineStr"/>
    </row>
    <row r="647" ht="15" customHeight="1">
      <c r="A647" t="inlineStr">
        <is>
          <t>A 915-2021</t>
        </is>
      </c>
      <c r="B647" s="1" t="n">
        <v>44207</v>
      </c>
      <c r="C647" s="1" t="n">
        <v>45831</v>
      </c>
      <c r="D647" t="inlineStr">
        <is>
          <t>JÄMTLANDS LÄN</t>
        </is>
      </c>
      <c r="E647" t="inlineStr">
        <is>
          <t>KROKOM</t>
        </is>
      </c>
      <c r="F647" t="inlineStr">
        <is>
          <t>Övriga Aktiebolag</t>
        </is>
      </c>
      <c r="G647" t="n">
        <v>107.9</v>
      </c>
      <c r="H647" t="n">
        <v>0</v>
      </c>
      <c r="I647" t="n">
        <v>0</v>
      </c>
      <c r="J647" t="n">
        <v>0</v>
      </c>
      <c r="K647" t="n">
        <v>0</v>
      </c>
      <c r="L647" t="n">
        <v>0</v>
      </c>
      <c r="M647" t="n">
        <v>0</v>
      </c>
      <c r="N647" t="n">
        <v>0</v>
      </c>
      <c r="O647" t="n">
        <v>0</v>
      </c>
      <c r="P647" t="n">
        <v>0</v>
      </c>
      <c r="Q647" t="n">
        <v>0</v>
      </c>
      <c r="R647" s="2" t="inlineStr"/>
    </row>
    <row r="648" ht="15" customHeight="1">
      <c r="A648" t="inlineStr">
        <is>
          <t>A 1287-2021</t>
        </is>
      </c>
      <c r="B648" s="1" t="n">
        <v>44207</v>
      </c>
      <c r="C648" s="1" t="n">
        <v>45831</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1696-2021</t>
        </is>
      </c>
      <c r="B649" s="1" t="n">
        <v>44209</v>
      </c>
      <c r="C649" s="1" t="n">
        <v>45831</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1718-2021</t>
        </is>
      </c>
      <c r="B650" s="1" t="n">
        <v>44209</v>
      </c>
      <c r="C650" s="1" t="n">
        <v>45831</v>
      </c>
      <c r="D650" t="inlineStr">
        <is>
          <t>JÄMTLANDS LÄN</t>
        </is>
      </c>
      <c r="E650" t="inlineStr">
        <is>
          <t>KROKOM</t>
        </is>
      </c>
      <c r="G650" t="n">
        <v>8</v>
      </c>
      <c r="H650" t="n">
        <v>0</v>
      </c>
      <c r="I650" t="n">
        <v>0</v>
      </c>
      <c r="J650" t="n">
        <v>0</v>
      </c>
      <c r="K650" t="n">
        <v>0</v>
      </c>
      <c r="L650" t="n">
        <v>0</v>
      </c>
      <c r="M650" t="n">
        <v>0</v>
      </c>
      <c r="N650" t="n">
        <v>0</v>
      </c>
      <c r="O650" t="n">
        <v>0</v>
      </c>
      <c r="P650" t="n">
        <v>0</v>
      </c>
      <c r="Q650" t="n">
        <v>0</v>
      </c>
      <c r="R650" s="2" t="inlineStr"/>
    </row>
    <row r="651" ht="15" customHeight="1">
      <c r="A651" t="inlineStr">
        <is>
          <t>A 1753-2021</t>
        </is>
      </c>
      <c r="B651" s="1" t="n">
        <v>44209</v>
      </c>
      <c r="C651" s="1" t="n">
        <v>45831</v>
      </c>
      <c r="D651" t="inlineStr">
        <is>
          <t>JÄMTLANDS LÄN</t>
        </is>
      </c>
      <c r="E651" t="inlineStr">
        <is>
          <t>KROKOM</t>
        </is>
      </c>
      <c r="G651" t="n">
        <v>17.2</v>
      </c>
      <c r="H651" t="n">
        <v>0</v>
      </c>
      <c r="I651" t="n">
        <v>0</v>
      </c>
      <c r="J651" t="n">
        <v>0</v>
      </c>
      <c r="K651" t="n">
        <v>0</v>
      </c>
      <c r="L651" t="n">
        <v>0</v>
      </c>
      <c r="M651" t="n">
        <v>0</v>
      </c>
      <c r="N651" t="n">
        <v>0</v>
      </c>
      <c r="O651" t="n">
        <v>0</v>
      </c>
      <c r="P651" t="n">
        <v>0</v>
      </c>
      <c r="Q651" t="n">
        <v>0</v>
      </c>
      <c r="R651" s="2" t="inlineStr"/>
    </row>
    <row r="652" ht="15" customHeight="1">
      <c r="A652" t="inlineStr">
        <is>
          <t>A 1756-2021</t>
        </is>
      </c>
      <c r="B652" s="1" t="n">
        <v>44209</v>
      </c>
      <c r="C652" s="1" t="n">
        <v>45831</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2062-2021</t>
        </is>
      </c>
      <c r="B653" s="1" t="n">
        <v>44211</v>
      </c>
      <c r="C653" s="1" t="n">
        <v>45831</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2356-2021</t>
        </is>
      </c>
      <c r="B654" s="1" t="n">
        <v>44214</v>
      </c>
      <c r="C654" s="1" t="n">
        <v>45831</v>
      </c>
      <c r="D654" t="inlineStr">
        <is>
          <t>JÄMTLANDS LÄN</t>
        </is>
      </c>
      <c r="E654" t="inlineStr">
        <is>
          <t>KROKOM</t>
        </is>
      </c>
      <c r="G654" t="n">
        <v>22.6</v>
      </c>
      <c r="H654" t="n">
        <v>0</v>
      </c>
      <c r="I654" t="n">
        <v>0</v>
      </c>
      <c r="J654" t="n">
        <v>0</v>
      </c>
      <c r="K654" t="n">
        <v>0</v>
      </c>
      <c r="L654" t="n">
        <v>0</v>
      </c>
      <c r="M654" t="n">
        <v>0</v>
      </c>
      <c r="N654" t="n">
        <v>0</v>
      </c>
      <c r="O654" t="n">
        <v>0</v>
      </c>
      <c r="P654" t="n">
        <v>0</v>
      </c>
      <c r="Q654" t="n">
        <v>0</v>
      </c>
      <c r="R654" s="2" t="inlineStr"/>
    </row>
    <row r="655" ht="15" customHeight="1">
      <c r="A655" t="inlineStr">
        <is>
          <t>A 2410-2021</t>
        </is>
      </c>
      <c r="B655" s="1" t="n">
        <v>44214</v>
      </c>
      <c r="C655" s="1" t="n">
        <v>45831</v>
      </c>
      <c r="D655" t="inlineStr">
        <is>
          <t>JÄMTLANDS LÄN</t>
        </is>
      </c>
      <c r="E655" t="inlineStr">
        <is>
          <t>KROKOM</t>
        </is>
      </c>
      <c r="G655" t="n">
        <v>32.7</v>
      </c>
      <c r="H655" t="n">
        <v>0</v>
      </c>
      <c r="I655" t="n">
        <v>0</v>
      </c>
      <c r="J655" t="n">
        <v>0</v>
      </c>
      <c r="K655" t="n">
        <v>0</v>
      </c>
      <c r="L655" t="n">
        <v>0</v>
      </c>
      <c r="M655" t="n">
        <v>0</v>
      </c>
      <c r="N655" t="n">
        <v>0</v>
      </c>
      <c r="O655" t="n">
        <v>0</v>
      </c>
      <c r="P655" t="n">
        <v>0</v>
      </c>
      <c r="Q655" t="n">
        <v>0</v>
      </c>
      <c r="R655" s="2" t="inlineStr"/>
    </row>
    <row r="656" ht="15" customHeight="1">
      <c r="A656" t="inlineStr">
        <is>
          <t>A 2427-2021</t>
        </is>
      </c>
      <c r="B656" s="1" t="n">
        <v>44214</v>
      </c>
      <c r="C656" s="1" t="n">
        <v>45831</v>
      </c>
      <c r="D656" t="inlineStr">
        <is>
          <t>JÄMTLANDS LÄN</t>
        </is>
      </c>
      <c r="E656" t="inlineStr">
        <is>
          <t>KROKOM</t>
        </is>
      </c>
      <c r="G656" t="n">
        <v>20.5</v>
      </c>
      <c r="H656" t="n">
        <v>0</v>
      </c>
      <c r="I656" t="n">
        <v>0</v>
      </c>
      <c r="J656" t="n">
        <v>0</v>
      </c>
      <c r="K656" t="n">
        <v>0</v>
      </c>
      <c r="L656" t="n">
        <v>0</v>
      </c>
      <c r="M656" t="n">
        <v>0</v>
      </c>
      <c r="N656" t="n">
        <v>0</v>
      </c>
      <c r="O656" t="n">
        <v>0</v>
      </c>
      <c r="P656" t="n">
        <v>0</v>
      </c>
      <c r="Q656" t="n">
        <v>0</v>
      </c>
      <c r="R656" s="2" t="inlineStr"/>
    </row>
    <row r="657" ht="15" customHeight="1">
      <c r="A657" t="inlineStr">
        <is>
          <t>A 2442-2021</t>
        </is>
      </c>
      <c r="B657" s="1" t="n">
        <v>44214</v>
      </c>
      <c r="C657" s="1" t="n">
        <v>45831</v>
      </c>
      <c r="D657" t="inlineStr">
        <is>
          <t>JÄMTLANDS LÄN</t>
        </is>
      </c>
      <c r="E657" t="inlineStr">
        <is>
          <t>KROKOM</t>
        </is>
      </c>
      <c r="G657" t="n">
        <v>25.4</v>
      </c>
      <c r="H657" t="n">
        <v>0</v>
      </c>
      <c r="I657" t="n">
        <v>0</v>
      </c>
      <c r="J657" t="n">
        <v>0</v>
      </c>
      <c r="K657" t="n">
        <v>0</v>
      </c>
      <c r="L657" t="n">
        <v>0</v>
      </c>
      <c r="M657" t="n">
        <v>0</v>
      </c>
      <c r="N657" t="n">
        <v>0</v>
      </c>
      <c r="O657" t="n">
        <v>0</v>
      </c>
      <c r="P657" t="n">
        <v>0</v>
      </c>
      <c r="Q657" t="n">
        <v>0</v>
      </c>
      <c r="R657" s="2" t="inlineStr"/>
    </row>
    <row r="658" ht="15" customHeight="1">
      <c r="A658" t="inlineStr">
        <is>
          <t>A 2451-2021</t>
        </is>
      </c>
      <c r="B658" s="1" t="n">
        <v>44214</v>
      </c>
      <c r="C658" s="1" t="n">
        <v>45831</v>
      </c>
      <c r="D658" t="inlineStr">
        <is>
          <t>JÄMTLANDS LÄN</t>
        </is>
      </c>
      <c r="E658" t="inlineStr">
        <is>
          <t>KROKOM</t>
        </is>
      </c>
      <c r="G658" t="n">
        <v>29.5</v>
      </c>
      <c r="H658" t="n">
        <v>0</v>
      </c>
      <c r="I658" t="n">
        <v>0</v>
      </c>
      <c r="J658" t="n">
        <v>0</v>
      </c>
      <c r="K658" t="n">
        <v>0</v>
      </c>
      <c r="L658" t="n">
        <v>0</v>
      </c>
      <c r="M658" t="n">
        <v>0</v>
      </c>
      <c r="N658" t="n">
        <v>0</v>
      </c>
      <c r="O658" t="n">
        <v>0</v>
      </c>
      <c r="P658" t="n">
        <v>0</v>
      </c>
      <c r="Q658" t="n">
        <v>0</v>
      </c>
      <c r="R658" s="2" t="inlineStr"/>
    </row>
    <row r="659" ht="15" customHeight="1">
      <c r="A659" t="inlineStr">
        <is>
          <t>A 2568-2021</t>
        </is>
      </c>
      <c r="B659" s="1" t="n">
        <v>44214</v>
      </c>
      <c r="C659" s="1" t="n">
        <v>45831</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5422-2021</t>
        </is>
      </c>
      <c r="B660" s="1" t="n">
        <v>44228</v>
      </c>
      <c r="C660" s="1" t="n">
        <v>45831</v>
      </c>
      <c r="D660" t="inlineStr">
        <is>
          <t>JÄMTLANDS LÄN</t>
        </is>
      </c>
      <c r="E660" t="inlineStr">
        <is>
          <t>KROKOM</t>
        </is>
      </c>
      <c r="G660" t="n">
        <v>11</v>
      </c>
      <c r="H660" t="n">
        <v>0</v>
      </c>
      <c r="I660" t="n">
        <v>0</v>
      </c>
      <c r="J660" t="n">
        <v>0</v>
      </c>
      <c r="K660" t="n">
        <v>0</v>
      </c>
      <c r="L660" t="n">
        <v>0</v>
      </c>
      <c r="M660" t="n">
        <v>0</v>
      </c>
      <c r="N660" t="n">
        <v>0</v>
      </c>
      <c r="O660" t="n">
        <v>0</v>
      </c>
      <c r="P660" t="n">
        <v>0</v>
      </c>
      <c r="Q660" t="n">
        <v>0</v>
      </c>
      <c r="R660" s="2" t="inlineStr"/>
    </row>
    <row r="661" ht="15" customHeight="1">
      <c r="A661" t="inlineStr">
        <is>
          <t>A 8154-2021</t>
        </is>
      </c>
      <c r="B661" s="1" t="n">
        <v>44243</v>
      </c>
      <c r="C661" s="1" t="n">
        <v>45831</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8302-2021</t>
        </is>
      </c>
      <c r="B662" s="1" t="n">
        <v>44244</v>
      </c>
      <c r="C662" s="1" t="n">
        <v>45831</v>
      </c>
      <c r="D662" t="inlineStr">
        <is>
          <t>JÄMTLANDS LÄN</t>
        </is>
      </c>
      <c r="E662" t="inlineStr">
        <is>
          <t>KROKOM</t>
        </is>
      </c>
      <c r="G662" t="n">
        <v>2.1</v>
      </c>
      <c r="H662" t="n">
        <v>0</v>
      </c>
      <c r="I662" t="n">
        <v>0</v>
      </c>
      <c r="J662" t="n">
        <v>0</v>
      </c>
      <c r="K662" t="n">
        <v>0</v>
      </c>
      <c r="L662" t="n">
        <v>0</v>
      </c>
      <c r="M662" t="n">
        <v>0</v>
      </c>
      <c r="N662" t="n">
        <v>0</v>
      </c>
      <c r="O662" t="n">
        <v>0</v>
      </c>
      <c r="P662" t="n">
        <v>0</v>
      </c>
      <c r="Q662" t="n">
        <v>0</v>
      </c>
      <c r="R662" s="2" t="inlineStr"/>
    </row>
    <row r="663" ht="15" customHeight="1">
      <c r="A663" t="inlineStr">
        <is>
          <t>A 10008-2021</t>
        </is>
      </c>
      <c r="B663" s="1" t="n">
        <v>44255</v>
      </c>
      <c r="C663" s="1" t="n">
        <v>45831</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10303-2021</t>
        </is>
      </c>
      <c r="B664" s="1" t="n">
        <v>44256</v>
      </c>
      <c r="C664" s="1" t="n">
        <v>45831</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11117-2021</t>
        </is>
      </c>
      <c r="B665" s="1" t="n">
        <v>44260</v>
      </c>
      <c r="C665" s="1" t="n">
        <v>45831</v>
      </c>
      <c r="D665" t="inlineStr">
        <is>
          <t>JÄMTLANDS LÄN</t>
        </is>
      </c>
      <c r="E665" t="inlineStr">
        <is>
          <t>KROKOM</t>
        </is>
      </c>
      <c r="G665" t="n">
        <v>8</v>
      </c>
      <c r="H665" t="n">
        <v>0</v>
      </c>
      <c r="I665" t="n">
        <v>0</v>
      </c>
      <c r="J665" t="n">
        <v>0</v>
      </c>
      <c r="K665" t="n">
        <v>0</v>
      </c>
      <c r="L665" t="n">
        <v>0</v>
      </c>
      <c r="M665" t="n">
        <v>0</v>
      </c>
      <c r="N665" t="n">
        <v>0</v>
      </c>
      <c r="O665" t="n">
        <v>0</v>
      </c>
      <c r="P665" t="n">
        <v>0</v>
      </c>
      <c r="Q665" t="n">
        <v>0</v>
      </c>
      <c r="R665" s="2" t="inlineStr"/>
    </row>
    <row r="666" ht="15" customHeight="1">
      <c r="A666" t="inlineStr">
        <is>
          <t>A 11530-2021</t>
        </is>
      </c>
      <c r="B666" s="1" t="n">
        <v>44263</v>
      </c>
      <c r="C666" s="1" t="n">
        <v>45831</v>
      </c>
      <c r="D666" t="inlineStr">
        <is>
          <t>JÄMTLANDS LÄN</t>
        </is>
      </c>
      <c r="E666" t="inlineStr">
        <is>
          <t>KROKOM</t>
        </is>
      </c>
      <c r="G666" t="n">
        <v>9</v>
      </c>
      <c r="H666" t="n">
        <v>0</v>
      </c>
      <c r="I666" t="n">
        <v>0</v>
      </c>
      <c r="J666" t="n">
        <v>0</v>
      </c>
      <c r="K666" t="n">
        <v>0</v>
      </c>
      <c r="L666" t="n">
        <v>0</v>
      </c>
      <c r="M666" t="n">
        <v>0</v>
      </c>
      <c r="N666" t="n">
        <v>0</v>
      </c>
      <c r="O666" t="n">
        <v>0</v>
      </c>
      <c r="P666" t="n">
        <v>0</v>
      </c>
      <c r="Q666" t="n">
        <v>0</v>
      </c>
      <c r="R666" s="2" t="inlineStr"/>
    </row>
    <row r="667" ht="15" customHeight="1">
      <c r="A667" t="inlineStr">
        <is>
          <t>A 12721-2021</t>
        </is>
      </c>
      <c r="B667" s="1" t="n">
        <v>44270</v>
      </c>
      <c r="C667" s="1" t="n">
        <v>45831</v>
      </c>
      <c r="D667" t="inlineStr">
        <is>
          <t>JÄMTLANDS LÄN</t>
        </is>
      </c>
      <c r="E667" t="inlineStr">
        <is>
          <t>KROKOM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12884-2021</t>
        </is>
      </c>
      <c r="B668" s="1" t="n">
        <v>44271</v>
      </c>
      <c r="C668" s="1" t="n">
        <v>45831</v>
      </c>
      <c r="D668" t="inlineStr">
        <is>
          <t>JÄMTLANDS LÄN</t>
        </is>
      </c>
      <c r="E668" t="inlineStr">
        <is>
          <t>KROKOM</t>
        </is>
      </c>
      <c r="G668" t="n">
        <v>5.5</v>
      </c>
      <c r="H668" t="n">
        <v>0</v>
      </c>
      <c r="I668" t="n">
        <v>0</v>
      </c>
      <c r="J668" t="n">
        <v>0</v>
      </c>
      <c r="K668" t="n">
        <v>0</v>
      </c>
      <c r="L668" t="n">
        <v>0</v>
      </c>
      <c r="M668" t="n">
        <v>0</v>
      </c>
      <c r="N668" t="n">
        <v>0</v>
      </c>
      <c r="O668" t="n">
        <v>0</v>
      </c>
      <c r="P668" t="n">
        <v>0</v>
      </c>
      <c r="Q668" t="n">
        <v>0</v>
      </c>
      <c r="R668" s="2" t="inlineStr"/>
    </row>
    <row r="669" ht="15" customHeight="1">
      <c r="A669" t="inlineStr">
        <is>
          <t>A 12889-2021</t>
        </is>
      </c>
      <c r="B669" s="1" t="n">
        <v>44271</v>
      </c>
      <c r="C669" s="1" t="n">
        <v>45831</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13395-2021</t>
        </is>
      </c>
      <c r="B670" s="1" t="n">
        <v>44273</v>
      </c>
      <c r="C670" s="1" t="n">
        <v>45831</v>
      </c>
      <c r="D670" t="inlineStr">
        <is>
          <t>JÄMTLANDS LÄN</t>
        </is>
      </c>
      <c r="E670" t="inlineStr">
        <is>
          <t>KROKOM</t>
        </is>
      </c>
      <c r="G670" t="n">
        <v>13.7</v>
      </c>
      <c r="H670" t="n">
        <v>0</v>
      </c>
      <c r="I670" t="n">
        <v>0</v>
      </c>
      <c r="J670" t="n">
        <v>0</v>
      </c>
      <c r="K670" t="n">
        <v>0</v>
      </c>
      <c r="L670" t="n">
        <v>0</v>
      </c>
      <c r="M670" t="n">
        <v>0</v>
      </c>
      <c r="N670" t="n">
        <v>0</v>
      </c>
      <c r="O670" t="n">
        <v>0</v>
      </c>
      <c r="P670" t="n">
        <v>0</v>
      </c>
      <c r="Q670" t="n">
        <v>0</v>
      </c>
      <c r="R670" s="2" t="inlineStr"/>
    </row>
    <row r="671" ht="15" customHeight="1">
      <c r="A671" t="inlineStr">
        <is>
          <t>A 13989-2021</t>
        </is>
      </c>
      <c r="B671" s="1" t="n">
        <v>44277</v>
      </c>
      <c r="C671" s="1" t="n">
        <v>45831</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14167-2021</t>
        </is>
      </c>
      <c r="B672" s="1" t="n">
        <v>44278</v>
      </c>
      <c r="C672" s="1" t="n">
        <v>45831</v>
      </c>
      <c r="D672" t="inlineStr">
        <is>
          <t>JÄMTLANDS LÄN</t>
        </is>
      </c>
      <c r="E672" t="inlineStr">
        <is>
          <t>KROKOM</t>
        </is>
      </c>
      <c r="G672" t="n">
        <v>5.4</v>
      </c>
      <c r="H672" t="n">
        <v>0</v>
      </c>
      <c r="I672" t="n">
        <v>0</v>
      </c>
      <c r="J672" t="n">
        <v>0</v>
      </c>
      <c r="K672" t="n">
        <v>0</v>
      </c>
      <c r="L672" t="n">
        <v>0</v>
      </c>
      <c r="M672" t="n">
        <v>0</v>
      </c>
      <c r="N672" t="n">
        <v>0</v>
      </c>
      <c r="O672" t="n">
        <v>0</v>
      </c>
      <c r="P672" t="n">
        <v>0</v>
      </c>
      <c r="Q672" t="n">
        <v>0</v>
      </c>
      <c r="R672" s="2" t="inlineStr"/>
    </row>
    <row r="673" ht="15" customHeight="1">
      <c r="A673" t="inlineStr">
        <is>
          <t>A 14593-2021</t>
        </is>
      </c>
      <c r="B673" s="1" t="n">
        <v>44279</v>
      </c>
      <c r="C673" s="1" t="n">
        <v>45831</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14598-2021</t>
        </is>
      </c>
      <c r="B674" s="1" t="n">
        <v>44279</v>
      </c>
      <c r="C674" s="1" t="n">
        <v>45831</v>
      </c>
      <c r="D674" t="inlineStr">
        <is>
          <t>JÄMTLANDS LÄN</t>
        </is>
      </c>
      <c r="E674" t="inlineStr">
        <is>
          <t>KROKOM</t>
        </is>
      </c>
      <c r="G674" t="n">
        <v>25.4</v>
      </c>
      <c r="H674" t="n">
        <v>0</v>
      </c>
      <c r="I674" t="n">
        <v>0</v>
      </c>
      <c r="J674" t="n">
        <v>0</v>
      </c>
      <c r="K674" t="n">
        <v>0</v>
      </c>
      <c r="L674" t="n">
        <v>0</v>
      </c>
      <c r="M674" t="n">
        <v>0</v>
      </c>
      <c r="N674" t="n">
        <v>0</v>
      </c>
      <c r="O674" t="n">
        <v>0</v>
      </c>
      <c r="P674" t="n">
        <v>0</v>
      </c>
      <c r="Q674" t="n">
        <v>0</v>
      </c>
      <c r="R674" s="2" t="inlineStr"/>
    </row>
    <row r="675" ht="15" customHeight="1">
      <c r="A675" t="inlineStr">
        <is>
          <t>A 14591-2021</t>
        </is>
      </c>
      <c r="B675" s="1" t="n">
        <v>44279</v>
      </c>
      <c r="C675" s="1" t="n">
        <v>45831</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14595-2021</t>
        </is>
      </c>
      <c r="B676" s="1" t="n">
        <v>44279</v>
      </c>
      <c r="C676" s="1" t="n">
        <v>45831</v>
      </c>
      <c r="D676" t="inlineStr">
        <is>
          <t>JÄMTLANDS LÄN</t>
        </is>
      </c>
      <c r="E676" t="inlineStr">
        <is>
          <t>KROKOM</t>
        </is>
      </c>
      <c r="G676" t="n">
        <v>4.5</v>
      </c>
      <c r="H676" t="n">
        <v>0</v>
      </c>
      <c r="I676" t="n">
        <v>0</v>
      </c>
      <c r="J676" t="n">
        <v>0</v>
      </c>
      <c r="K676" t="n">
        <v>0</v>
      </c>
      <c r="L676" t="n">
        <v>0</v>
      </c>
      <c r="M676" t="n">
        <v>0</v>
      </c>
      <c r="N676" t="n">
        <v>0</v>
      </c>
      <c r="O676" t="n">
        <v>0</v>
      </c>
      <c r="P676" t="n">
        <v>0</v>
      </c>
      <c r="Q676" t="n">
        <v>0</v>
      </c>
      <c r="R676" s="2" t="inlineStr"/>
    </row>
    <row r="677" ht="15" customHeight="1">
      <c r="A677" t="inlineStr">
        <is>
          <t>A 14592-2021</t>
        </is>
      </c>
      <c r="B677" s="1" t="n">
        <v>44279</v>
      </c>
      <c r="C677" s="1" t="n">
        <v>45831</v>
      </c>
      <c r="D677" t="inlineStr">
        <is>
          <t>JÄMTLANDS LÄN</t>
        </is>
      </c>
      <c r="E677" t="inlineStr">
        <is>
          <t>KROKOM</t>
        </is>
      </c>
      <c r="G677" t="n">
        <v>5.6</v>
      </c>
      <c r="H677" t="n">
        <v>0</v>
      </c>
      <c r="I677" t="n">
        <v>0</v>
      </c>
      <c r="J677" t="n">
        <v>0</v>
      </c>
      <c r="K677" t="n">
        <v>0</v>
      </c>
      <c r="L677" t="n">
        <v>0</v>
      </c>
      <c r="M677" t="n">
        <v>0</v>
      </c>
      <c r="N677" t="n">
        <v>0</v>
      </c>
      <c r="O677" t="n">
        <v>0</v>
      </c>
      <c r="P677" t="n">
        <v>0</v>
      </c>
      <c r="Q677" t="n">
        <v>0</v>
      </c>
      <c r="R677" s="2" t="inlineStr"/>
    </row>
    <row r="678" ht="15" customHeight="1">
      <c r="A678" t="inlineStr">
        <is>
          <t>A 14596-2021</t>
        </is>
      </c>
      <c r="B678" s="1" t="n">
        <v>44279</v>
      </c>
      <c r="C678" s="1" t="n">
        <v>45831</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15425-2021</t>
        </is>
      </c>
      <c r="B679" s="1" t="n">
        <v>44284</v>
      </c>
      <c r="C679" s="1" t="n">
        <v>45831</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15452-2021</t>
        </is>
      </c>
      <c r="B680" s="1" t="n">
        <v>44285</v>
      </c>
      <c r="C680" s="1" t="n">
        <v>45831</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15455-2021</t>
        </is>
      </c>
      <c r="B681" s="1" t="n">
        <v>44285</v>
      </c>
      <c r="C681" s="1" t="n">
        <v>45831</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15451-2021</t>
        </is>
      </c>
      <c r="B682" s="1" t="n">
        <v>44285</v>
      </c>
      <c r="C682" s="1" t="n">
        <v>45831</v>
      </c>
      <c r="D682" t="inlineStr">
        <is>
          <t>JÄMTLANDS LÄN</t>
        </is>
      </c>
      <c r="E682" t="inlineStr">
        <is>
          <t>KROKOM</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15748-2021</t>
        </is>
      </c>
      <c r="B683" s="1" t="n">
        <v>44286</v>
      </c>
      <c r="C683" s="1" t="n">
        <v>45831</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16188-2021</t>
        </is>
      </c>
      <c r="B684" s="1" t="n">
        <v>44287</v>
      </c>
      <c r="C684" s="1" t="n">
        <v>45831</v>
      </c>
      <c r="D684" t="inlineStr">
        <is>
          <t>JÄMTLANDS LÄN</t>
        </is>
      </c>
      <c r="E684" t="inlineStr">
        <is>
          <t>KROKOM</t>
        </is>
      </c>
      <c r="G684" t="n">
        <v>30.5</v>
      </c>
      <c r="H684" t="n">
        <v>0</v>
      </c>
      <c r="I684" t="n">
        <v>0</v>
      </c>
      <c r="J684" t="n">
        <v>0</v>
      </c>
      <c r="K684" t="n">
        <v>0</v>
      </c>
      <c r="L684" t="n">
        <v>0</v>
      </c>
      <c r="M684" t="n">
        <v>0</v>
      </c>
      <c r="N684" t="n">
        <v>0</v>
      </c>
      <c r="O684" t="n">
        <v>0</v>
      </c>
      <c r="P684" t="n">
        <v>0</v>
      </c>
      <c r="Q684" t="n">
        <v>0</v>
      </c>
      <c r="R684" s="2" t="inlineStr"/>
    </row>
    <row r="685" ht="15" customHeight="1">
      <c r="A685" t="inlineStr">
        <is>
          <t>A 16242-2021</t>
        </is>
      </c>
      <c r="B685" s="1" t="n">
        <v>44292</v>
      </c>
      <c r="C685" s="1" t="n">
        <v>45831</v>
      </c>
      <c r="D685" t="inlineStr">
        <is>
          <t>JÄMTLANDS LÄN</t>
        </is>
      </c>
      <c r="E685" t="inlineStr">
        <is>
          <t>KROKOM</t>
        </is>
      </c>
      <c r="G685" t="n">
        <v>1.4</v>
      </c>
      <c r="H685" t="n">
        <v>0</v>
      </c>
      <c r="I685" t="n">
        <v>0</v>
      </c>
      <c r="J685" t="n">
        <v>0</v>
      </c>
      <c r="K685" t="n">
        <v>0</v>
      </c>
      <c r="L685" t="n">
        <v>0</v>
      </c>
      <c r="M685" t="n">
        <v>0</v>
      </c>
      <c r="N685" t="n">
        <v>0</v>
      </c>
      <c r="O685" t="n">
        <v>0</v>
      </c>
      <c r="P685" t="n">
        <v>0</v>
      </c>
      <c r="Q685" t="n">
        <v>0</v>
      </c>
      <c r="R685" s="2" t="inlineStr"/>
    </row>
    <row r="686" ht="15" customHeight="1">
      <c r="A686" t="inlineStr">
        <is>
          <t>A 17599-2021</t>
        </is>
      </c>
      <c r="B686" s="1" t="n">
        <v>44299</v>
      </c>
      <c r="C686" s="1" t="n">
        <v>45831</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17726-2021</t>
        </is>
      </c>
      <c r="B687" s="1" t="n">
        <v>44300</v>
      </c>
      <c r="C687" s="1" t="n">
        <v>45831</v>
      </c>
      <c r="D687" t="inlineStr">
        <is>
          <t>JÄMTLANDS LÄN</t>
        </is>
      </c>
      <c r="E687" t="inlineStr">
        <is>
          <t>KROKOM</t>
        </is>
      </c>
      <c r="G687" t="n">
        <v>30.7</v>
      </c>
      <c r="H687" t="n">
        <v>0</v>
      </c>
      <c r="I687" t="n">
        <v>0</v>
      </c>
      <c r="J687" t="n">
        <v>0</v>
      </c>
      <c r="K687" t="n">
        <v>0</v>
      </c>
      <c r="L687" t="n">
        <v>0</v>
      </c>
      <c r="M687" t="n">
        <v>0</v>
      </c>
      <c r="N687" t="n">
        <v>0</v>
      </c>
      <c r="O687" t="n">
        <v>0</v>
      </c>
      <c r="P687" t="n">
        <v>0</v>
      </c>
      <c r="Q687" t="n">
        <v>0</v>
      </c>
      <c r="R687" s="2" t="inlineStr"/>
    </row>
    <row r="688" ht="15" customHeight="1">
      <c r="A688" t="inlineStr">
        <is>
          <t>A 18544-2021</t>
        </is>
      </c>
      <c r="B688" s="1" t="n">
        <v>44306</v>
      </c>
      <c r="C688" s="1" t="n">
        <v>45831</v>
      </c>
      <c r="D688" t="inlineStr">
        <is>
          <t>JÄMTLANDS LÄN</t>
        </is>
      </c>
      <c r="E688" t="inlineStr">
        <is>
          <t>KROKOM</t>
        </is>
      </c>
      <c r="G688" t="n">
        <v>4.1</v>
      </c>
      <c r="H688" t="n">
        <v>0</v>
      </c>
      <c r="I688" t="n">
        <v>0</v>
      </c>
      <c r="J688" t="n">
        <v>0</v>
      </c>
      <c r="K688" t="n">
        <v>0</v>
      </c>
      <c r="L688" t="n">
        <v>0</v>
      </c>
      <c r="M688" t="n">
        <v>0</v>
      </c>
      <c r="N688" t="n">
        <v>0</v>
      </c>
      <c r="O688" t="n">
        <v>0</v>
      </c>
      <c r="P688" t="n">
        <v>0</v>
      </c>
      <c r="Q688" t="n">
        <v>0</v>
      </c>
      <c r="R688" s="2" t="inlineStr"/>
    </row>
    <row r="689" ht="15" customHeight="1">
      <c r="A689" t="inlineStr">
        <is>
          <t>A 18731-2021</t>
        </is>
      </c>
      <c r="B689" s="1" t="n">
        <v>44307</v>
      </c>
      <c r="C689" s="1" t="n">
        <v>45831</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20405-2021</t>
        </is>
      </c>
      <c r="B690" s="1" t="n">
        <v>44312</v>
      </c>
      <c r="C690" s="1" t="n">
        <v>45831</v>
      </c>
      <c r="D690" t="inlineStr">
        <is>
          <t>JÄMTLANDS LÄN</t>
        </is>
      </c>
      <c r="E690" t="inlineStr">
        <is>
          <t>KROKOM</t>
        </is>
      </c>
      <c r="G690" t="n">
        <v>7.1</v>
      </c>
      <c r="H690" t="n">
        <v>0</v>
      </c>
      <c r="I690" t="n">
        <v>0</v>
      </c>
      <c r="J690" t="n">
        <v>0</v>
      </c>
      <c r="K690" t="n">
        <v>0</v>
      </c>
      <c r="L690" t="n">
        <v>0</v>
      </c>
      <c r="M690" t="n">
        <v>0</v>
      </c>
      <c r="N690" t="n">
        <v>0</v>
      </c>
      <c r="O690" t="n">
        <v>0</v>
      </c>
      <c r="P690" t="n">
        <v>0</v>
      </c>
      <c r="Q690" t="n">
        <v>0</v>
      </c>
      <c r="R690" s="2" t="inlineStr"/>
    </row>
    <row r="691" ht="15" customHeight="1">
      <c r="A691" t="inlineStr">
        <is>
          <t>A 19984-2021</t>
        </is>
      </c>
      <c r="B691" s="1" t="n">
        <v>44313</v>
      </c>
      <c r="C691" s="1" t="n">
        <v>45831</v>
      </c>
      <c r="D691" t="inlineStr">
        <is>
          <t>JÄMTLANDS LÄN</t>
        </is>
      </c>
      <c r="E691" t="inlineStr">
        <is>
          <t>KROKOM</t>
        </is>
      </c>
      <c r="G691" t="n">
        <v>1.9</v>
      </c>
      <c r="H691" t="n">
        <v>0</v>
      </c>
      <c r="I691" t="n">
        <v>0</v>
      </c>
      <c r="J691" t="n">
        <v>0</v>
      </c>
      <c r="K691" t="n">
        <v>0</v>
      </c>
      <c r="L691" t="n">
        <v>0</v>
      </c>
      <c r="M691" t="n">
        <v>0</v>
      </c>
      <c r="N691" t="n">
        <v>0</v>
      </c>
      <c r="O691" t="n">
        <v>0</v>
      </c>
      <c r="P691" t="n">
        <v>0</v>
      </c>
      <c r="Q691" t="n">
        <v>0</v>
      </c>
      <c r="R691" s="2" t="inlineStr"/>
    </row>
    <row r="692" ht="15" customHeight="1">
      <c r="A692" t="inlineStr">
        <is>
          <t>A 21000-2021</t>
        </is>
      </c>
      <c r="B692" s="1" t="n">
        <v>44316</v>
      </c>
      <c r="C692" s="1" t="n">
        <v>45831</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23139-2021</t>
        </is>
      </c>
      <c r="B693" s="1" t="n">
        <v>44331</v>
      </c>
      <c r="C693" s="1" t="n">
        <v>45831</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23601-2021</t>
        </is>
      </c>
      <c r="B694" s="1" t="n">
        <v>44334</v>
      </c>
      <c r="C694" s="1" t="n">
        <v>45831</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23832-2021</t>
        </is>
      </c>
      <c r="B695" s="1" t="n">
        <v>44335</v>
      </c>
      <c r="C695" s="1" t="n">
        <v>45831</v>
      </c>
      <c r="D695" t="inlineStr">
        <is>
          <t>JÄMTLANDS LÄN</t>
        </is>
      </c>
      <c r="E695" t="inlineStr">
        <is>
          <t>KROKOM</t>
        </is>
      </c>
      <c r="G695" t="n">
        <v>20</v>
      </c>
      <c r="H695" t="n">
        <v>0</v>
      </c>
      <c r="I695" t="n">
        <v>0</v>
      </c>
      <c r="J695" t="n">
        <v>0</v>
      </c>
      <c r="K695" t="n">
        <v>0</v>
      </c>
      <c r="L695" t="n">
        <v>0</v>
      </c>
      <c r="M695" t="n">
        <v>0</v>
      </c>
      <c r="N695" t="n">
        <v>0</v>
      </c>
      <c r="O695" t="n">
        <v>0</v>
      </c>
      <c r="P695" t="n">
        <v>0</v>
      </c>
      <c r="Q695" t="n">
        <v>0</v>
      </c>
      <c r="R695" s="2" t="inlineStr"/>
    </row>
    <row r="696" ht="15" customHeight="1">
      <c r="A696" t="inlineStr">
        <is>
          <t>A 24436-2021</t>
        </is>
      </c>
      <c r="B696" s="1" t="n">
        <v>44337</v>
      </c>
      <c r="C696" s="1" t="n">
        <v>45831</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24677-2021</t>
        </is>
      </c>
      <c r="B697" s="1" t="n">
        <v>44337</v>
      </c>
      <c r="C697" s="1" t="n">
        <v>45831</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26077-2021</t>
        </is>
      </c>
      <c r="B698" s="1" t="n">
        <v>44344</v>
      </c>
      <c r="C698" s="1" t="n">
        <v>45831</v>
      </c>
      <c r="D698" t="inlineStr">
        <is>
          <t>JÄMTLANDS LÄN</t>
        </is>
      </c>
      <c r="E698" t="inlineStr">
        <is>
          <t>KROKOM</t>
        </is>
      </c>
      <c r="G698" t="n">
        <v>7.6</v>
      </c>
      <c r="H698" t="n">
        <v>0</v>
      </c>
      <c r="I698" t="n">
        <v>0</v>
      </c>
      <c r="J698" t="n">
        <v>0</v>
      </c>
      <c r="K698" t="n">
        <v>0</v>
      </c>
      <c r="L698" t="n">
        <v>0</v>
      </c>
      <c r="M698" t="n">
        <v>0</v>
      </c>
      <c r="N698" t="n">
        <v>0</v>
      </c>
      <c r="O698" t="n">
        <v>0</v>
      </c>
      <c r="P698" t="n">
        <v>0</v>
      </c>
      <c r="Q698" t="n">
        <v>0</v>
      </c>
      <c r="R698" s="2" t="inlineStr"/>
    </row>
    <row r="699" ht="15" customHeight="1">
      <c r="A699" t="inlineStr">
        <is>
          <t>A 26508-2021</t>
        </is>
      </c>
      <c r="B699" s="1" t="n">
        <v>44348</v>
      </c>
      <c r="C699" s="1" t="n">
        <v>45831</v>
      </c>
      <c r="D699" t="inlineStr">
        <is>
          <t>JÄMTLANDS LÄN</t>
        </is>
      </c>
      <c r="E699" t="inlineStr">
        <is>
          <t>KROKOM</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27000-2021</t>
        </is>
      </c>
      <c r="B700" s="1" t="n">
        <v>44349</v>
      </c>
      <c r="C700" s="1" t="n">
        <v>45831</v>
      </c>
      <c r="D700" t="inlineStr">
        <is>
          <t>JÄMTLANDS LÄN</t>
        </is>
      </c>
      <c r="E700" t="inlineStr">
        <is>
          <t>KROKOM</t>
        </is>
      </c>
      <c r="F700" t="inlineStr">
        <is>
          <t>Allmännings- och besparingsskogar</t>
        </is>
      </c>
      <c r="G700" t="n">
        <v>2.3</v>
      </c>
      <c r="H700" t="n">
        <v>0</v>
      </c>
      <c r="I700" t="n">
        <v>0</v>
      </c>
      <c r="J700" t="n">
        <v>0</v>
      </c>
      <c r="K700" t="n">
        <v>0</v>
      </c>
      <c r="L700" t="n">
        <v>0</v>
      </c>
      <c r="M700" t="n">
        <v>0</v>
      </c>
      <c r="N700" t="n">
        <v>0</v>
      </c>
      <c r="O700" t="n">
        <v>0</v>
      </c>
      <c r="P700" t="n">
        <v>0</v>
      </c>
      <c r="Q700" t="n">
        <v>0</v>
      </c>
      <c r="R700" s="2" t="inlineStr"/>
    </row>
    <row r="701" ht="15" customHeight="1">
      <c r="A701" t="inlineStr">
        <is>
          <t>A 28990-2021</t>
        </is>
      </c>
      <c r="B701" s="1" t="n">
        <v>44358</v>
      </c>
      <c r="C701" s="1" t="n">
        <v>45831</v>
      </c>
      <c r="D701" t="inlineStr">
        <is>
          <t>JÄMTLANDS LÄN</t>
        </is>
      </c>
      <c r="E701" t="inlineStr">
        <is>
          <t>KROKOM</t>
        </is>
      </c>
      <c r="G701" t="n">
        <v>4.3</v>
      </c>
      <c r="H701" t="n">
        <v>0</v>
      </c>
      <c r="I701" t="n">
        <v>0</v>
      </c>
      <c r="J701" t="n">
        <v>0</v>
      </c>
      <c r="K701" t="n">
        <v>0</v>
      </c>
      <c r="L701" t="n">
        <v>0</v>
      </c>
      <c r="M701" t="n">
        <v>0</v>
      </c>
      <c r="N701" t="n">
        <v>0</v>
      </c>
      <c r="O701" t="n">
        <v>0</v>
      </c>
      <c r="P701" t="n">
        <v>0</v>
      </c>
      <c r="Q701" t="n">
        <v>0</v>
      </c>
      <c r="R701" s="2" t="inlineStr"/>
    </row>
    <row r="702" ht="15" customHeight="1">
      <c r="A702" t="inlineStr">
        <is>
          <t>A 29146-2021</t>
        </is>
      </c>
      <c r="B702" s="1" t="n">
        <v>44358</v>
      </c>
      <c r="C702" s="1" t="n">
        <v>45831</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29896-2021</t>
        </is>
      </c>
      <c r="B703" s="1" t="n">
        <v>44362</v>
      </c>
      <c r="C703" s="1" t="n">
        <v>45831</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31467-2021</t>
        </is>
      </c>
      <c r="B704" s="1" t="n">
        <v>44369</v>
      </c>
      <c r="C704" s="1" t="n">
        <v>45831</v>
      </c>
      <c r="D704" t="inlineStr">
        <is>
          <t>JÄMTLANDS LÄN</t>
        </is>
      </c>
      <c r="E704" t="inlineStr">
        <is>
          <t>KROKOM</t>
        </is>
      </c>
      <c r="G704" t="n">
        <v>24.7</v>
      </c>
      <c r="H704" t="n">
        <v>0</v>
      </c>
      <c r="I704" t="n">
        <v>0</v>
      </c>
      <c r="J704" t="n">
        <v>0</v>
      </c>
      <c r="K704" t="n">
        <v>0</v>
      </c>
      <c r="L704" t="n">
        <v>0</v>
      </c>
      <c r="M704" t="n">
        <v>0</v>
      </c>
      <c r="N704" t="n">
        <v>0</v>
      </c>
      <c r="O704" t="n">
        <v>0</v>
      </c>
      <c r="P704" t="n">
        <v>0</v>
      </c>
      <c r="Q704" t="n">
        <v>0</v>
      </c>
      <c r="R704" s="2" t="inlineStr"/>
    </row>
    <row r="705" ht="15" customHeight="1">
      <c r="A705" t="inlineStr">
        <is>
          <t>A 31858-2021</t>
        </is>
      </c>
      <c r="B705" s="1" t="n">
        <v>44370</v>
      </c>
      <c r="C705" s="1" t="n">
        <v>45831</v>
      </c>
      <c r="D705" t="inlineStr">
        <is>
          <t>JÄMTLANDS LÄN</t>
        </is>
      </c>
      <c r="E705" t="inlineStr">
        <is>
          <t>KROKOM</t>
        </is>
      </c>
      <c r="G705" t="n">
        <v>3.5</v>
      </c>
      <c r="H705" t="n">
        <v>0</v>
      </c>
      <c r="I705" t="n">
        <v>0</v>
      </c>
      <c r="J705" t="n">
        <v>0</v>
      </c>
      <c r="K705" t="n">
        <v>0</v>
      </c>
      <c r="L705" t="n">
        <v>0</v>
      </c>
      <c r="M705" t="n">
        <v>0</v>
      </c>
      <c r="N705" t="n">
        <v>0</v>
      </c>
      <c r="O705" t="n">
        <v>0</v>
      </c>
      <c r="P705" t="n">
        <v>0</v>
      </c>
      <c r="Q705" t="n">
        <v>0</v>
      </c>
      <c r="R705" s="2" t="inlineStr"/>
    </row>
    <row r="706" ht="15" customHeight="1">
      <c r="A706" t="inlineStr">
        <is>
          <t>A 31905-2021</t>
        </is>
      </c>
      <c r="B706" s="1" t="n">
        <v>44370</v>
      </c>
      <c r="C706" s="1" t="n">
        <v>45831</v>
      </c>
      <c r="D706" t="inlineStr">
        <is>
          <t>JÄMTLANDS LÄN</t>
        </is>
      </c>
      <c r="E706" t="inlineStr">
        <is>
          <t>KROKOM</t>
        </is>
      </c>
      <c r="G706" t="n">
        <v>12.9</v>
      </c>
      <c r="H706" t="n">
        <v>0</v>
      </c>
      <c r="I706" t="n">
        <v>0</v>
      </c>
      <c r="J706" t="n">
        <v>0</v>
      </c>
      <c r="K706" t="n">
        <v>0</v>
      </c>
      <c r="L706" t="n">
        <v>0</v>
      </c>
      <c r="M706" t="n">
        <v>0</v>
      </c>
      <c r="N706" t="n">
        <v>0</v>
      </c>
      <c r="O706" t="n">
        <v>0</v>
      </c>
      <c r="P706" t="n">
        <v>0</v>
      </c>
      <c r="Q706" t="n">
        <v>0</v>
      </c>
      <c r="R706" s="2" t="inlineStr"/>
    </row>
    <row r="707" ht="15" customHeight="1">
      <c r="A707" t="inlineStr">
        <is>
          <t>A 32472-2021</t>
        </is>
      </c>
      <c r="B707" s="1" t="n">
        <v>44371</v>
      </c>
      <c r="C707" s="1" t="n">
        <v>45831</v>
      </c>
      <c r="D707" t="inlineStr">
        <is>
          <t>JÄMTLANDS LÄN</t>
        </is>
      </c>
      <c r="E707" t="inlineStr">
        <is>
          <t>KROKOM</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32693-2021</t>
        </is>
      </c>
      <c r="B708" s="1" t="n">
        <v>44375</v>
      </c>
      <c r="C708" s="1" t="n">
        <v>45831</v>
      </c>
      <c r="D708" t="inlineStr">
        <is>
          <t>JÄMTLANDS LÄN</t>
        </is>
      </c>
      <c r="E708" t="inlineStr">
        <is>
          <t>KROKOM</t>
        </is>
      </c>
      <c r="G708" t="n">
        <v>5.7</v>
      </c>
      <c r="H708" t="n">
        <v>0</v>
      </c>
      <c r="I708" t="n">
        <v>0</v>
      </c>
      <c r="J708" t="n">
        <v>0</v>
      </c>
      <c r="K708" t="n">
        <v>0</v>
      </c>
      <c r="L708" t="n">
        <v>0</v>
      </c>
      <c r="M708" t="n">
        <v>0</v>
      </c>
      <c r="N708" t="n">
        <v>0</v>
      </c>
      <c r="O708" t="n">
        <v>0</v>
      </c>
      <c r="P708" t="n">
        <v>0</v>
      </c>
      <c r="Q708" t="n">
        <v>0</v>
      </c>
      <c r="R708" s="2" t="inlineStr"/>
    </row>
    <row r="709" ht="15" customHeight="1">
      <c r="A709" t="inlineStr">
        <is>
          <t>A 33189-2021</t>
        </is>
      </c>
      <c r="B709" s="1" t="n">
        <v>44376</v>
      </c>
      <c r="C709" s="1" t="n">
        <v>45831</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33320-2021</t>
        </is>
      </c>
      <c r="B710" s="1" t="n">
        <v>44377</v>
      </c>
      <c r="C710" s="1" t="n">
        <v>45831</v>
      </c>
      <c r="D710" t="inlineStr">
        <is>
          <t>JÄMTLANDS LÄN</t>
        </is>
      </c>
      <c r="E710" t="inlineStr">
        <is>
          <t>KROKOM</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33333-2021</t>
        </is>
      </c>
      <c r="B711" s="1" t="n">
        <v>44377</v>
      </c>
      <c r="C711" s="1" t="n">
        <v>45831</v>
      </c>
      <c r="D711" t="inlineStr">
        <is>
          <t>JÄMTLANDS LÄN</t>
        </is>
      </c>
      <c r="E711" t="inlineStr">
        <is>
          <t>KROKOM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33364-2021</t>
        </is>
      </c>
      <c r="B712" s="1" t="n">
        <v>44377</v>
      </c>
      <c r="C712" s="1" t="n">
        <v>45831</v>
      </c>
      <c r="D712" t="inlineStr">
        <is>
          <t>JÄMTLANDS LÄN</t>
        </is>
      </c>
      <c r="E712" t="inlineStr">
        <is>
          <t>KROKOM</t>
        </is>
      </c>
      <c r="F712" t="inlineStr">
        <is>
          <t>Övriga Aktiebolag</t>
        </is>
      </c>
      <c r="G712" t="n">
        <v>12.7</v>
      </c>
      <c r="H712" t="n">
        <v>0</v>
      </c>
      <c r="I712" t="n">
        <v>0</v>
      </c>
      <c r="J712" t="n">
        <v>0</v>
      </c>
      <c r="K712" t="n">
        <v>0</v>
      </c>
      <c r="L712" t="n">
        <v>0</v>
      </c>
      <c r="M712" t="n">
        <v>0</v>
      </c>
      <c r="N712" t="n">
        <v>0</v>
      </c>
      <c r="O712" t="n">
        <v>0</v>
      </c>
      <c r="P712" t="n">
        <v>0</v>
      </c>
      <c r="Q712" t="n">
        <v>0</v>
      </c>
      <c r="R712" s="2" t="inlineStr"/>
    </row>
    <row r="713" ht="15" customHeight="1">
      <c r="A713" t="inlineStr">
        <is>
          <t>A 33469-2021</t>
        </is>
      </c>
      <c r="B713" s="1" t="n">
        <v>44377</v>
      </c>
      <c r="C713" s="1" t="n">
        <v>45831</v>
      </c>
      <c r="D713" t="inlineStr">
        <is>
          <t>JÄMTLANDS LÄN</t>
        </is>
      </c>
      <c r="E713" t="inlineStr">
        <is>
          <t>KROKOM</t>
        </is>
      </c>
      <c r="F713" t="inlineStr">
        <is>
          <t>Övriga Aktiebolag</t>
        </is>
      </c>
      <c r="G713" t="n">
        <v>19.1</v>
      </c>
      <c r="H713" t="n">
        <v>0</v>
      </c>
      <c r="I713" t="n">
        <v>0</v>
      </c>
      <c r="J713" t="n">
        <v>0</v>
      </c>
      <c r="K713" t="n">
        <v>0</v>
      </c>
      <c r="L713" t="n">
        <v>0</v>
      </c>
      <c r="M713" t="n">
        <v>0</v>
      </c>
      <c r="N713" t="n">
        <v>0</v>
      </c>
      <c r="O713" t="n">
        <v>0</v>
      </c>
      <c r="P713" t="n">
        <v>0</v>
      </c>
      <c r="Q713" t="n">
        <v>0</v>
      </c>
      <c r="R713" s="2" t="inlineStr"/>
    </row>
    <row r="714" ht="15" customHeight="1">
      <c r="A714" t="inlineStr">
        <is>
          <t>A 33802-2021</t>
        </is>
      </c>
      <c r="B714" s="1" t="n">
        <v>44377</v>
      </c>
      <c r="C714" s="1" t="n">
        <v>45831</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34279-2021</t>
        </is>
      </c>
      <c r="B715" s="1" t="n">
        <v>44379</v>
      </c>
      <c r="C715" s="1" t="n">
        <v>45831</v>
      </c>
      <c r="D715" t="inlineStr">
        <is>
          <t>JÄMTLANDS LÄN</t>
        </is>
      </c>
      <c r="E715" t="inlineStr">
        <is>
          <t>KROKOM</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34289-2021</t>
        </is>
      </c>
      <c r="B716" s="1" t="n">
        <v>44379</v>
      </c>
      <c r="C716" s="1" t="n">
        <v>45831</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34769-2021</t>
        </is>
      </c>
      <c r="B717" s="1" t="n">
        <v>44383</v>
      </c>
      <c r="C717" s="1" t="n">
        <v>45831</v>
      </c>
      <c r="D717" t="inlineStr">
        <is>
          <t>JÄMTLANDS LÄN</t>
        </is>
      </c>
      <c r="E717" t="inlineStr">
        <is>
          <t>KROKOM</t>
        </is>
      </c>
      <c r="G717" t="n">
        <v>14.5</v>
      </c>
      <c r="H717" t="n">
        <v>0</v>
      </c>
      <c r="I717" t="n">
        <v>0</v>
      </c>
      <c r="J717" t="n">
        <v>0</v>
      </c>
      <c r="K717" t="n">
        <v>0</v>
      </c>
      <c r="L717" t="n">
        <v>0</v>
      </c>
      <c r="M717" t="n">
        <v>0</v>
      </c>
      <c r="N717" t="n">
        <v>0</v>
      </c>
      <c r="O717" t="n">
        <v>0</v>
      </c>
      <c r="P717" t="n">
        <v>0</v>
      </c>
      <c r="Q717" t="n">
        <v>0</v>
      </c>
      <c r="R717" s="2" t="inlineStr"/>
    </row>
    <row r="718" ht="15" customHeight="1">
      <c r="A718" t="inlineStr">
        <is>
          <t>A 36079-2021</t>
        </is>
      </c>
      <c r="B718" s="1" t="n">
        <v>44389</v>
      </c>
      <c r="C718" s="1" t="n">
        <v>45831</v>
      </c>
      <c r="D718" t="inlineStr">
        <is>
          <t>JÄMTLANDS LÄN</t>
        </is>
      </c>
      <c r="E718" t="inlineStr">
        <is>
          <t>KROKOM</t>
        </is>
      </c>
      <c r="F718" t="inlineStr">
        <is>
          <t>Övriga Aktiebolag</t>
        </is>
      </c>
      <c r="G718" t="n">
        <v>17</v>
      </c>
      <c r="H718" t="n">
        <v>0</v>
      </c>
      <c r="I718" t="n">
        <v>0</v>
      </c>
      <c r="J718" t="n">
        <v>0</v>
      </c>
      <c r="K718" t="n">
        <v>0</v>
      </c>
      <c r="L718" t="n">
        <v>0</v>
      </c>
      <c r="M718" t="n">
        <v>0</v>
      </c>
      <c r="N718" t="n">
        <v>0</v>
      </c>
      <c r="O718" t="n">
        <v>0</v>
      </c>
      <c r="P718" t="n">
        <v>0</v>
      </c>
      <c r="Q718" t="n">
        <v>0</v>
      </c>
      <c r="R718" s="2" t="inlineStr"/>
    </row>
    <row r="719" ht="15" customHeight="1">
      <c r="A719" t="inlineStr">
        <is>
          <t>A 36248-2021</t>
        </is>
      </c>
      <c r="B719" s="1" t="n">
        <v>44389</v>
      </c>
      <c r="C719" s="1" t="n">
        <v>45831</v>
      </c>
      <c r="D719" t="inlineStr">
        <is>
          <t>JÄMTLANDS LÄN</t>
        </is>
      </c>
      <c r="E719" t="inlineStr">
        <is>
          <t>KROKOM</t>
        </is>
      </c>
      <c r="G719" t="n">
        <v>17.1</v>
      </c>
      <c r="H719" t="n">
        <v>0</v>
      </c>
      <c r="I719" t="n">
        <v>0</v>
      </c>
      <c r="J719" t="n">
        <v>0</v>
      </c>
      <c r="K719" t="n">
        <v>0</v>
      </c>
      <c r="L719" t="n">
        <v>0</v>
      </c>
      <c r="M719" t="n">
        <v>0</v>
      </c>
      <c r="N719" t="n">
        <v>0</v>
      </c>
      <c r="O719" t="n">
        <v>0</v>
      </c>
      <c r="P719" t="n">
        <v>0</v>
      </c>
      <c r="Q719" t="n">
        <v>0</v>
      </c>
      <c r="R719" s="2" t="inlineStr"/>
    </row>
    <row r="720" ht="15" customHeight="1">
      <c r="A720" t="inlineStr">
        <is>
          <t>A 36491-2021</t>
        </is>
      </c>
      <c r="B720" s="1" t="n">
        <v>44390</v>
      </c>
      <c r="C720" s="1" t="n">
        <v>45831</v>
      </c>
      <c r="D720" t="inlineStr">
        <is>
          <t>JÄMTLANDS LÄN</t>
        </is>
      </c>
      <c r="E720" t="inlineStr">
        <is>
          <t>KROKOM</t>
        </is>
      </c>
      <c r="G720" t="n">
        <v>5.4</v>
      </c>
      <c r="H720" t="n">
        <v>0</v>
      </c>
      <c r="I720" t="n">
        <v>0</v>
      </c>
      <c r="J720" t="n">
        <v>0</v>
      </c>
      <c r="K720" t="n">
        <v>0</v>
      </c>
      <c r="L720" t="n">
        <v>0</v>
      </c>
      <c r="M720" t="n">
        <v>0</v>
      </c>
      <c r="N720" t="n">
        <v>0</v>
      </c>
      <c r="O720" t="n">
        <v>0</v>
      </c>
      <c r="P720" t="n">
        <v>0</v>
      </c>
      <c r="Q720" t="n">
        <v>0</v>
      </c>
      <c r="R720" s="2" t="inlineStr"/>
    </row>
    <row r="721" ht="15" customHeight="1">
      <c r="A721" t="inlineStr">
        <is>
          <t>A 36567-2021</t>
        </is>
      </c>
      <c r="B721" s="1" t="n">
        <v>44391</v>
      </c>
      <c r="C721" s="1" t="n">
        <v>45831</v>
      </c>
      <c r="D721" t="inlineStr">
        <is>
          <t>JÄMTLANDS LÄN</t>
        </is>
      </c>
      <c r="E721" t="inlineStr">
        <is>
          <t>KROKOM</t>
        </is>
      </c>
      <c r="G721" t="n">
        <v>3.5</v>
      </c>
      <c r="H721" t="n">
        <v>0</v>
      </c>
      <c r="I721" t="n">
        <v>0</v>
      </c>
      <c r="J721" t="n">
        <v>0</v>
      </c>
      <c r="K721" t="n">
        <v>0</v>
      </c>
      <c r="L721" t="n">
        <v>0</v>
      </c>
      <c r="M721" t="n">
        <v>0</v>
      </c>
      <c r="N721" t="n">
        <v>0</v>
      </c>
      <c r="O721" t="n">
        <v>0</v>
      </c>
      <c r="P721" t="n">
        <v>0</v>
      </c>
      <c r="Q721" t="n">
        <v>0</v>
      </c>
      <c r="R721" s="2" t="inlineStr"/>
    </row>
    <row r="722" ht="15" customHeight="1">
      <c r="A722" t="inlineStr">
        <is>
          <t>A 36577-2021</t>
        </is>
      </c>
      <c r="B722" s="1" t="n">
        <v>44391</v>
      </c>
      <c r="C722" s="1" t="n">
        <v>45831</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37641-2021</t>
        </is>
      </c>
      <c r="B723" s="1" t="n">
        <v>44400</v>
      </c>
      <c r="C723" s="1" t="n">
        <v>45831</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38511-2021</t>
        </is>
      </c>
      <c r="B724" s="1" t="n">
        <v>44407</v>
      </c>
      <c r="C724" s="1" t="n">
        <v>45831</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42369-2021</t>
        </is>
      </c>
      <c r="B725" s="1" t="n">
        <v>44427</v>
      </c>
      <c r="C725" s="1" t="n">
        <v>45831</v>
      </c>
      <c r="D725" t="inlineStr">
        <is>
          <t>JÄMTLANDS LÄN</t>
        </is>
      </c>
      <c r="E725" t="inlineStr">
        <is>
          <t>KROKOM</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46625-2021</t>
        </is>
      </c>
      <c r="B726" s="1" t="n">
        <v>44445</v>
      </c>
      <c r="C726" s="1" t="n">
        <v>45831</v>
      </c>
      <c r="D726" t="inlineStr">
        <is>
          <t>JÄMTLANDS LÄN</t>
        </is>
      </c>
      <c r="E726" t="inlineStr">
        <is>
          <t>KROKOM</t>
        </is>
      </c>
      <c r="G726" t="n">
        <v>1.2</v>
      </c>
      <c r="H726" t="n">
        <v>0</v>
      </c>
      <c r="I726" t="n">
        <v>0</v>
      </c>
      <c r="J726" t="n">
        <v>0</v>
      </c>
      <c r="K726" t="n">
        <v>0</v>
      </c>
      <c r="L726" t="n">
        <v>0</v>
      </c>
      <c r="M726" t="n">
        <v>0</v>
      </c>
      <c r="N726" t="n">
        <v>0</v>
      </c>
      <c r="O726" t="n">
        <v>0</v>
      </c>
      <c r="P726" t="n">
        <v>0</v>
      </c>
      <c r="Q726" t="n">
        <v>0</v>
      </c>
      <c r="R726" s="2" t="inlineStr"/>
    </row>
    <row r="727" ht="15" customHeight="1">
      <c r="A727" t="inlineStr">
        <is>
          <t>A 44374-2021</t>
        </is>
      </c>
      <c r="B727" s="1" t="n">
        <v>44447</v>
      </c>
      <c r="C727" s="1" t="n">
        <v>45831</v>
      </c>
      <c r="D727" t="inlineStr">
        <is>
          <t>JÄMTLANDS LÄN</t>
        </is>
      </c>
      <c r="E727" t="inlineStr">
        <is>
          <t>KROKOM</t>
        </is>
      </c>
      <c r="G727" t="n">
        <v>7.8</v>
      </c>
      <c r="H727" t="n">
        <v>0</v>
      </c>
      <c r="I727" t="n">
        <v>0</v>
      </c>
      <c r="J727" t="n">
        <v>0</v>
      </c>
      <c r="K727" t="n">
        <v>0</v>
      </c>
      <c r="L727" t="n">
        <v>0</v>
      </c>
      <c r="M727" t="n">
        <v>0</v>
      </c>
      <c r="N727" t="n">
        <v>0</v>
      </c>
      <c r="O727" t="n">
        <v>0</v>
      </c>
      <c r="P727" t="n">
        <v>0</v>
      </c>
      <c r="Q727" t="n">
        <v>0</v>
      </c>
      <c r="R727" s="2" t="inlineStr"/>
    </row>
    <row r="728" ht="15" customHeight="1">
      <c r="A728" t="inlineStr">
        <is>
          <t>A 48440-2021</t>
        </is>
      </c>
      <c r="B728" s="1" t="n">
        <v>44449</v>
      </c>
      <c r="C728" s="1" t="n">
        <v>45831</v>
      </c>
      <c r="D728" t="inlineStr">
        <is>
          <t>JÄMTLANDS LÄN</t>
        </is>
      </c>
      <c r="E728" t="inlineStr">
        <is>
          <t>KROKOM</t>
        </is>
      </c>
      <c r="G728" t="n">
        <v>8.6</v>
      </c>
      <c r="H728" t="n">
        <v>0</v>
      </c>
      <c r="I728" t="n">
        <v>0</v>
      </c>
      <c r="J728" t="n">
        <v>0</v>
      </c>
      <c r="K728" t="n">
        <v>0</v>
      </c>
      <c r="L728" t="n">
        <v>0</v>
      </c>
      <c r="M728" t="n">
        <v>0</v>
      </c>
      <c r="N728" t="n">
        <v>0</v>
      </c>
      <c r="O728" t="n">
        <v>0</v>
      </c>
      <c r="P728" t="n">
        <v>0</v>
      </c>
      <c r="Q728" t="n">
        <v>0</v>
      </c>
      <c r="R728" s="2" t="inlineStr"/>
    </row>
    <row r="729" ht="15" customHeight="1">
      <c r="A729" t="inlineStr">
        <is>
          <t>A 50177-2021</t>
        </is>
      </c>
      <c r="B729" s="1" t="n">
        <v>44456</v>
      </c>
      <c r="C729" s="1" t="n">
        <v>45831</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50476-2021</t>
        </is>
      </c>
      <c r="B730" s="1" t="n">
        <v>44459</v>
      </c>
      <c r="C730" s="1" t="n">
        <v>45831</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50887-2021</t>
        </is>
      </c>
      <c r="B731" s="1" t="n">
        <v>44459</v>
      </c>
      <c r="C731" s="1" t="n">
        <v>45831</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50790-2021</t>
        </is>
      </c>
      <c r="B732" s="1" t="n">
        <v>44460</v>
      </c>
      <c r="C732" s="1" t="n">
        <v>45831</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52557-2021</t>
        </is>
      </c>
      <c r="B733" s="1" t="n">
        <v>44466</v>
      </c>
      <c r="C733" s="1" t="n">
        <v>45831</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52578-2021</t>
        </is>
      </c>
      <c r="B734" s="1" t="n">
        <v>44466</v>
      </c>
      <c r="C734" s="1" t="n">
        <v>45831</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53191-2021</t>
        </is>
      </c>
      <c r="B735" s="1" t="n">
        <v>44468</v>
      </c>
      <c r="C735" s="1" t="n">
        <v>45831</v>
      </c>
      <c r="D735" t="inlineStr">
        <is>
          <t>JÄMTLANDS LÄN</t>
        </is>
      </c>
      <c r="E735" t="inlineStr">
        <is>
          <t>KROKOM</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45831</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54037-2021</t>
        </is>
      </c>
      <c r="B737" s="1" t="n">
        <v>44470</v>
      </c>
      <c r="C737" s="1" t="n">
        <v>45831</v>
      </c>
      <c r="D737" t="inlineStr">
        <is>
          <t>JÄMTLANDS LÄN</t>
        </is>
      </c>
      <c r="E737" t="inlineStr">
        <is>
          <t>KROKOM</t>
        </is>
      </c>
      <c r="G737" t="n">
        <v>6.3</v>
      </c>
      <c r="H737" t="n">
        <v>0</v>
      </c>
      <c r="I737" t="n">
        <v>0</v>
      </c>
      <c r="J737" t="n">
        <v>0</v>
      </c>
      <c r="K737" t="n">
        <v>0</v>
      </c>
      <c r="L737" t="n">
        <v>0</v>
      </c>
      <c r="M737" t="n">
        <v>0</v>
      </c>
      <c r="N737" t="n">
        <v>0</v>
      </c>
      <c r="O737" t="n">
        <v>0</v>
      </c>
      <c r="P737" t="n">
        <v>0</v>
      </c>
      <c r="Q737" t="n">
        <v>0</v>
      </c>
      <c r="R737" s="2" t="inlineStr"/>
    </row>
    <row r="738" ht="15" customHeight="1">
      <c r="A738" t="inlineStr">
        <is>
          <t>A 54152-2021</t>
        </is>
      </c>
      <c r="B738" s="1" t="n">
        <v>44470</v>
      </c>
      <c r="C738" s="1" t="n">
        <v>45831</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54516-2021</t>
        </is>
      </c>
      <c r="B739" s="1" t="n">
        <v>44473</v>
      </c>
      <c r="C739" s="1" t="n">
        <v>45831</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54438-2021</t>
        </is>
      </c>
      <c r="B740" s="1" t="n">
        <v>44473</v>
      </c>
      <c r="C740" s="1" t="n">
        <v>45831</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54499-2021</t>
        </is>
      </c>
      <c r="B741" s="1" t="n">
        <v>44473</v>
      </c>
      <c r="C741" s="1" t="n">
        <v>45831</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54497-2021</t>
        </is>
      </c>
      <c r="B742" s="1" t="n">
        <v>44473</v>
      </c>
      <c r="C742" s="1" t="n">
        <v>45831</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54526-2021</t>
        </is>
      </c>
      <c r="B743" s="1" t="n">
        <v>44473</v>
      </c>
      <c r="C743" s="1" t="n">
        <v>45831</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54573-2021</t>
        </is>
      </c>
      <c r="B744" s="1" t="n">
        <v>44473</v>
      </c>
      <c r="C744" s="1" t="n">
        <v>45831</v>
      </c>
      <c r="D744" t="inlineStr">
        <is>
          <t>JÄMTLANDS LÄN</t>
        </is>
      </c>
      <c r="E744" t="inlineStr">
        <is>
          <t>KROKOM</t>
        </is>
      </c>
      <c r="G744" t="n">
        <v>7</v>
      </c>
      <c r="H744" t="n">
        <v>0</v>
      </c>
      <c r="I744" t="n">
        <v>0</v>
      </c>
      <c r="J744" t="n">
        <v>0</v>
      </c>
      <c r="K744" t="n">
        <v>0</v>
      </c>
      <c r="L744" t="n">
        <v>0</v>
      </c>
      <c r="M744" t="n">
        <v>0</v>
      </c>
      <c r="N744" t="n">
        <v>0</v>
      </c>
      <c r="O744" t="n">
        <v>0</v>
      </c>
      <c r="P744" t="n">
        <v>0</v>
      </c>
      <c r="Q744" t="n">
        <v>0</v>
      </c>
      <c r="R744" s="2" t="inlineStr"/>
    </row>
    <row r="745" ht="15" customHeight="1">
      <c r="A745" t="inlineStr">
        <is>
          <t>A 56577-2021</t>
        </is>
      </c>
      <c r="B745" s="1" t="n">
        <v>44480</v>
      </c>
      <c r="C745" s="1" t="n">
        <v>45831</v>
      </c>
      <c r="D745" t="inlineStr">
        <is>
          <t>JÄMTLANDS LÄN</t>
        </is>
      </c>
      <c r="E745" t="inlineStr">
        <is>
          <t>KROKOM</t>
        </is>
      </c>
      <c r="F745" t="inlineStr">
        <is>
          <t>Kyrkan</t>
        </is>
      </c>
      <c r="G745" t="n">
        <v>13.8</v>
      </c>
      <c r="H745" t="n">
        <v>0</v>
      </c>
      <c r="I745" t="n">
        <v>0</v>
      </c>
      <c r="J745" t="n">
        <v>0</v>
      </c>
      <c r="K745" t="n">
        <v>0</v>
      </c>
      <c r="L745" t="n">
        <v>0</v>
      </c>
      <c r="M745" t="n">
        <v>0</v>
      </c>
      <c r="N745" t="n">
        <v>0</v>
      </c>
      <c r="O745" t="n">
        <v>0</v>
      </c>
      <c r="P745" t="n">
        <v>0</v>
      </c>
      <c r="Q745" t="n">
        <v>0</v>
      </c>
      <c r="R745" s="2" t="inlineStr"/>
    </row>
    <row r="746" ht="15" customHeight="1">
      <c r="A746" t="inlineStr">
        <is>
          <t>A 57304-2021</t>
        </is>
      </c>
      <c r="B746" s="1" t="n">
        <v>44483</v>
      </c>
      <c r="C746" s="1" t="n">
        <v>45831</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58390-2021</t>
        </is>
      </c>
      <c r="B747" s="1" t="n">
        <v>44488</v>
      </c>
      <c r="C747" s="1" t="n">
        <v>45831</v>
      </c>
      <c r="D747" t="inlineStr">
        <is>
          <t>JÄMTLANDS LÄN</t>
        </is>
      </c>
      <c r="E747" t="inlineStr">
        <is>
          <t>KROKOM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59506-2021</t>
        </is>
      </c>
      <c r="B748" s="1" t="n">
        <v>44491</v>
      </c>
      <c r="C748" s="1" t="n">
        <v>45831</v>
      </c>
      <c r="D748" t="inlineStr">
        <is>
          <t>JÄMTLANDS LÄN</t>
        </is>
      </c>
      <c r="E748" t="inlineStr">
        <is>
          <t>KROKOM</t>
        </is>
      </c>
      <c r="G748" t="n">
        <v>6</v>
      </c>
      <c r="H748" t="n">
        <v>0</v>
      </c>
      <c r="I748" t="n">
        <v>0</v>
      </c>
      <c r="J748" t="n">
        <v>0</v>
      </c>
      <c r="K748" t="n">
        <v>0</v>
      </c>
      <c r="L748" t="n">
        <v>0</v>
      </c>
      <c r="M748" t="n">
        <v>0</v>
      </c>
      <c r="N748" t="n">
        <v>0</v>
      </c>
      <c r="O748" t="n">
        <v>0</v>
      </c>
      <c r="P748" t="n">
        <v>0</v>
      </c>
      <c r="Q748" t="n">
        <v>0</v>
      </c>
      <c r="R748" s="2" t="inlineStr"/>
    </row>
    <row r="749" ht="15" customHeight="1">
      <c r="A749" t="inlineStr">
        <is>
          <t>A 59916-2021</t>
        </is>
      </c>
      <c r="B749" s="1" t="n">
        <v>44494</v>
      </c>
      <c r="C749" s="1" t="n">
        <v>45831</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59913-2021</t>
        </is>
      </c>
      <c r="B750" s="1" t="n">
        <v>44494</v>
      </c>
      <c r="C750" s="1" t="n">
        <v>45831</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60348-2021</t>
        </is>
      </c>
      <c r="B751" s="1" t="n">
        <v>44495</v>
      </c>
      <c r="C751" s="1" t="n">
        <v>45831</v>
      </c>
      <c r="D751" t="inlineStr">
        <is>
          <t>JÄMTLANDS LÄN</t>
        </is>
      </c>
      <c r="E751" t="inlineStr">
        <is>
          <t>KROKOM</t>
        </is>
      </c>
      <c r="G751" t="n">
        <v>11.2</v>
      </c>
      <c r="H751" t="n">
        <v>0</v>
      </c>
      <c r="I751" t="n">
        <v>0</v>
      </c>
      <c r="J751" t="n">
        <v>0</v>
      </c>
      <c r="K751" t="n">
        <v>0</v>
      </c>
      <c r="L751" t="n">
        <v>0</v>
      </c>
      <c r="M751" t="n">
        <v>0</v>
      </c>
      <c r="N751" t="n">
        <v>0</v>
      </c>
      <c r="O751" t="n">
        <v>0</v>
      </c>
      <c r="P751" t="n">
        <v>0</v>
      </c>
      <c r="Q751" t="n">
        <v>0</v>
      </c>
      <c r="R751" s="2" t="inlineStr"/>
    </row>
    <row r="752" ht="15" customHeight="1">
      <c r="A752" t="inlineStr">
        <is>
          <t>A 60351-2021</t>
        </is>
      </c>
      <c r="B752" s="1" t="n">
        <v>44495</v>
      </c>
      <c r="C752" s="1" t="n">
        <v>45831</v>
      </c>
      <c r="D752" t="inlineStr">
        <is>
          <t>JÄMTLANDS LÄN</t>
        </is>
      </c>
      <c r="E752" t="inlineStr">
        <is>
          <t>KROKOM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61230-2021</t>
        </is>
      </c>
      <c r="B753" s="1" t="n">
        <v>44498</v>
      </c>
      <c r="C753" s="1" t="n">
        <v>45831</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61182-2021</t>
        </is>
      </c>
      <c r="B754" s="1" t="n">
        <v>44498</v>
      </c>
      <c r="C754" s="1" t="n">
        <v>45831</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61732-2021</t>
        </is>
      </c>
      <c r="B755" s="1" t="n">
        <v>44498</v>
      </c>
      <c r="C755" s="1" t="n">
        <v>45831</v>
      </c>
      <c r="D755" t="inlineStr">
        <is>
          <t>JÄMTLANDS LÄN</t>
        </is>
      </c>
      <c r="E755" t="inlineStr">
        <is>
          <t>KROKOM</t>
        </is>
      </c>
      <c r="G755" t="n">
        <v>1.3</v>
      </c>
      <c r="H755" t="n">
        <v>0</v>
      </c>
      <c r="I755" t="n">
        <v>0</v>
      </c>
      <c r="J755" t="n">
        <v>0</v>
      </c>
      <c r="K755" t="n">
        <v>0</v>
      </c>
      <c r="L755" t="n">
        <v>0</v>
      </c>
      <c r="M755" t="n">
        <v>0</v>
      </c>
      <c r="N755" t="n">
        <v>0</v>
      </c>
      <c r="O755" t="n">
        <v>0</v>
      </c>
      <c r="P755" t="n">
        <v>0</v>
      </c>
      <c r="Q755" t="n">
        <v>0</v>
      </c>
      <c r="R755" s="2" t="inlineStr"/>
    </row>
    <row r="756" ht="15" customHeight="1">
      <c r="A756" t="inlineStr">
        <is>
          <t>A 62205-2021</t>
        </is>
      </c>
      <c r="B756" s="1" t="n">
        <v>44502</v>
      </c>
      <c r="C756" s="1" t="n">
        <v>45831</v>
      </c>
      <c r="D756" t="inlineStr">
        <is>
          <t>JÄMTLANDS LÄN</t>
        </is>
      </c>
      <c r="E756" t="inlineStr">
        <is>
          <t>KROKOM</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62206-2021</t>
        </is>
      </c>
      <c r="B757" s="1" t="n">
        <v>44502</v>
      </c>
      <c r="C757" s="1" t="n">
        <v>45831</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62201-2021</t>
        </is>
      </c>
      <c r="B758" s="1" t="n">
        <v>44502</v>
      </c>
      <c r="C758" s="1" t="n">
        <v>45831</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62739-2021</t>
        </is>
      </c>
      <c r="B759" s="1" t="n">
        <v>44504</v>
      </c>
      <c r="C759" s="1" t="n">
        <v>45831</v>
      </c>
      <c r="D759" t="inlineStr">
        <is>
          <t>JÄMTLANDS LÄN</t>
        </is>
      </c>
      <c r="E759" t="inlineStr">
        <is>
          <t>KROKOM</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64299-2021</t>
        </is>
      </c>
      <c r="B760" s="1" t="n">
        <v>44510</v>
      </c>
      <c r="C760" s="1" t="n">
        <v>45831</v>
      </c>
      <c r="D760" t="inlineStr">
        <is>
          <t>JÄMTLANDS LÄN</t>
        </is>
      </c>
      <c r="E760" t="inlineStr">
        <is>
          <t>KROKOM</t>
        </is>
      </c>
      <c r="G760" t="n">
        <v>3.7</v>
      </c>
      <c r="H760" t="n">
        <v>0</v>
      </c>
      <c r="I760" t="n">
        <v>0</v>
      </c>
      <c r="J760" t="n">
        <v>0</v>
      </c>
      <c r="K760" t="n">
        <v>0</v>
      </c>
      <c r="L760" t="n">
        <v>0</v>
      </c>
      <c r="M760" t="n">
        <v>0</v>
      </c>
      <c r="N760" t="n">
        <v>0</v>
      </c>
      <c r="O760" t="n">
        <v>0</v>
      </c>
      <c r="P760" t="n">
        <v>0</v>
      </c>
      <c r="Q760" t="n">
        <v>0</v>
      </c>
      <c r="R760" s="2" t="inlineStr"/>
    </row>
    <row r="761" ht="15" customHeight="1">
      <c r="A761" t="inlineStr">
        <is>
          <t>A 64298-2021</t>
        </is>
      </c>
      <c r="B761" s="1" t="n">
        <v>44510</v>
      </c>
      <c r="C761" s="1" t="n">
        <v>45831</v>
      </c>
      <c r="D761" t="inlineStr">
        <is>
          <t>JÄMTLANDS LÄN</t>
        </is>
      </c>
      <c r="E761" t="inlineStr">
        <is>
          <t>KROKOM</t>
        </is>
      </c>
      <c r="G761" t="n">
        <v>3.2</v>
      </c>
      <c r="H761" t="n">
        <v>0</v>
      </c>
      <c r="I761" t="n">
        <v>0</v>
      </c>
      <c r="J761" t="n">
        <v>0</v>
      </c>
      <c r="K761" t="n">
        <v>0</v>
      </c>
      <c r="L761" t="n">
        <v>0</v>
      </c>
      <c r="M761" t="n">
        <v>0</v>
      </c>
      <c r="N761" t="n">
        <v>0</v>
      </c>
      <c r="O761" t="n">
        <v>0</v>
      </c>
      <c r="P761" t="n">
        <v>0</v>
      </c>
      <c r="Q761" t="n">
        <v>0</v>
      </c>
      <c r="R761" s="2" t="inlineStr"/>
    </row>
    <row r="762" ht="15" customHeight="1">
      <c r="A762" t="inlineStr">
        <is>
          <t>A 64953-2021</t>
        </is>
      </c>
      <c r="B762" s="1" t="n">
        <v>44512</v>
      </c>
      <c r="C762" s="1" t="n">
        <v>45831</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64966-2021</t>
        </is>
      </c>
      <c r="B763" s="1" t="n">
        <v>44512</v>
      </c>
      <c r="C763" s="1" t="n">
        <v>45831</v>
      </c>
      <c r="D763" t="inlineStr">
        <is>
          <t>JÄMTLANDS LÄN</t>
        </is>
      </c>
      <c r="E763" t="inlineStr">
        <is>
          <t>KROKOM</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65508-2021</t>
        </is>
      </c>
      <c r="B764" s="1" t="n">
        <v>44516</v>
      </c>
      <c r="C764" s="1" t="n">
        <v>45831</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66477-2021</t>
        </is>
      </c>
      <c r="B765" s="1" t="n">
        <v>44518</v>
      </c>
      <c r="C765" s="1" t="n">
        <v>45831</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66476-2021</t>
        </is>
      </c>
      <c r="B766" s="1" t="n">
        <v>44518</v>
      </c>
      <c r="C766" s="1" t="n">
        <v>45831</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66683-2021</t>
        </is>
      </c>
      <c r="B767" s="1" t="n">
        <v>44519</v>
      </c>
      <c r="C767" s="1" t="n">
        <v>45831</v>
      </c>
      <c r="D767" t="inlineStr">
        <is>
          <t>JÄMTLANDS LÄN</t>
        </is>
      </c>
      <c r="E767" t="inlineStr">
        <is>
          <t>KROKOM</t>
        </is>
      </c>
      <c r="G767" t="n">
        <v>5.4</v>
      </c>
      <c r="H767" t="n">
        <v>0</v>
      </c>
      <c r="I767" t="n">
        <v>0</v>
      </c>
      <c r="J767" t="n">
        <v>0</v>
      </c>
      <c r="K767" t="n">
        <v>0</v>
      </c>
      <c r="L767" t="n">
        <v>0</v>
      </c>
      <c r="M767" t="n">
        <v>0</v>
      </c>
      <c r="N767" t="n">
        <v>0</v>
      </c>
      <c r="O767" t="n">
        <v>0</v>
      </c>
      <c r="P767" t="n">
        <v>0</v>
      </c>
      <c r="Q767" t="n">
        <v>0</v>
      </c>
      <c r="R767" s="2" t="inlineStr"/>
    </row>
    <row r="768" ht="15" customHeight="1">
      <c r="A768" t="inlineStr">
        <is>
          <t>A 66880-2021</t>
        </is>
      </c>
      <c r="B768" s="1" t="n">
        <v>44522</v>
      </c>
      <c r="C768" s="1" t="n">
        <v>45831</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67488-2021</t>
        </is>
      </c>
      <c r="B769" s="1" t="n">
        <v>44524</v>
      </c>
      <c r="C769" s="1" t="n">
        <v>45831</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67740-2021</t>
        </is>
      </c>
      <c r="B770" s="1" t="n">
        <v>44524</v>
      </c>
      <c r="C770" s="1" t="n">
        <v>45831</v>
      </c>
      <c r="D770" t="inlineStr">
        <is>
          <t>JÄMTLANDS LÄN</t>
        </is>
      </c>
      <c r="E770" t="inlineStr">
        <is>
          <t>KROKOM</t>
        </is>
      </c>
      <c r="G770" t="n">
        <v>12.3</v>
      </c>
      <c r="H770" t="n">
        <v>0</v>
      </c>
      <c r="I770" t="n">
        <v>0</v>
      </c>
      <c r="J770" t="n">
        <v>0</v>
      </c>
      <c r="K770" t="n">
        <v>0</v>
      </c>
      <c r="L770" t="n">
        <v>0</v>
      </c>
      <c r="M770" t="n">
        <v>0</v>
      </c>
      <c r="N770" t="n">
        <v>0</v>
      </c>
      <c r="O770" t="n">
        <v>0</v>
      </c>
      <c r="P770" t="n">
        <v>0</v>
      </c>
      <c r="Q770" t="n">
        <v>0</v>
      </c>
      <c r="R770" s="2" t="inlineStr"/>
    </row>
    <row r="771" ht="15" customHeight="1">
      <c r="A771" t="inlineStr">
        <is>
          <t>A 67797-2021</t>
        </is>
      </c>
      <c r="B771" s="1" t="n">
        <v>44524</v>
      </c>
      <c r="C771" s="1" t="n">
        <v>45831</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67722-2021</t>
        </is>
      </c>
      <c r="B772" s="1" t="n">
        <v>44525</v>
      </c>
      <c r="C772" s="1" t="n">
        <v>45831</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68686-2021</t>
        </is>
      </c>
      <c r="B773" s="1" t="n">
        <v>44526</v>
      </c>
      <c r="C773" s="1" t="n">
        <v>45831</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69751-2021</t>
        </is>
      </c>
      <c r="B774" s="1" t="n">
        <v>44532</v>
      </c>
      <c r="C774" s="1" t="n">
        <v>45831</v>
      </c>
      <c r="D774" t="inlineStr">
        <is>
          <t>JÄMTLANDS LÄN</t>
        </is>
      </c>
      <c r="E774" t="inlineStr">
        <is>
          <t>KROKOM</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69949-2021</t>
        </is>
      </c>
      <c r="B775" s="1" t="n">
        <v>44533</v>
      </c>
      <c r="C775" s="1" t="n">
        <v>45831</v>
      </c>
      <c r="D775" t="inlineStr">
        <is>
          <t>JÄMTLANDS LÄN</t>
        </is>
      </c>
      <c r="E775" t="inlineStr">
        <is>
          <t>KROKOM</t>
        </is>
      </c>
      <c r="G775" t="n">
        <v>15.8</v>
      </c>
      <c r="H775" t="n">
        <v>0</v>
      </c>
      <c r="I775" t="n">
        <v>0</v>
      </c>
      <c r="J775" t="n">
        <v>0</v>
      </c>
      <c r="K775" t="n">
        <v>0</v>
      </c>
      <c r="L775" t="n">
        <v>0</v>
      </c>
      <c r="M775" t="n">
        <v>0</v>
      </c>
      <c r="N775" t="n">
        <v>0</v>
      </c>
      <c r="O775" t="n">
        <v>0</v>
      </c>
      <c r="P775" t="n">
        <v>0</v>
      </c>
      <c r="Q775" t="n">
        <v>0</v>
      </c>
      <c r="R775" s="2" t="inlineStr"/>
    </row>
    <row r="776" ht="15" customHeight="1">
      <c r="A776" t="inlineStr">
        <is>
          <t>A 69972-2021</t>
        </is>
      </c>
      <c r="B776" s="1" t="n">
        <v>44533</v>
      </c>
      <c r="C776" s="1" t="n">
        <v>45831</v>
      </c>
      <c r="D776" t="inlineStr">
        <is>
          <t>JÄMTLANDS LÄN</t>
        </is>
      </c>
      <c r="E776" t="inlineStr">
        <is>
          <t>KROKOM</t>
        </is>
      </c>
      <c r="G776" t="n">
        <v>22.9</v>
      </c>
      <c r="H776" t="n">
        <v>0</v>
      </c>
      <c r="I776" t="n">
        <v>0</v>
      </c>
      <c r="J776" t="n">
        <v>0</v>
      </c>
      <c r="K776" t="n">
        <v>0</v>
      </c>
      <c r="L776" t="n">
        <v>0</v>
      </c>
      <c r="M776" t="n">
        <v>0</v>
      </c>
      <c r="N776" t="n">
        <v>0</v>
      </c>
      <c r="O776" t="n">
        <v>0</v>
      </c>
      <c r="P776" t="n">
        <v>0</v>
      </c>
      <c r="Q776" t="n">
        <v>0</v>
      </c>
      <c r="R776" s="2" t="inlineStr"/>
    </row>
    <row r="777" ht="15" customHeight="1">
      <c r="A777" t="inlineStr">
        <is>
          <t>A 70222-2021</t>
        </is>
      </c>
      <c r="B777" s="1" t="n">
        <v>44535</v>
      </c>
      <c r="C777" s="1" t="n">
        <v>45831</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71307-2021</t>
        </is>
      </c>
      <c r="B778" s="1" t="n">
        <v>44539</v>
      </c>
      <c r="C778" s="1" t="n">
        <v>45831</v>
      </c>
      <c r="D778" t="inlineStr">
        <is>
          <t>JÄMTLANDS LÄN</t>
        </is>
      </c>
      <c r="E778" t="inlineStr">
        <is>
          <t>KROKOM</t>
        </is>
      </c>
      <c r="G778" t="n">
        <v>21.5</v>
      </c>
      <c r="H778" t="n">
        <v>0</v>
      </c>
      <c r="I778" t="n">
        <v>0</v>
      </c>
      <c r="J778" t="n">
        <v>0</v>
      </c>
      <c r="K778" t="n">
        <v>0</v>
      </c>
      <c r="L778" t="n">
        <v>0</v>
      </c>
      <c r="M778" t="n">
        <v>0</v>
      </c>
      <c r="N778" t="n">
        <v>0</v>
      </c>
      <c r="O778" t="n">
        <v>0</v>
      </c>
      <c r="P778" t="n">
        <v>0</v>
      </c>
      <c r="Q778" t="n">
        <v>0</v>
      </c>
      <c r="R778" s="2" t="inlineStr"/>
    </row>
    <row r="779" ht="15" customHeight="1">
      <c r="A779" t="inlineStr">
        <is>
          <t>A 71246-2021</t>
        </is>
      </c>
      <c r="B779" s="1" t="n">
        <v>44539</v>
      </c>
      <c r="C779" s="1" t="n">
        <v>45831</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71572-2021</t>
        </is>
      </c>
      <c r="B780" s="1" t="n">
        <v>44540</v>
      </c>
      <c r="C780" s="1" t="n">
        <v>45831</v>
      </c>
      <c r="D780" t="inlineStr">
        <is>
          <t>JÄMTLANDS LÄN</t>
        </is>
      </c>
      <c r="E780" t="inlineStr">
        <is>
          <t>KROKOM</t>
        </is>
      </c>
      <c r="G780" t="n">
        <v>0.9</v>
      </c>
      <c r="H780" t="n">
        <v>0</v>
      </c>
      <c r="I780" t="n">
        <v>0</v>
      </c>
      <c r="J780" t="n">
        <v>0</v>
      </c>
      <c r="K780" t="n">
        <v>0</v>
      </c>
      <c r="L780" t="n">
        <v>0</v>
      </c>
      <c r="M780" t="n">
        <v>0</v>
      </c>
      <c r="N780" t="n">
        <v>0</v>
      </c>
      <c r="O780" t="n">
        <v>0</v>
      </c>
      <c r="P780" t="n">
        <v>0</v>
      </c>
      <c r="Q780" t="n">
        <v>0</v>
      </c>
      <c r="R780" s="2" t="inlineStr"/>
    </row>
    <row r="781" ht="15" customHeight="1">
      <c r="A781" t="inlineStr">
        <is>
          <t>A 71654-2021</t>
        </is>
      </c>
      <c r="B781" s="1" t="n">
        <v>44543</v>
      </c>
      <c r="C781" s="1" t="n">
        <v>45831</v>
      </c>
      <c r="D781" t="inlineStr">
        <is>
          <t>JÄMTLANDS LÄN</t>
        </is>
      </c>
      <c r="E781" t="inlineStr">
        <is>
          <t>KROKOM</t>
        </is>
      </c>
      <c r="G781" t="n">
        <v>4.4</v>
      </c>
      <c r="H781" t="n">
        <v>0</v>
      </c>
      <c r="I781" t="n">
        <v>0</v>
      </c>
      <c r="J781" t="n">
        <v>0</v>
      </c>
      <c r="K781" t="n">
        <v>0</v>
      </c>
      <c r="L781" t="n">
        <v>0</v>
      </c>
      <c r="M781" t="n">
        <v>0</v>
      </c>
      <c r="N781" t="n">
        <v>0</v>
      </c>
      <c r="O781" t="n">
        <v>0</v>
      </c>
      <c r="P781" t="n">
        <v>0</v>
      </c>
      <c r="Q781" t="n">
        <v>0</v>
      </c>
      <c r="R781" s="2" t="inlineStr"/>
    </row>
    <row r="782" ht="15" customHeight="1">
      <c r="A782" t="inlineStr">
        <is>
          <t>A 72286-2021</t>
        </is>
      </c>
      <c r="B782" s="1" t="n">
        <v>44543</v>
      </c>
      <c r="C782" s="1" t="n">
        <v>45831</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v>
      </c>
      <c r="C783" s="1" t="n">
        <v>45831</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72599-2021</t>
        </is>
      </c>
      <c r="B784" s="1" t="n">
        <v>44544</v>
      </c>
      <c r="C784" s="1" t="n">
        <v>45831</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72591-2021</t>
        </is>
      </c>
      <c r="B785" s="1" t="n">
        <v>44544</v>
      </c>
      <c r="C785" s="1" t="n">
        <v>45831</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72482-2021</t>
        </is>
      </c>
      <c r="B786" s="1" t="n">
        <v>44545</v>
      </c>
      <c r="C786" s="1" t="n">
        <v>45831</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73174-2021</t>
        </is>
      </c>
      <c r="B787" s="1" t="n">
        <v>44550</v>
      </c>
      <c r="C787" s="1" t="n">
        <v>45831</v>
      </c>
      <c r="D787" t="inlineStr">
        <is>
          <t>JÄMTLANDS LÄN</t>
        </is>
      </c>
      <c r="E787" t="inlineStr">
        <is>
          <t>KROKOM</t>
        </is>
      </c>
      <c r="G787" t="n">
        <v>152.9</v>
      </c>
      <c r="H787" t="n">
        <v>0</v>
      </c>
      <c r="I787" t="n">
        <v>0</v>
      </c>
      <c r="J787" t="n">
        <v>0</v>
      </c>
      <c r="K787" t="n">
        <v>0</v>
      </c>
      <c r="L787" t="n">
        <v>0</v>
      </c>
      <c r="M787" t="n">
        <v>0</v>
      </c>
      <c r="N787" t="n">
        <v>0</v>
      </c>
      <c r="O787" t="n">
        <v>0</v>
      </c>
      <c r="P787" t="n">
        <v>0</v>
      </c>
      <c r="Q787" t="n">
        <v>0</v>
      </c>
      <c r="R787" s="2" t="inlineStr"/>
    </row>
    <row r="788" ht="15" customHeight="1">
      <c r="A788" t="inlineStr">
        <is>
          <t>A 74011-2021</t>
        </is>
      </c>
      <c r="B788" s="1" t="n">
        <v>44557</v>
      </c>
      <c r="C788" s="1" t="n">
        <v>45831</v>
      </c>
      <c r="D788" t="inlineStr">
        <is>
          <t>JÄMTLANDS LÄN</t>
        </is>
      </c>
      <c r="E788" t="inlineStr">
        <is>
          <t>KROKOM</t>
        </is>
      </c>
      <c r="G788" t="n">
        <v>33.2</v>
      </c>
      <c r="H788" t="n">
        <v>0</v>
      </c>
      <c r="I788" t="n">
        <v>0</v>
      </c>
      <c r="J788" t="n">
        <v>0</v>
      </c>
      <c r="K788" t="n">
        <v>0</v>
      </c>
      <c r="L788" t="n">
        <v>0</v>
      </c>
      <c r="M788" t="n">
        <v>0</v>
      </c>
      <c r="N788" t="n">
        <v>0</v>
      </c>
      <c r="O788" t="n">
        <v>0</v>
      </c>
      <c r="P788" t="n">
        <v>0</v>
      </c>
      <c r="Q788" t="n">
        <v>0</v>
      </c>
      <c r="R788" s="2" t="inlineStr"/>
    </row>
    <row r="789" ht="15" customHeight="1">
      <c r="A789" t="inlineStr">
        <is>
          <t>A 1625-2022</t>
        </is>
      </c>
      <c r="B789" s="1" t="n">
        <v>44573</v>
      </c>
      <c r="C789" s="1" t="n">
        <v>45831</v>
      </c>
      <c r="D789" t="inlineStr">
        <is>
          <t>JÄMTLANDS LÄN</t>
        </is>
      </c>
      <c r="E789" t="inlineStr">
        <is>
          <t>KROKOM</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2093-2022</t>
        </is>
      </c>
      <c r="B790" s="1" t="n">
        <v>44577</v>
      </c>
      <c r="C790" s="1" t="n">
        <v>45831</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3231-2022</t>
        </is>
      </c>
      <c r="B791" s="1" t="n">
        <v>44582</v>
      </c>
      <c r="C791" s="1" t="n">
        <v>45831</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4569-2022</t>
        </is>
      </c>
      <c r="B792" s="1" t="n">
        <v>44591</v>
      </c>
      <c r="C792" s="1" t="n">
        <v>45831</v>
      </c>
      <c r="D792" t="inlineStr">
        <is>
          <t>JÄMTLANDS LÄN</t>
        </is>
      </c>
      <c r="E792" t="inlineStr">
        <is>
          <t>KROKOM</t>
        </is>
      </c>
      <c r="G792" t="n">
        <v>20.3</v>
      </c>
      <c r="H792" t="n">
        <v>0</v>
      </c>
      <c r="I792" t="n">
        <v>0</v>
      </c>
      <c r="J792" t="n">
        <v>0</v>
      </c>
      <c r="K792" t="n">
        <v>0</v>
      </c>
      <c r="L792" t="n">
        <v>0</v>
      </c>
      <c r="M792" t="n">
        <v>0</v>
      </c>
      <c r="N792" t="n">
        <v>0</v>
      </c>
      <c r="O792" t="n">
        <v>0</v>
      </c>
      <c r="P792" t="n">
        <v>0</v>
      </c>
      <c r="Q792" t="n">
        <v>0</v>
      </c>
      <c r="R792" s="2" t="inlineStr"/>
    </row>
    <row r="793" ht="15" customHeight="1">
      <c r="A793" t="inlineStr">
        <is>
          <t>A 4741-2022</t>
        </is>
      </c>
      <c r="B793" s="1" t="n">
        <v>44592</v>
      </c>
      <c r="C793" s="1" t="n">
        <v>45831</v>
      </c>
      <c r="D793" t="inlineStr">
        <is>
          <t>JÄMTLANDS LÄN</t>
        </is>
      </c>
      <c r="E793" t="inlineStr">
        <is>
          <t>KROKOM</t>
        </is>
      </c>
      <c r="G793" t="n">
        <v>54.2</v>
      </c>
      <c r="H793" t="n">
        <v>0</v>
      </c>
      <c r="I793" t="n">
        <v>0</v>
      </c>
      <c r="J793" t="n">
        <v>0</v>
      </c>
      <c r="K793" t="n">
        <v>0</v>
      </c>
      <c r="L793" t="n">
        <v>0</v>
      </c>
      <c r="M793" t="n">
        <v>0</v>
      </c>
      <c r="N793" t="n">
        <v>0</v>
      </c>
      <c r="O793" t="n">
        <v>0</v>
      </c>
      <c r="P793" t="n">
        <v>0</v>
      </c>
      <c r="Q793" t="n">
        <v>0</v>
      </c>
      <c r="R793" s="2" t="inlineStr"/>
    </row>
    <row r="794" ht="15" customHeight="1">
      <c r="A794" t="inlineStr">
        <is>
          <t>A 5693-2022</t>
        </is>
      </c>
      <c r="B794" s="1" t="n">
        <v>44596</v>
      </c>
      <c r="C794" s="1" t="n">
        <v>45831</v>
      </c>
      <c r="D794" t="inlineStr">
        <is>
          <t>JÄMTLANDS LÄN</t>
        </is>
      </c>
      <c r="E794" t="inlineStr">
        <is>
          <t>KROKOM</t>
        </is>
      </c>
      <c r="G794" t="n">
        <v>40.8</v>
      </c>
      <c r="H794" t="n">
        <v>0</v>
      </c>
      <c r="I794" t="n">
        <v>0</v>
      </c>
      <c r="J794" t="n">
        <v>0</v>
      </c>
      <c r="K794" t="n">
        <v>0</v>
      </c>
      <c r="L794" t="n">
        <v>0</v>
      </c>
      <c r="M794" t="n">
        <v>0</v>
      </c>
      <c r="N794" t="n">
        <v>0</v>
      </c>
      <c r="O794" t="n">
        <v>0</v>
      </c>
      <c r="P794" t="n">
        <v>0</v>
      </c>
      <c r="Q794" t="n">
        <v>0</v>
      </c>
      <c r="R794" s="2" t="inlineStr"/>
    </row>
    <row r="795" ht="15" customHeight="1">
      <c r="A795" t="inlineStr">
        <is>
          <t>A 6214-2022</t>
        </is>
      </c>
      <c r="B795" s="1" t="n">
        <v>44600</v>
      </c>
      <c r="C795" s="1" t="n">
        <v>45831</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6451-2022</t>
        </is>
      </c>
      <c r="B796" s="1" t="n">
        <v>44601</v>
      </c>
      <c r="C796" s="1" t="n">
        <v>45831</v>
      </c>
      <c r="D796" t="inlineStr">
        <is>
          <t>JÄMTLANDS LÄN</t>
        </is>
      </c>
      <c r="E796" t="inlineStr">
        <is>
          <t>KROKOM</t>
        </is>
      </c>
      <c r="G796" t="n">
        <v>5.8</v>
      </c>
      <c r="H796" t="n">
        <v>0</v>
      </c>
      <c r="I796" t="n">
        <v>0</v>
      </c>
      <c r="J796" t="n">
        <v>0</v>
      </c>
      <c r="K796" t="n">
        <v>0</v>
      </c>
      <c r="L796" t="n">
        <v>0</v>
      </c>
      <c r="M796" t="n">
        <v>0</v>
      </c>
      <c r="N796" t="n">
        <v>0</v>
      </c>
      <c r="O796" t="n">
        <v>0</v>
      </c>
      <c r="P796" t="n">
        <v>0</v>
      </c>
      <c r="Q796" t="n">
        <v>0</v>
      </c>
      <c r="R796" s="2" t="inlineStr"/>
    </row>
    <row r="797" ht="15" customHeight="1">
      <c r="A797" t="inlineStr">
        <is>
          <t>A 7180-2022</t>
        </is>
      </c>
      <c r="B797" s="1" t="n">
        <v>44605</v>
      </c>
      <c r="C797" s="1" t="n">
        <v>45831</v>
      </c>
      <c r="D797" t="inlineStr">
        <is>
          <t>JÄMTLANDS LÄN</t>
        </is>
      </c>
      <c r="E797" t="inlineStr">
        <is>
          <t>KROKOM</t>
        </is>
      </c>
      <c r="G797" t="n">
        <v>5.9</v>
      </c>
      <c r="H797" t="n">
        <v>0</v>
      </c>
      <c r="I797" t="n">
        <v>0</v>
      </c>
      <c r="J797" t="n">
        <v>0</v>
      </c>
      <c r="K797" t="n">
        <v>0</v>
      </c>
      <c r="L797" t="n">
        <v>0</v>
      </c>
      <c r="M797" t="n">
        <v>0</v>
      </c>
      <c r="N797" t="n">
        <v>0</v>
      </c>
      <c r="O797" t="n">
        <v>0</v>
      </c>
      <c r="P797" t="n">
        <v>0</v>
      </c>
      <c r="Q797" t="n">
        <v>0</v>
      </c>
      <c r="R797" s="2" t="inlineStr"/>
    </row>
    <row r="798" ht="15" customHeight="1">
      <c r="A798" t="inlineStr">
        <is>
          <t>A 8230-2022</t>
        </is>
      </c>
      <c r="B798" s="1" t="n">
        <v>44609</v>
      </c>
      <c r="C798" s="1" t="n">
        <v>45831</v>
      </c>
      <c r="D798" t="inlineStr">
        <is>
          <t>JÄMTLANDS LÄN</t>
        </is>
      </c>
      <c r="E798" t="inlineStr">
        <is>
          <t>KROKOM</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8569-2022</t>
        </is>
      </c>
      <c r="B799" s="1" t="n">
        <v>44610</v>
      </c>
      <c r="C799" s="1" t="n">
        <v>45831</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8559-2022</t>
        </is>
      </c>
      <c r="B800" s="1" t="n">
        <v>44610</v>
      </c>
      <c r="C800" s="1" t="n">
        <v>45831</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11113-2022</t>
        </is>
      </c>
      <c r="B801" s="1" t="n">
        <v>44628</v>
      </c>
      <c r="C801" s="1" t="n">
        <v>45831</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11591-2022</t>
        </is>
      </c>
      <c r="B802" s="1" t="n">
        <v>44631</v>
      </c>
      <c r="C802" s="1" t="n">
        <v>45831</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12543-2022</t>
        </is>
      </c>
      <c r="B803" s="1" t="n">
        <v>44638</v>
      </c>
      <c r="C803" s="1" t="n">
        <v>45831</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14341-2022</t>
        </is>
      </c>
      <c r="B804" s="1" t="n">
        <v>44652</v>
      </c>
      <c r="C804" s="1" t="n">
        <v>45831</v>
      </c>
      <c r="D804" t="inlineStr">
        <is>
          <t>JÄMTLANDS LÄN</t>
        </is>
      </c>
      <c r="E804" t="inlineStr">
        <is>
          <t>KROKOM</t>
        </is>
      </c>
      <c r="G804" t="n">
        <v>39.8</v>
      </c>
      <c r="H804" t="n">
        <v>0</v>
      </c>
      <c r="I804" t="n">
        <v>0</v>
      </c>
      <c r="J804" t="n">
        <v>0</v>
      </c>
      <c r="K804" t="n">
        <v>0</v>
      </c>
      <c r="L804" t="n">
        <v>0</v>
      </c>
      <c r="M804" t="n">
        <v>0</v>
      </c>
      <c r="N804" t="n">
        <v>0</v>
      </c>
      <c r="O804" t="n">
        <v>0</v>
      </c>
      <c r="P804" t="n">
        <v>0</v>
      </c>
      <c r="Q804" t="n">
        <v>0</v>
      </c>
      <c r="R804" s="2" t="inlineStr"/>
    </row>
    <row r="805" ht="15" customHeight="1">
      <c r="A805" t="inlineStr">
        <is>
          <t>A 15231-2022</t>
        </is>
      </c>
      <c r="B805" s="1" t="n">
        <v>44658</v>
      </c>
      <c r="C805" s="1" t="n">
        <v>45831</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16037-2022</t>
        </is>
      </c>
      <c r="B806" s="1" t="n">
        <v>44665</v>
      </c>
      <c r="C806" s="1" t="n">
        <v>45831</v>
      </c>
      <c r="D806" t="inlineStr">
        <is>
          <t>JÄMTLANDS LÄN</t>
        </is>
      </c>
      <c r="E806" t="inlineStr">
        <is>
          <t>KROKOM</t>
        </is>
      </c>
      <c r="G806" t="n">
        <v>0.3</v>
      </c>
      <c r="H806" t="n">
        <v>0</v>
      </c>
      <c r="I806" t="n">
        <v>0</v>
      </c>
      <c r="J806" t="n">
        <v>0</v>
      </c>
      <c r="K806" t="n">
        <v>0</v>
      </c>
      <c r="L806" t="n">
        <v>0</v>
      </c>
      <c r="M806" t="n">
        <v>0</v>
      </c>
      <c r="N806" t="n">
        <v>0</v>
      </c>
      <c r="O806" t="n">
        <v>0</v>
      </c>
      <c r="P806" t="n">
        <v>0</v>
      </c>
      <c r="Q806" t="n">
        <v>0</v>
      </c>
      <c r="R806" s="2" t="inlineStr"/>
    </row>
    <row r="807" ht="15" customHeight="1">
      <c r="A807" t="inlineStr">
        <is>
          <t>A 16694-2022</t>
        </is>
      </c>
      <c r="B807" s="1" t="n">
        <v>44672</v>
      </c>
      <c r="C807" s="1" t="n">
        <v>45831</v>
      </c>
      <c r="D807" t="inlineStr">
        <is>
          <t>JÄMTLANDS LÄN</t>
        </is>
      </c>
      <c r="E807" t="inlineStr">
        <is>
          <t>KROKOM</t>
        </is>
      </c>
      <c r="G807" t="n">
        <v>16.9</v>
      </c>
      <c r="H807" t="n">
        <v>0</v>
      </c>
      <c r="I807" t="n">
        <v>0</v>
      </c>
      <c r="J807" t="n">
        <v>0</v>
      </c>
      <c r="K807" t="n">
        <v>0</v>
      </c>
      <c r="L807" t="n">
        <v>0</v>
      </c>
      <c r="M807" t="n">
        <v>0</v>
      </c>
      <c r="N807" t="n">
        <v>0</v>
      </c>
      <c r="O807" t="n">
        <v>0</v>
      </c>
      <c r="P807" t="n">
        <v>0</v>
      </c>
      <c r="Q807" t="n">
        <v>0</v>
      </c>
      <c r="R807" s="2" t="inlineStr"/>
    </row>
    <row r="808" ht="15" customHeight="1">
      <c r="A808" t="inlineStr">
        <is>
          <t>A 17051-2022</t>
        </is>
      </c>
      <c r="B808" s="1" t="n">
        <v>44677</v>
      </c>
      <c r="C808" s="1" t="n">
        <v>45831</v>
      </c>
      <c r="D808" t="inlineStr">
        <is>
          <t>JÄMTLANDS LÄN</t>
        </is>
      </c>
      <c r="E808" t="inlineStr">
        <is>
          <t>KROKOM</t>
        </is>
      </c>
      <c r="G808" t="n">
        <v>14.3</v>
      </c>
      <c r="H808" t="n">
        <v>0</v>
      </c>
      <c r="I808" t="n">
        <v>0</v>
      </c>
      <c r="J808" t="n">
        <v>0</v>
      </c>
      <c r="K808" t="n">
        <v>0</v>
      </c>
      <c r="L808" t="n">
        <v>0</v>
      </c>
      <c r="M808" t="n">
        <v>0</v>
      </c>
      <c r="N808" t="n">
        <v>0</v>
      </c>
      <c r="O808" t="n">
        <v>0</v>
      </c>
      <c r="P808" t="n">
        <v>0</v>
      </c>
      <c r="Q808" t="n">
        <v>0</v>
      </c>
      <c r="R808" s="2" t="inlineStr"/>
    </row>
    <row r="809" ht="15" customHeight="1">
      <c r="A809" t="inlineStr">
        <is>
          <t>A 17528-2022</t>
        </is>
      </c>
      <c r="B809" s="1" t="n">
        <v>44679</v>
      </c>
      <c r="C809" s="1" t="n">
        <v>45831</v>
      </c>
      <c r="D809" t="inlineStr">
        <is>
          <t>JÄMTLANDS LÄN</t>
        </is>
      </c>
      <c r="E809" t="inlineStr">
        <is>
          <t>KROKOM</t>
        </is>
      </c>
      <c r="F809" t="inlineStr">
        <is>
          <t>Kyrkan</t>
        </is>
      </c>
      <c r="G809" t="n">
        <v>2.2</v>
      </c>
      <c r="H809" t="n">
        <v>0</v>
      </c>
      <c r="I809" t="n">
        <v>0</v>
      </c>
      <c r="J809" t="n">
        <v>0</v>
      </c>
      <c r="K809" t="n">
        <v>0</v>
      </c>
      <c r="L809" t="n">
        <v>0</v>
      </c>
      <c r="M809" t="n">
        <v>0</v>
      </c>
      <c r="N809" t="n">
        <v>0</v>
      </c>
      <c r="O809" t="n">
        <v>0</v>
      </c>
      <c r="P809" t="n">
        <v>0</v>
      </c>
      <c r="Q809" t="n">
        <v>0</v>
      </c>
      <c r="R809" s="2" t="inlineStr"/>
    </row>
    <row r="810" ht="15" customHeight="1">
      <c r="A810" t="inlineStr">
        <is>
          <t>A 18426-2022</t>
        </is>
      </c>
      <c r="B810" s="1" t="n">
        <v>44686</v>
      </c>
      <c r="C810" s="1" t="n">
        <v>45831</v>
      </c>
      <c r="D810" t="inlineStr">
        <is>
          <t>JÄMTLANDS LÄN</t>
        </is>
      </c>
      <c r="E810" t="inlineStr">
        <is>
          <t>KROKOM</t>
        </is>
      </c>
      <c r="F810" t="inlineStr">
        <is>
          <t>Övriga Aktiebolag</t>
        </is>
      </c>
      <c r="G810" t="n">
        <v>24.8</v>
      </c>
      <c r="H810" t="n">
        <v>0</v>
      </c>
      <c r="I810" t="n">
        <v>0</v>
      </c>
      <c r="J810" t="n">
        <v>0</v>
      </c>
      <c r="K810" t="n">
        <v>0</v>
      </c>
      <c r="L810" t="n">
        <v>0</v>
      </c>
      <c r="M810" t="n">
        <v>0</v>
      </c>
      <c r="N810" t="n">
        <v>0</v>
      </c>
      <c r="O810" t="n">
        <v>0</v>
      </c>
      <c r="P810" t="n">
        <v>0</v>
      </c>
      <c r="Q810" t="n">
        <v>0</v>
      </c>
      <c r="R810" s="2" t="inlineStr"/>
    </row>
    <row r="811" ht="15" customHeight="1">
      <c r="A811" t="inlineStr">
        <is>
          <t>A 18466-2022</t>
        </is>
      </c>
      <c r="B811" s="1" t="n">
        <v>44686</v>
      </c>
      <c r="C811" s="1" t="n">
        <v>45831</v>
      </c>
      <c r="D811" t="inlineStr">
        <is>
          <t>JÄMTLANDS LÄN</t>
        </is>
      </c>
      <c r="E811" t="inlineStr">
        <is>
          <t>KROKOM</t>
        </is>
      </c>
      <c r="G811" t="n">
        <v>3.2</v>
      </c>
      <c r="H811" t="n">
        <v>0</v>
      </c>
      <c r="I811" t="n">
        <v>0</v>
      </c>
      <c r="J811" t="n">
        <v>0</v>
      </c>
      <c r="K811" t="n">
        <v>0</v>
      </c>
      <c r="L811" t="n">
        <v>0</v>
      </c>
      <c r="M811" t="n">
        <v>0</v>
      </c>
      <c r="N811" t="n">
        <v>0</v>
      </c>
      <c r="O811" t="n">
        <v>0</v>
      </c>
      <c r="P811" t="n">
        <v>0</v>
      </c>
      <c r="Q811" t="n">
        <v>0</v>
      </c>
      <c r="R811" s="2" t="inlineStr"/>
    </row>
    <row r="812" ht="15" customHeight="1">
      <c r="A812" t="inlineStr">
        <is>
          <t>A 18476-2022</t>
        </is>
      </c>
      <c r="B812" s="1" t="n">
        <v>44686</v>
      </c>
      <c r="C812" s="1" t="n">
        <v>45831</v>
      </c>
      <c r="D812" t="inlineStr">
        <is>
          <t>JÄMTLANDS LÄN</t>
        </is>
      </c>
      <c r="E812" t="inlineStr">
        <is>
          <t>KROKOM</t>
        </is>
      </c>
      <c r="G812" t="n">
        <v>11.7</v>
      </c>
      <c r="H812" t="n">
        <v>0</v>
      </c>
      <c r="I812" t="n">
        <v>0</v>
      </c>
      <c r="J812" t="n">
        <v>0</v>
      </c>
      <c r="K812" t="n">
        <v>0</v>
      </c>
      <c r="L812" t="n">
        <v>0</v>
      </c>
      <c r="M812" t="n">
        <v>0</v>
      </c>
      <c r="N812" t="n">
        <v>0</v>
      </c>
      <c r="O812" t="n">
        <v>0</v>
      </c>
      <c r="P812" t="n">
        <v>0</v>
      </c>
      <c r="Q812" t="n">
        <v>0</v>
      </c>
      <c r="R812" s="2" t="inlineStr"/>
    </row>
    <row r="813" ht="15" customHeight="1">
      <c r="A813" t="inlineStr">
        <is>
          <t>A 18671-2022</t>
        </is>
      </c>
      <c r="B813" s="1" t="n">
        <v>44687</v>
      </c>
      <c r="C813" s="1" t="n">
        <v>45831</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18669-2022</t>
        </is>
      </c>
      <c r="B814" s="1" t="n">
        <v>44687</v>
      </c>
      <c r="C814" s="1" t="n">
        <v>45831</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18957-2022</t>
        </is>
      </c>
      <c r="B815" s="1" t="n">
        <v>44690</v>
      </c>
      <c r="C815" s="1" t="n">
        <v>45831</v>
      </c>
      <c r="D815" t="inlineStr">
        <is>
          <t>JÄMTLANDS LÄN</t>
        </is>
      </c>
      <c r="E815" t="inlineStr">
        <is>
          <t>KROKOM</t>
        </is>
      </c>
      <c r="G815" t="n">
        <v>11.5</v>
      </c>
      <c r="H815" t="n">
        <v>0</v>
      </c>
      <c r="I815" t="n">
        <v>0</v>
      </c>
      <c r="J815" t="n">
        <v>0</v>
      </c>
      <c r="K815" t="n">
        <v>0</v>
      </c>
      <c r="L815" t="n">
        <v>0</v>
      </c>
      <c r="M815" t="n">
        <v>0</v>
      </c>
      <c r="N815" t="n">
        <v>0</v>
      </c>
      <c r="O815" t="n">
        <v>0</v>
      </c>
      <c r="P815" t="n">
        <v>0</v>
      </c>
      <c r="Q815" t="n">
        <v>0</v>
      </c>
      <c r="R815" s="2" t="inlineStr"/>
    </row>
    <row r="816" ht="15" customHeight="1">
      <c r="A816" t="inlineStr">
        <is>
          <t>A 19455-2022</t>
        </is>
      </c>
      <c r="B816" s="1" t="n">
        <v>44693</v>
      </c>
      <c r="C816" s="1" t="n">
        <v>45831</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19799-2022</t>
        </is>
      </c>
      <c r="B817" s="1" t="n">
        <v>44694</v>
      </c>
      <c r="C817" s="1" t="n">
        <v>45831</v>
      </c>
      <c r="D817" t="inlineStr">
        <is>
          <t>JÄMTLANDS LÄN</t>
        </is>
      </c>
      <c r="E817" t="inlineStr">
        <is>
          <t>KROKOM</t>
        </is>
      </c>
      <c r="F817" t="inlineStr">
        <is>
          <t>SCA</t>
        </is>
      </c>
      <c r="G817" t="n">
        <v>16.3</v>
      </c>
      <c r="H817" t="n">
        <v>0</v>
      </c>
      <c r="I817" t="n">
        <v>0</v>
      </c>
      <c r="J817" t="n">
        <v>0</v>
      </c>
      <c r="K817" t="n">
        <v>0</v>
      </c>
      <c r="L817" t="n">
        <v>0</v>
      </c>
      <c r="M817" t="n">
        <v>0</v>
      </c>
      <c r="N817" t="n">
        <v>0</v>
      </c>
      <c r="O817" t="n">
        <v>0</v>
      </c>
      <c r="P817" t="n">
        <v>0</v>
      </c>
      <c r="Q817" t="n">
        <v>0</v>
      </c>
      <c r="R817" s="2" t="inlineStr"/>
    </row>
    <row r="818" ht="15" customHeight="1">
      <c r="A818" t="inlineStr">
        <is>
          <t>A 20074-2022</t>
        </is>
      </c>
      <c r="B818" s="1" t="n">
        <v>44698</v>
      </c>
      <c r="C818" s="1" t="n">
        <v>45831</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20721-2022</t>
        </is>
      </c>
      <c r="B819" s="1" t="n">
        <v>44700</v>
      </c>
      <c r="C819" s="1" t="n">
        <v>45831</v>
      </c>
      <c r="D819" t="inlineStr">
        <is>
          <t>JÄMTLANDS LÄN</t>
        </is>
      </c>
      <c r="E819" t="inlineStr">
        <is>
          <t>KROKOM</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21139-2022</t>
        </is>
      </c>
      <c r="B820" s="1" t="n">
        <v>44704</v>
      </c>
      <c r="C820" s="1" t="n">
        <v>45831</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21301-2022</t>
        </is>
      </c>
      <c r="B821" s="1" t="n">
        <v>44705</v>
      </c>
      <c r="C821" s="1" t="n">
        <v>45831</v>
      </c>
      <c r="D821" t="inlineStr">
        <is>
          <t>JÄMTLANDS LÄN</t>
        </is>
      </c>
      <c r="E821" t="inlineStr">
        <is>
          <t>KROKOM</t>
        </is>
      </c>
      <c r="G821" t="n">
        <v>2.5</v>
      </c>
      <c r="H821" t="n">
        <v>0</v>
      </c>
      <c r="I821" t="n">
        <v>0</v>
      </c>
      <c r="J821" t="n">
        <v>0</v>
      </c>
      <c r="K821" t="n">
        <v>0</v>
      </c>
      <c r="L821" t="n">
        <v>0</v>
      </c>
      <c r="M821" t="n">
        <v>0</v>
      </c>
      <c r="N821" t="n">
        <v>0</v>
      </c>
      <c r="O821" t="n">
        <v>0</v>
      </c>
      <c r="P821" t="n">
        <v>0</v>
      </c>
      <c r="Q821" t="n">
        <v>0</v>
      </c>
      <c r="R821" s="2" t="inlineStr"/>
    </row>
    <row r="822" ht="15" customHeight="1">
      <c r="A822" t="inlineStr">
        <is>
          <t>A 21990-2022</t>
        </is>
      </c>
      <c r="B822" s="1" t="n">
        <v>44711</v>
      </c>
      <c r="C822" s="1" t="n">
        <v>45831</v>
      </c>
      <c r="D822" t="inlineStr">
        <is>
          <t>JÄMTLANDS LÄN</t>
        </is>
      </c>
      <c r="E822" t="inlineStr">
        <is>
          <t>KROKOM</t>
        </is>
      </c>
      <c r="F822" t="inlineStr">
        <is>
          <t>Övriga Aktiebolag</t>
        </is>
      </c>
      <c r="G822" t="n">
        <v>26.3</v>
      </c>
      <c r="H822" t="n">
        <v>0</v>
      </c>
      <c r="I822" t="n">
        <v>0</v>
      </c>
      <c r="J822" t="n">
        <v>0</v>
      </c>
      <c r="K822" t="n">
        <v>0</v>
      </c>
      <c r="L822" t="n">
        <v>0</v>
      </c>
      <c r="M822" t="n">
        <v>0</v>
      </c>
      <c r="N822" t="n">
        <v>0</v>
      </c>
      <c r="O822" t="n">
        <v>0</v>
      </c>
      <c r="P822" t="n">
        <v>0</v>
      </c>
      <c r="Q822" t="n">
        <v>0</v>
      </c>
      <c r="R822" s="2" t="inlineStr"/>
    </row>
    <row r="823" ht="15" customHeight="1">
      <c r="A823" t="inlineStr">
        <is>
          <t>A 22273-2022</t>
        </is>
      </c>
      <c r="B823" s="1" t="n">
        <v>44712</v>
      </c>
      <c r="C823" s="1" t="n">
        <v>45831</v>
      </c>
      <c r="D823" t="inlineStr">
        <is>
          <t>JÄMTLANDS LÄN</t>
        </is>
      </c>
      <c r="E823" t="inlineStr">
        <is>
          <t>KROKOM</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22339-2022</t>
        </is>
      </c>
      <c r="B824" s="1" t="n">
        <v>44713</v>
      </c>
      <c r="C824" s="1" t="n">
        <v>45831</v>
      </c>
      <c r="D824" t="inlineStr">
        <is>
          <t>JÄMTLANDS LÄN</t>
        </is>
      </c>
      <c r="E824" t="inlineStr">
        <is>
          <t>KROKOM</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22611-2022</t>
        </is>
      </c>
      <c r="B825" s="1" t="n">
        <v>44714</v>
      </c>
      <c r="C825" s="1" t="n">
        <v>45831</v>
      </c>
      <c r="D825" t="inlineStr">
        <is>
          <t>JÄMTLANDS LÄN</t>
        </is>
      </c>
      <c r="E825" t="inlineStr">
        <is>
          <t>KROKOM</t>
        </is>
      </c>
      <c r="G825" t="n">
        <v>2.6</v>
      </c>
      <c r="H825" t="n">
        <v>0</v>
      </c>
      <c r="I825" t="n">
        <v>0</v>
      </c>
      <c r="J825" t="n">
        <v>0</v>
      </c>
      <c r="K825" t="n">
        <v>0</v>
      </c>
      <c r="L825" t="n">
        <v>0</v>
      </c>
      <c r="M825" t="n">
        <v>0</v>
      </c>
      <c r="N825" t="n">
        <v>0</v>
      </c>
      <c r="O825" t="n">
        <v>0</v>
      </c>
      <c r="P825" t="n">
        <v>0</v>
      </c>
      <c r="Q825" t="n">
        <v>0</v>
      </c>
      <c r="R825" s="2" t="inlineStr"/>
    </row>
    <row r="826" ht="15" customHeight="1">
      <c r="A826" t="inlineStr">
        <is>
          <t>A 22629-2022</t>
        </is>
      </c>
      <c r="B826" s="1" t="n">
        <v>44714</v>
      </c>
      <c r="C826" s="1" t="n">
        <v>45831</v>
      </c>
      <c r="D826" t="inlineStr">
        <is>
          <t>JÄMTLANDS LÄN</t>
        </is>
      </c>
      <c r="E826" t="inlineStr">
        <is>
          <t>KROKOM</t>
        </is>
      </c>
      <c r="G826" t="n">
        <v>17.1</v>
      </c>
      <c r="H826" t="n">
        <v>0</v>
      </c>
      <c r="I826" t="n">
        <v>0</v>
      </c>
      <c r="J826" t="n">
        <v>0</v>
      </c>
      <c r="K826" t="n">
        <v>0</v>
      </c>
      <c r="L826" t="n">
        <v>0</v>
      </c>
      <c r="M826" t="n">
        <v>0</v>
      </c>
      <c r="N826" t="n">
        <v>0</v>
      </c>
      <c r="O826" t="n">
        <v>0</v>
      </c>
      <c r="P826" t="n">
        <v>0</v>
      </c>
      <c r="Q826" t="n">
        <v>0</v>
      </c>
      <c r="R826" s="2" t="inlineStr"/>
    </row>
    <row r="827" ht="15" customHeight="1">
      <c r="A827" t="inlineStr">
        <is>
          <t>A 22863-2022</t>
        </is>
      </c>
      <c r="B827" s="1" t="n">
        <v>44715</v>
      </c>
      <c r="C827" s="1" t="n">
        <v>45831</v>
      </c>
      <c r="D827" t="inlineStr">
        <is>
          <t>JÄMTLANDS LÄN</t>
        </is>
      </c>
      <c r="E827" t="inlineStr">
        <is>
          <t>KROKOM</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22868-2022</t>
        </is>
      </c>
      <c r="B828" s="1" t="n">
        <v>44715</v>
      </c>
      <c r="C828" s="1" t="n">
        <v>45831</v>
      </c>
      <c r="D828" t="inlineStr">
        <is>
          <t>JÄMTLANDS LÄN</t>
        </is>
      </c>
      <c r="E828" t="inlineStr">
        <is>
          <t>KROKOM</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22821-2022</t>
        </is>
      </c>
      <c r="B829" s="1" t="n">
        <v>44715</v>
      </c>
      <c r="C829" s="1" t="n">
        <v>45831</v>
      </c>
      <c r="D829" t="inlineStr">
        <is>
          <t>JÄMTLANDS LÄN</t>
        </is>
      </c>
      <c r="E829" t="inlineStr">
        <is>
          <t>KROKOM</t>
        </is>
      </c>
      <c r="F829" t="inlineStr">
        <is>
          <t>Övriga Aktiebolag</t>
        </is>
      </c>
      <c r="G829" t="n">
        <v>10.1</v>
      </c>
      <c r="H829" t="n">
        <v>0</v>
      </c>
      <c r="I829" t="n">
        <v>0</v>
      </c>
      <c r="J829" t="n">
        <v>0</v>
      </c>
      <c r="K829" t="n">
        <v>0</v>
      </c>
      <c r="L829" t="n">
        <v>0</v>
      </c>
      <c r="M829" t="n">
        <v>0</v>
      </c>
      <c r="N829" t="n">
        <v>0</v>
      </c>
      <c r="O829" t="n">
        <v>0</v>
      </c>
      <c r="P829" t="n">
        <v>0</v>
      </c>
      <c r="Q829" t="n">
        <v>0</v>
      </c>
      <c r="R829" s="2" t="inlineStr"/>
    </row>
    <row r="830" ht="15" customHeight="1">
      <c r="A830" t="inlineStr">
        <is>
          <t>A 22865-2022</t>
        </is>
      </c>
      <c r="B830" s="1" t="n">
        <v>44715</v>
      </c>
      <c r="C830" s="1" t="n">
        <v>45831</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23504-2022</t>
        </is>
      </c>
      <c r="B831" s="1" t="n">
        <v>44721</v>
      </c>
      <c r="C831" s="1" t="n">
        <v>45831</v>
      </c>
      <c r="D831" t="inlineStr">
        <is>
          <t>JÄMTLANDS LÄN</t>
        </is>
      </c>
      <c r="E831" t="inlineStr">
        <is>
          <t>KROKOM</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23512-2022</t>
        </is>
      </c>
      <c r="B832" s="1" t="n">
        <v>44721</v>
      </c>
      <c r="C832" s="1" t="n">
        <v>45831</v>
      </c>
      <c r="D832" t="inlineStr">
        <is>
          <t>JÄMTLANDS LÄN</t>
        </is>
      </c>
      <c r="E832" t="inlineStr">
        <is>
          <t>KROKOM</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23467-2022</t>
        </is>
      </c>
      <c r="B833" s="1" t="n">
        <v>44721</v>
      </c>
      <c r="C833" s="1" t="n">
        <v>45831</v>
      </c>
      <c r="D833" t="inlineStr">
        <is>
          <t>JÄMTLANDS LÄN</t>
        </is>
      </c>
      <c r="E833" t="inlineStr">
        <is>
          <t>KROKOM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24014-2022</t>
        </is>
      </c>
      <c r="B834" s="1" t="n">
        <v>44723</v>
      </c>
      <c r="C834" s="1" t="n">
        <v>45831</v>
      </c>
      <c r="D834" t="inlineStr">
        <is>
          <t>JÄMTLANDS LÄN</t>
        </is>
      </c>
      <c r="E834" t="inlineStr">
        <is>
          <t>KROKOM</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24117-2022</t>
        </is>
      </c>
      <c r="B835" s="1" t="n">
        <v>44725</v>
      </c>
      <c r="C835" s="1" t="n">
        <v>45831</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24441-2022</t>
        </is>
      </c>
      <c r="B836" s="1" t="n">
        <v>44726</v>
      </c>
      <c r="C836" s="1" t="n">
        <v>45831</v>
      </c>
      <c r="D836" t="inlineStr">
        <is>
          <t>JÄMTLANDS LÄN</t>
        </is>
      </c>
      <c r="E836" t="inlineStr">
        <is>
          <t>KROKOM</t>
        </is>
      </c>
      <c r="G836" t="n">
        <v>12.1</v>
      </c>
      <c r="H836" t="n">
        <v>0</v>
      </c>
      <c r="I836" t="n">
        <v>0</v>
      </c>
      <c r="J836" t="n">
        <v>0</v>
      </c>
      <c r="K836" t="n">
        <v>0</v>
      </c>
      <c r="L836" t="n">
        <v>0</v>
      </c>
      <c r="M836" t="n">
        <v>0</v>
      </c>
      <c r="N836" t="n">
        <v>0</v>
      </c>
      <c r="O836" t="n">
        <v>0</v>
      </c>
      <c r="P836" t="n">
        <v>0</v>
      </c>
      <c r="Q836" t="n">
        <v>0</v>
      </c>
      <c r="R836" s="2" t="inlineStr"/>
    </row>
    <row r="837" ht="15" customHeight="1">
      <c r="A837" t="inlineStr">
        <is>
          <t>A 24402-2022</t>
        </is>
      </c>
      <c r="B837" s="1" t="n">
        <v>44726</v>
      </c>
      <c r="C837" s="1" t="n">
        <v>45831</v>
      </c>
      <c r="D837" t="inlineStr">
        <is>
          <t>JÄMTLANDS LÄN</t>
        </is>
      </c>
      <c r="E837" t="inlineStr">
        <is>
          <t>KROKOM</t>
        </is>
      </c>
      <c r="G837" t="n">
        <v>13.3</v>
      </c>
      <c r="H837" t="n">
        <v>0</v>
      </c>
      <c r="I837" t="n">
        <v>0</v>
      </c>
      <c r="J837" t="n">
        <v>0</v>
      </c>
      <c r="K837" t="n">
        <v>0</v>
      </c>
      <c r="L837" t="n">
        <v>0</v>
      </c>
      <c r="M837" t="n">
        <v>0</v>
      </c>
      <c r="N837" t="n">
        <v>0</v>
      </c>
      <c r="O837" t="n">
        <v>0</v>
      </c>
      <c r="P837" t="n">
        <v>0</v>
      </c>
      <c r="Q837" t="n">
        <v>0</v>
      </c>
      <c r="R837" s="2" t="inlineStr"/>
    </row>
    <row r="838" ht="15" customHeight="1">
      <c r="A838" t="inlineStr">
        <is>
          <t>A 24612-2022</t>
        </is>
      </c>
      <c r="B838" s="1" t="n">
        <v>44727</v>
      </c>
      <c r="C838" s="1" t="n">
        <v>45831</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24692-2022</t>
        </is>
      </c>
      <c r="B839" s="1" t="n">
        <v>44727</v>
      </c>
      <c r="C839" s="1" t="n">
        <v>45831</v>
      </c>
      <c r="D839" t="inlineStr">
        <is>
          <t>JÄMTLANDS LÄN</t>
        </is>
      </c>
      <c r="E839" t="inlineStr">
        <is>
          <t>KROKOM</t>
        </is>
      </c>
      <c r="G839" t="n">
        <v>5.5</v>
      </c>
      <c r="H839" t="n">
        <v>0</v>
      </c>
      <c r="I839" t="n">
        <v>0</v>
      </c>
      <c r="J839" t="n">
        <v>0</v>
      </c>
      <c r="K839" t="n">
        <v>0</v>
      </c>
      <c r="L839" t="n">
        <v>0</v>
      </c>
      <c r="M839" t="n">
        <v>0</v>
      </c>
      <c r="N839" t="n">
        <v>0</v>
      </c>
      <c r="O839" t="n">
        <v>0</v>
      </c>
      <c r="P839" t="n">
        <v>0</v>
      </c>
      <c r="Q839" t="n">
        <v>0</v>
      </c>
      <c r="R839" s="2" t="inlineStr"/>
    </row>
    <row r="840" ht="15" customHeight="1">
      <c r="A840" t="inlineStr">
        <is>
          <t>A 24688-2022</t>
        </is>
      </c>
      <c r="B840" s="1" t="n">
        <v>44727</v>
      </c>
      <c r="C840" s="1" t="n">
        <v>45831</v>
      </c>
      <c r="D840" t="inlineStr">
        <is>
          <t>JÄMTLANDS LÄN</t>
        </is>
      </c>
      <c r="E840" t="inlineStr">
        <is>
          <t>KROKOM</t>
        </is>
      </c>
      <c r="G840" t="n">
        <v>12.9</v>
      </c>
      <c r="H840" t="n">
        <v>0</v>
      </c>
      <c r="I840" t="n">
        <v>0</v>
      </c>
      <c r="J840" t="n">
        <v>0</v>
      </c>
      <c r="K840" t="n">
        <v>0</v>
      </c>
      <c r="L840" t="n">
        <v>0</v>
      </c>
      <c r="M840" t="n">
        <v>0</v>
      </c>
      <c r="N840" t="n">
        <v>0</v>
      </c>
      <c r="O840" t="n">
        <v>0</v>
      </c>
      <c r="P840" t="n">
        <v>0</v>
      </c>
      <c r="Q840" t="n">
        <v>0</v>
      </c>
      <c r="R840" s="2" t="inlineStr"/>
    </row>
    <row r="841" ht="15" customHeight="1">
      <c r="A841" t="inlineStr">
        <is>
          <t>A 25031-2022</t>
        </is>
      </c>
      <c r="B841" s="1" t="n">
        <v>44729</v>
      </c>
      <c r="C841" s="1" t="n">
        <v>45831</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25428-2022</t>
        </is>
      </c>
      <c r="B842" s="1" t="n">
        <v>44732</v>
      </c>
      <c r="C842" s="1" t="n">
        <v>45831</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25421-2022</t>
        </is>
      </c>
      <c r="B843" s="1" t="n">
        <v>44732</v>
      </c>
      <c r="C843" s="1" t="n">
        <v>45831</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26142-2022</t>
        </is>
      </c>
      <c r="B844" s="1" t="n">
        <v>44735</v>
      </c>
      <c r="C844" s="1" t="n">
        <v>45831</v>
      </c>
      <c r="D844" t="inlineStr">
        <is>
          <t>JÄMTLANDS LÄN</t>
        </is>
      </c>
      <c r="E844" t="inlineStr">
        <is>
          <t>KROKOM</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26448-2022</t>
        </is>
      </c>
      <c r="B845" s="1" t="n">
        <v>44739</v>
      </c>
      <c r="C845" s="1" t="n">
        <v>45831</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27075-2022</t>
        </is>
      </c>
      <c r="B846" s="1" t="n">
        <v>44741</v>
      </c>
      <c r="C846" s="1" t="n">
        <v>45831</v>
      </c>
      <c r="D846" t="inlineStr">
        <is>
          <t>JÄMTLANDS LÄN</t>
        </is>
      </c>
      <c r="E846" t="inlineStr">
        <is>
          <t>KROKOM</t>
        </is>
      </c>
      <c r="G846" t="n">
        <v>10.4</v>
      </c>
      <c r="H846" t="n">
        <v>0</v>
      </c>
      <c r="I846" t="n">
        <v>0</v>
      </c>
      <c r="J846" t="n">
        <v>0</v>
      </c>
      <c r="K846" t="n">
        <v>0</v>
      </c>
      <c r="L846" t="n">
        <v>0</v>
      </c>
      <c r="M846" t="n">
        <v>0</v>
      </c>
      <c r="N846" t="n">
        <v>0</v>
      </c>
      <c r="O846" t="n">
        <v>0</v>
      </c>
      <c r="P846" t="n">
        <v>0</v>
      </c>
      <c r="Q846" t="n">
        <v>0</v>
      </c>
      <c r="R846" s="2" t="inlineStr"/>
    </row>
    <row r="847" ht="15" customHeight="1">
      <c r="A847" t="inlineStr">
        <is>
          <t>A 27157-2022</t>
        </is>
      </c>
      <c r="B847" s="1" t="n">
        <v>44741</v>
      </c>
      <c r="C847" s="1" t="n">
        <v>45831</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27178-2022</t>
        </is>
      </c>
      <c r="B848" s="1" t="n">
        <v>44741</v>
      </c>
      <c r="C848" s="1" t="n">
        <v>45831</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27924-2022</t>
        </is>
      </c>
      <c r="B849" s="1" t="n">
        <v>44743</v>
      </c>
      <c r="C849" s="1" t="n">
        <v>45831</v>
      </c>
      <c r="D849" t="inlineStr">
        <is>
          <t>JÄMTLANDS LÄN</t>
        </is>
      </c>
      <c r="E849" t="inlineStr">
        <is>
          <t>KROKOM</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28669-2022</t>
        </is>
      </c>
      <c r="B850" s="1" t="n">
        <v>44748</v>
      </c>
      <c r="C850" s="1" t="n">
        <v>45831</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28736-2022</t>
        </is>
      </c>
      <c r="B851" s="1" t="n">
        <v>44749</v>
      </c>
      <c r="C851" s="1" t="n">
        <v>45831</v>
      </c>
      <c r="D851" t="inlineStr">
        <is>
          <t>JÄMTLANDS LÄN</t>
        </is>
      </c>
      <c r="E851" t="inlineStr">
        <is>
          <t>KROKOM</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28735-2022</t>
        </is>
      </c>
      <c r="B852" s="1" t="n">
        <v>44749</v>
      </c>
      <c r="C852" s="1" t="n">
        <v>45831</v>
      </c>
      <c r="D852" t="inlineStr">
        <is>
          <t>JÄMTLANDS LÄN</t>
        </is>
      </c>
      <c r="E852" t="inlineStr">
        <is>
          <t>KROKOM</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28804-2022</t>
        </is>
      </c>
      <c r="B853" s="1" t="n">
        <v>44749</v>
      </c>
      <c r="C853" s="1" t="n">
        <v>45831</v>
      </c>
      <c r="D853" t="inlineStr">
        <is>
          <t>JÄMTLANDS LÄN</t>
        </is>
      </c>
      <c r="E853" t="inlineStr">
        <is>
          <t>KROKOM</t>
        </is>
      </c>
      <c r="G853" t="n">
        <v>0.8</v>
      </c>
      <c r="H853" t="n">
        <v>0</v>
      </c>
      <c r="I853" t="n">
        <v>0</v>
      </c>
      <c r="J853" t="n">
        <v>0</v>
      </c>
      <c r="K853" t="n">
        <v>0</v>
      </c>
      <c r="L853" t="n">
        <v>0</v>
      </c>
      <c r="M853" t="n">
        <v>0</v>
      </c>
      <c r="N853" t="n">
        <v>0</v>
      </c>
      <c r="O853" t="n">
        <v>0</v>
      </c>
      <c r="P853" t="n">
        <v>0</v>
      </c>
      <c r="Q853" t="n">
        <v>0</v>
      </c>
      <c r="R853" s="2" t="inlineStr"/>
    </row>
    <row r="854" ht="15" customHeight="1">
      <c r="A854" t="inlineStr">
        <is>
          <t>A 28856-2022</t>
        </is>
      </c>
      <c r="B854" s="1" t="n">
        <v>44749</v>
      </c>
      <c r="C854" s="1" t="n">
        <v>45831</v>
      </c>
      <c r="D854" t="inlineStr">
        <is>
          <t>JÄMTLANDS LÄN</t>
        </is>
      </c>
      <c r="E854" t="inlineStr">
        <is>
          <t>KROKOM</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28776-2022</t>
        </is>
      </c>
      <c r="B855" s="1" t="n">
        <v>44749</v>
      </c>
      <c r="C855" s="1" t="n">
        <v>45831</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28771-2022</t>
        </is>
      </c>
      <c r="B856" s="1" t="n">
        <v>44749</v>
      </c>
      <c r="C856" s="1" t="n">
        <v>45831</v>
      </c>
      <c r="D856" t="inlineStr">
        <is>
          <t>JÄMTLANDS LÄN</t>
        </is>
      </c>
      <c r="E856" t="inlineStr">
        <is>
          <t>KROKOM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28883-2022</t>
        </is>
      </c>
      <c r="B857" s="1" t="n">
        <v>44749</v>
      </c>
      <c r="C857" s="1" t="n">
        <v>45831</v>
      </c>
      <c r="D857" t="inlineStr">
        <is>
          <t>JÄMTLANDS LÄN</t>
        </is>
      </c>
      <c r="E857" t="inlineStr">
        <is>
          <t>KROKOM</t>
        </is>
      </c>
      <c r="F857" t="inlineStr">
        <is>
          <t>Övriga Aktiebolag</t>
        </is>
      </c>
      <c r="G857" t="n">
        <v>14.1</v>
      </c>
      <c r="H857" t="n">
        <v>0</v>
      </c>
      <c r="I857" t="n">
        <v>0</v>
      </c>
      <c r="J857" t="n">
        <v>0</v>
      </c>
      <c r="K857" t="n">
        <v>0</v>
      </c>
      <c r="L857" t="n">
        <v>0</v>
      </c>
      <c r="M857" t="n">
        <v>0</v>
      </c>
      <c r="N857" t="n">
        <v>0</v>
      </c>
      <c r="O857" t="n">
        <v>0</v>
      </c>
      <c r="P857" t="n">
        <v>0</v>
      </c>
      <c r="Q857" t="n">
        <v>0</v>
      </c>
      <c r="R857" s="2" t="inlineStr"/>
    </row>
    <row r="858" ht="15" customHeight="1">
      <c r="A858" t="inlineStr">
        <is>
          <t>A 29050-2022</t>
        </is>
      </c>
      <c r="B858" s="1" t="n">
        <v>44750</v>
      </c>
      <c r="C858" s="1" t="n">
        <v>45831</v>
      </c>
      <c r="D858" t="inlineStr">
        <is>
          <t>JÄMTLANDS LÄN</t>
        </is>
      </c>
      <c r="E858" t="inlineStr">
        <is>
          <t>KROKOM</t>
        </is>
      </c>
      <c r="F858" t="inlineStr">
        <is>
          <t>SCA</t>
        </is>
      </c>
      <c r="G858" t="n">
        <v>10.8</v>
      </c>
      <c r="H858" t="n">
        <v>0</v>
      </c>
      <c r="I858" t="n">
        <v>0</v>
      </c>
      <c r="J858" t="n">
        <v>0</v>
      </c>
      <c r="K858" t="n">
        <v>0</v>
      </c>
      <c r="L858" t="n">
        <v>0</v>
      </c>
      <c r="M858" t="n">
        <v>0</v>
      </c>
      <c r="N858" t="n">
        <v>0</v>
      </c>
      <c r="O858" t="n">
        <v>0</v>
      </c>
      <c r="P858" t="n">
        <v>0</v>
      </c>
      <c r="Q858" t="n">
        <v>0</v>
      </c>
      <c r="R858" s="2" t="inlineStr"/>
    </row>
    <row r="859" ht="15" customHeight="1">
      <c r="A859" t="inlineStr">
        <is>
          <t>A 29187-2022</t>
        </is>
      </c>
      <c r="B859" s="1" t="n">
        <v>44750</v>
      </c>
      <c r="C859" s="1" t="n">
        <v>45831</v>
      </c>
      <c r="D859" t="inlineStr">
        <is>
          <t>JÄMTLANDS LÄN</t>
        </is>
      </c>
      <c r="E859" t="inlineStr">
        <is>
          <t>KROKOM</t>
        </is>
      </c>
      <c r="F859" t="inlineStr">
        <is>
          <t>Övriga Aktiebolag</t>
        </is>
      </c>
      <c r="G859" t="n">
        <v>20.4</v>
      </c>
      <c r="H859" t="n">
        <v>0</v>
      </c>
      <c r="I859" t="n">
        <v>0</v>
      </c>
      <c r="J859" t="n">
        <v>0</v>
      </c>
      <c r="K859" t="n">
        <v>0</v>
      </c>
      <c r="L859" t="n">
        <v>0</v>
      </c>
      <c r="M859" t="n">
        <v>0</v>
      </c>
      <c r="N859" t="n">
        <v>0</v>
      </c>
      <c r="O859" t="n">
        <v>0</v>
      </c>
      <c r="P859" t="n">
        <v>0</v>
      </c>
      <c r="Q859" t="n">
        <v>0</v>
      </c>
      <c r="R859" s="2" t="inlineStr"/>
    </row>
    <row r="860" ht="15" customHeight="1">
      <c r="A860" t="inlineStr">
        <is>
          <t>A 29245-2022</t>
        </is>
      </c>
      <c r="B860" s="1" t="n">
        <v>44750</v>
      </c>
      <c r="C860" s="1" t="n">
        <v>45831</v>
      </c>
      <c r="D860" t="inlineStr">
        <is>
          <t>JÄMTLANDS LÄN</t>
        </is>
      </c>
      <c r="E860" t="inlineStr">
        <is>
          <t>KROKOM</t>
        </is>
      </c>
      <c r="G860" t="n">
        <v>7.6</v>
      </c>
      <c r="H860" t="n">
        <v>0</v>
      </c>
      <c r="I860" t="n">
        <v>0</v>
      </c>
      <c r="J860" t="n">
        <v>0</v>
      </c>
      <c r="K860" t="n">
        <v>0</v>
      </c>
      <c r="L860" t="n">
        <v>0</v>
      </c>
      <c r="M860" t="n">
        <v>0</v>
      </c>
      <c r="N860" t="n">
        <v>0</v>
      </c>
      <c r="O860" t="n">
        <v>0</v>
      </c>
      <c r="P860" t="n">
        <v>0</v>
      </c>
      <c r="Q860" t="n">
        <v>0</v>
      </c>
      <c r="R860" s="2" t="inlineStr"/>
    </row>
    <row r="861" ht="15" customHeight="1">
      <c r="A861" t="inlineStr">
        <is>
          <t>A 29238-2022</t>
        </is>
      </c>
      <c r="B861" s="1" t="n">
        <v>44750</v>
      </c>
      <c r="C861" s="1" t="n">
        <v>45831</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29314-2022</t>
        </is>
      </c>
      <c r="B862" s="1" t="n">
        <v>44751</v>
      </c>
      <c r="C862" s="1" t="n">
        <v>45831</v>
      </c>
      <c r="D862" t="inlineStr">
        <is>
          <t>JÄMTLANDS LÄN</t>
        </is>
      </c>
      <c r="E862" t="inlineStr">
        <is>
          <t>KROKOM</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30160-2022</t>
        </is>
      </c>
      <c r="B863" s="1" t="n">
        <v>44757</v>
      </c>
      <c r="C863" s="1" t="n">
        <v>45831</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30058-2022</t>
        </is>
      </c>
      <c r="B864" s="1" t="n">
        <v>44757</v>
      </c>
      <c r="C864" s="1" t="n">
        <v>45831</v>
      </c>
      <c r="D864" t="inlineStr">
        <is>
          <t>JÄMTLANDS LÄN</t>
        </is>
      </c>
      <c r="E864" t="inlineStr">
        <is>
          <t>KROKOM</t>
        </is>
      </c>
      <c r="G864" t="n">
        <v>5</v>
      </c>
      <c r="H864" t="n">
        <v>0</v>
      </c>
      <c r="I864" t="n">
        <v>0</v>
      </c>
      <c r="J864" t="n">
        <v>0</v>
      </c>
      <c r="K864" t="n">
        <v>0</v>
      </c>
      <c r="L864" t="n">
        <v>0</v>
      </c>
      <c r="M864" t="n">
        <v>0</v>
      </c>
      <c r="N864" t="n">
        <v>0</v>
      </c>
      <c r="O864" t="n">
        <v>0</v>
      </c>
      <c r="P864" t="n">
        <v>0</v>
      </c>
      <c r="Q864" t="n">
        <v>0</v>
      </c>
      <c r="R864" s="2" t="inlineStr"/>
    </row>
    <row r="865" ht="15" customHeight="1">
      <c r="A865" t="inlineStr">
        <is>
          <t>A 30158-2022</t>
        </is>
      </c>
      <c r="B865" s="1" t="n">
        <v>44757</v>
      </c>
      <c r="C865" s="1" t="n">
        <v>45831</v>
      </c>
      <c r="D865" t="inlineStr">
        <is>
          <t>JÄMTLANDS LÄN</t>
        </is>
      </c>
      <c r="E865" t="inlineStr">
        <is>
          <t>KROKOM</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30728-2022</t>
        </is>
      </c>
      <c r="B866" s="1" t="n">
        <v>44764</v>
      </c>
      <c r="C866" s="1" t="n">
        <v>45831</v>
      </c>
      <c r="D866" t="inlineStr">
        <is>
          <t>JÄMTLANDS LÄN</t>
        </is>
      </c>
      <c r="E866" t="inlineStr">
        <is>
          <t>KROKOM</t>
        </is>
      </c>
      <c r="G866" t="n">
        <v>6.4</v>
      </c>
      <c r="H866" t="n">
        <v>0</v>
      </c>
      <c r="I866" t="n">
        <v>0</v>
      </c>
      <c r="J866" t="n">
        <v>0</v>
      </c>
      <c r="K866" t="n">
        <v>0</v>
      </c>
      <c r="L866" t="n">
        <v>0</v>
      </c>
      <c r="M866" t="n">
        <v>0</v>
      </c>
      <c r="N866" t="n">
        <v>0</v>
      </c>
      <c r="O866" t="n">
        <v>0</v>
      </c>
      <c r="P866" t="n">
        <v>0</v>
      </c>
      <c r="Q866" t="n">
        <v>0</v>
      </c>
      <c r="R866" s="2" t="inlineStr"/>
    </row>
    <row r="867" ht="15" customHeight="1">
      <c r="A867" t="inlineStr">
        <is>
          <t>A 30729-2022</t>
        </is>
      </c>
      <c r="B867" s="1" t="n">
        <v>44764</v>
      </c>
      <c r="C867" s="1" t="n">
        <v>45831</v>
      </c>
      <c r="D867" t="inlineStr">
        <is>
          <t>JÄMTLANDS LÄN</t>
        </is>
      </c>
      <c r="E867" t="inlineStr">
        <is>
          <t>KROKOM</t>
        </is>
      </c>
      <c r="G867" t="n">
        <v>2.5</v>
      </c>
      <c r="H867" t="n">
        <v>0</v>
      </c>
      <c r="I867" t="n">
        <v>0</v>
      </c>
      <c r="J867" t="n">
        <v>0</v>
      </c>
      <c r="K867" t="n">
        <v>0</v>
      </c>
      <c r="L867" t="n">
        <v>0</v>
      </c>
      <c r="M867" t="n">
        <v>0</v>
      </c>
      <c r="N867" t="n">
        <v>0</v>
      </c>
      <c r="O867" t="n">
        <v>0</v>
      </c>
      <c r="P867" t="n">
        <v>0</v>
      </c>
      <c r="Q867" t="n">
        <v>0</v>
      </c>
      <c r="R867" s="2" t="inlineStr"/>
    </row>
    <row r="868" ht="15" customHeight="1">
      <c r="A868" t="inlineStr">
        <is>
          <t>A 32366-2022</t>
        </is>
      </c>
      <c r="B868" s="1" t="n">
        <v>44782</v>
      </c>
      <c r="C868" s="1" t="n">
        <v>45831</v>
      </c>
      <c r="D868" t="inlineStr">
        <is>
          <t>JÄMTLANDS LÄN</t>
        </is>
      </c>
      <c r="E868" t="inlineStr">
        <is>
          <t>KROKOM</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45831</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33327-2022</t>
        </is>
      </c>
      <c r="B870" s="1" t="n">
        <v>44788</v>
      </c>
      <c r="C870" s="1" t="n">
        <v>45831</v>
      </c>
      <c r="D870" t="inlineStr">
        <is>
          <t>JÄMTLANDS LÄN</t>
        </is>
      </c>
      <c r="E870" t="inlineStr">
        <is>
          <t>KROKOM</t>
        </is>
      </c>
      <c r="G870" t="n">
        <v>0.8</v>
      </c>
      <c r="H870" t="n">
        <v>0</v>
      </c>
      <c r="I870" t="n">
        <v>0</v>
      </c>
      <c r="J870" t="n">
        <v>0</v>
      </c>
      <c r="K870" t="n">
        <v>0</v>
      </c>
      <c r="L870" t="n">
        <v>0</v>
      </c>
      <c r="M870" t="n">
        <v>0</v>
      </c>
      <c r="N870" t="n">
        <v>0</v>
      </c>
      <c r="O870" t="n">
        <v>0</v>
      </c>
      <c r="P870" t="n">
        <v>0</v>
      </c>
      <c r="Q870" t="n">
        <v>0</v>
      </c>
      <c r="R870" s="2" t="inlineStr"/>
    </row>
    <row r="871" ht="15" customHeight="1">
      <c r="A871" t="inlineStr">
        <is>
          <t>A 33395-2022</t>
        </is>
      </c>
      <c r="B871" s="1" t="n">
        <v>44788</v>
      </c>
      <c r="C871" s="1" t="n">
        <v>45831</v>
      </c>
      <c r="D871" t="inlineStr">
        <is>
          <t>JÄMTLANDS LÄN</t>
        </is>
      </c>
      <c r="E871" t="inlineStr">
        <is>
          <t>KROKOM</t>
        </is>
      </c>
      <c r="F871" t="inlineStr">
        <is>
          <t>Övriga Aktiebolag</t>
        </is>
      </c>
      <c r="G871" t="n">
        <v>6.2</v>
      </c>
      <c r="H871" t="n">
        <v>0</v>
      </c>
      <c r="I871" t="n">
        <v>0</v>
      </c>
      <c r="J871" t="n">
        <v>0</v>
      </c>
      <c r="K871" t="n">
        <v>0</v>
      </c>
      <c r="L871" t="n">
        <v>0</v>
      </c>
      <c r="M871" t="n">
        <v>0</v>
      </c>
      <c r="N871" t="n">
        <v>0</v>
      </c>
      <c r="O871" t="n">
        <v>0</v>
      </c>
      <c r="P871" t="n">
        <v>0</v>
      </c>
      <c r="Q871" t="n">
        <v>0</v>
      </c>
      <c r="R871" s="2" t="inlineStr"/>
    </row>
    <row r="872" ht="15" customHeight="1">
      <c r="A872" t="inlineStr">
        <is>
          <t>A 33314-2022</t>
        </is>
      </c>
      <c r="B872" s="1" t="n">
        <v>44788</v>
      </c>
      <c r="C872" s="1" t="n">
        <v>45831</v>
      </c>
      <c r="D872" t="inlineStr">
        <is>
          <t>JÄMTLANDS LÄN</t>
        </is>
      </c>
      <c r="E872" t="inlineStr">
        <is>
          <t>KROKOM</t>
        </is>
      </c>
      <c r="G872" t="n">
        <v>7.4</v>
      </c>
      <c r="H872" t="n">
        <v>0</v>
      </c>
      <c r="I872" t="n">
        <v>0</v>
      </c>
      <c r="J872" t="n">
        <v>0</v>
      </c>
      <c r="K872" t="n">
        <v>0</v>
      </c>
      <c r="L872" t="n">
        <v>0</v>
      </c>
      <c r="M872" t="n">
        <v>0</v>
      </c>
      <c r="N872" t="n">
        <v>0</v>
      </c>
      <c r="O872" t="n">
        <v>0</v>
      </c>
      <c r="P872" t="n">
        <v>0</v>
      </c>
      <c r="Q872" t="n">
        <v>0</v>
      </c>
      <c r="R872" s="2" t="inlineStr"/>
    </row>
    <row r="873" ht="15" customHeight="1">
      <c r="A873" t="inlineStr">
        <is>
          <t>A 33362-2022</t>
        </is>
      </c>
      <c r="B873" s="1" t="n">
        <v>44788</v>
      </c>
      <c r="C873" s="1" t="n">
        <v>45831</v>
      </c>
      <c r="D873" t="inlineStr">
        <is>
          <t>JÄMTLANDS LÄN</t>
        </is>
      </c>
      <c r="E873" t="inlineStr">
        <is>
          <t>KROKOM</t>
        </is>
      </c>
      <c r="F873" t="inlineStr">
        <is>
          <t>Övriga Aktiebolag</t>
        </is>
      </c>
      <c r="G873" t="n">
        <v>6.8</v>
      </c>
      <c r="H873" t="n">
        <v>0</v>
      </c>
      <c r="I873" t="n">
        <v>0</v>
      </c>
      <c r="J873" t="n">
        <v>0</v>
      </c>
      <c r="K873" t="n">
        <v>0</v>
      </c>
      <c r="L873" t="n">
        <v>0</v>
      </c>
      <c r="M873" t="n">
        <v>0</v>
      </c>
      <c r="N873" t="n">
        <v>0</v>
      </c>
      <c r="O873" t="n">
        <v>0</v>
      </c>
      <c r="P873" t="n">
        <v>0</v>
      </c>
      <c r="Q873" t="n">
        <v>0</v>
      </c>
      <c r="R873" s="2" t="inlineStr"/>
    </row>
    <row r="874" ht="15" customHeight="1">
      <c r="A874" t="inlineStr">
        <is>
          <t>A 33509-2022</t>
        </is>
      </c>
      <c r="B874" s="1" t="n">
        <v>44789</v>
      </c>
      <c r="C874" s="1" t="n">
        <v>45831</v>
      </c>
      <c r="D874" t="inlineStr">
        <is>
          <t>JÄMTLANDS LÄN</t>
        </is>
      </c>
      <c r="E874" t="inlineStr">
        <is>
          <t>KROKOM</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34278-2022</t>
        </is>
      </c>
      <c r="B875" s="1" t="n">
        <v>44792</v>
      </c>
      <c r="C875" s="1" t="n">
        <v>45831</v>
      </c>
      <c r="D875" t="inlineStr">
        <is>
          <t>JÄMTLANDS LÄN</t>
        </is>
      </c>
      <c r="E875" t="inlineStr">
        <is>
          <t>KROKOM</t>
        </is>
      </c>
      <c r="G875" t="n">
        <v>19.5</v>
      </c>
      <c r="H875" t="n">
        <v>0</v>
      </c>
      <c r="I875" t="n">
        <v>0</v>
      </c>
      <c r="J875" t="n">
        <v>0</v>
      </c>
      <c r="K875" t="n">
        <v>0</v>
      </c>
      <c r="L875" t="n">
        <v>0</v>
      </c>
      <c r="M875" t="n">
        <v>0</v>
      </c>
      <c r="N875" t="n">
        <v>0</v>
      </c>
      <c r="O875" t="n">
        <v>0</v>
      </c>
      <c r="P875" t="n">
        <v>0</v>
      </c>
      <c r="Q875" t="n">
        <v>0</v>
      </c>
      <c r="R875" s="2" t="inlineStr"/>
    </row>
    <row r="876" ht="15" customHeight="1">
      <c r="A876" t="inlineStr">
        <is>
          <t>A 34794-2022</t>
        </is>
      </c>
      <c r="B876" s="1" t="n">
        <v>44795</v>
      </c>
      <c r="C876" s="1" t="n">
        <v>45831</v>
      </c>
      <c r="D876" t="inlineStr">
        <is>
          <t>JÄMTLANDS LÄN</t>
        </is>
      </c>
      <c r="E876" t="inlineStr">
        <is>
          <t>KROKOM</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34793-2022</t>
        </is>
      </c>
      <c r="B877" s="1" t="n">
        <v>44795</v>
      </c>
      <c r="C877" s="1" t="n">
        <v>45831</v>
      </c>
      <c r="D877" t="inlineStr">
        <is>
          <t>JÄMTLANDS LÄN</t>
        </is>
      </c>
      <c r="E877" t="inlineStr">
        <is>
          <t>KROKOM</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35058-2022</t>
        </is>
      </c>
      <c r="B878" s="1" t="n">
        <v>44796</v>
      </c>
      <c r="C878" s="1" t="n">
        <v>45831</v>
      </c>
      <c r="D878" t="inlineStr">
        <is>
          <t>JÄMTLANDS LÄN</t>
        </is>
      </c>
      <c r="E878" t="inlineStr">
        <is>
          <t>KROKOM</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35226-2022</t>
        </is>
      </c>
      <c r="B879" s="1" t="n">
        <v>44797</v>
      </c>
      <c r="C879" s="1" t="n">
        <v>45831</v>
      </c>
      <c r="D879" t="inlineStr">
        <is>
          <t>JÄMTLANDS LÄN</t>
        </is>
      </c>
      <c r="E879" t="inlineStr">
        <is>
          <t>KROKOM</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35275-2022</t>
        </is>
      </c>
      <c r="B880" s="1" t="n">
        <v>44797</v>
      </c>
      <c r="C880" s="1" t="n">
        <v>45831</v>
      </c>
      <c r="D880" t="inlineStr">
        <is>
          <t>JÄMTLANDS LÄN</t>
        </is>
      </c>
      <c r="E880" t="inlineStr">
        <is>
          <t>KROKOM</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36122-2022</t>
        </is>
      </c>
      <c r="B881" s="1" t="n">
        <v>44803</v>
      </c>
      <c r="C881" s="1" t="n">
        <v>45831</v>
      </c>
      <c r="D881" t="inlineStr">
        <is>
          <t>JÄMTLANDS LÄN</t>
        </is>
      </c>
      <c r="E881" t="inlineStr">
        <is>
          <t>KROKOM</t>
        </is>
      </c>
      <c r="G881" t="n">
        <v>5.7</v>
      </c>
      <c r="H881" t="n">
        <v>0</v>
      </c>
      <c r="I881" t="n">
        <v>0</v>
      </c>
      <c r="J881" t="n">
        <v>0</v>
      </c>
      <c r="K881" t="n">
        <v>0</v>
      </c>
      <c r="L881" t="n">
        <v>0</v>
      </c>
      <c r="M881" t="n">
        <v>0</v>
      </c>
      <c r="N881" t="n">
        <v>0</v>
      </c>
      <c r="O881" t="n">
        <v>0</v>
      </c>
      <c r="P881" t="n">
        <v>0</v>
      </c>
      <c r="Q881" t="n">
        <v>0</v>
      </c>
      <c r="R881" s="2" t="inlineStr"/>
    </row>
    <row r="882" ht="15" customHeight="1">
      <c r="A882" t="inlineStr">
        <is>
          <t>A 39490-2022</t>
        </is>
      </c>
      <c r="B882" s="1" t="n">
        <v>44818</v>
      </c>
      <c r="C882" s="1" t="n">
        <v>45831</v>
      </c>
      <c r="D882" t="inlineStr">
        <is>
          <t>JÄMTLANDS LÄN</t>
        </is>
      </c>
      <c r="E882" t="inlineStr">
        <is>
          <t>KROKOM</t>
        </is>
      </c>
      <c r="G882" t="n">
        <v>11.9</v>
      </c>
      <c r="H882" t="n">
        <v>0</v>
      </c>
      <c r="I882" t="n">
        <v>0</v>
      </c>
      <c r="J882" t="n">
        <v>0</v>
      </c>
      <c r="K882" t="n">
        <v>0</v>
      </c>
      <c r="L882" t="n">
        <v>0</v>
      </c>
      <c r="M882" t="n">
        <v>0</v>
      </c>
      <c r="N882" t="n">
        <v>0</v>
      </c>
      <c r="O882" t="n">
        <v>0</v>
      </c>
      <c r="P882" t="n">
        <v>0</v>
      </c>
      <c r="Q882" t="n">
        <v>0</v>
      </c>
      <c r="R882" s="2" t="inlineStr"/>
    </row>
    <row r="883" ht="15" customHeight="1">
      <c r="A883" t="inlineStr">
        <is>
          <t>A 40866-2022</t>
        </is>
      </c>
      <c r="B883" s="1" t="n">
        <v>44820</v>
      </c>
      <c r="C883" s="1" t="n">
        <v>45831</v>
      </c>
      <c r="D883" t="inlineStr">
        <is>
          <t>JÄMTLANDS LÄN</t>
        </is>
      </c>
      <c r="E883" t="inlineStr">
        <is>
          <t>KROKOM</t>
        </is>
      </c>
      <c r="G883" t="n">
        <v>4.3</v>
      </c>
      <c r="H883" t="n">
        <v>0</v>
      </c>
      <c r="I883" t="n">
        <v>0</v>
      </c>
      <c r="J883" t="n">
        <v>0</v>
      </c>
      <c r="K883" t="n">
        <v>0</v>
      </c>
      <c r="L883" t="n">
        <v>0</v>
      </c>
      <c r="M883" t="n">
        <v>0</v>
      </c>
      <c r="N883" t="n">
        <v>0</v>
      </c>
      <c r="O883" t="n">
        <v>0</v>
      </c>
      <c r="P883" t="n">
        <v>0</v>
      </c>
      <c r="Q883" t="n">
        <v>0</v>
      </c>
      <c r="R883" s="2" t="inlineStr"/>
    </row>
    <row r="884" ht="15" customHeight="1">
      <c r="A884" t="inlineStr">
        <is>
          <t>A 41170-2022</t>
        </is>
      </c>
      <c r="B884" s="1" t="n">
        <v>44825</v>
      </c>
      <c r="C884" s="1" t="n">
        <v>45831</v>
      </c>
      <c r="D884" t="inlineStr">
        <is>
          <t>JÄMTLANDS LÄN</t>
        </is>
      </c>
      <c r="E884" t="inlineStr">
        <is>
          <t>KROKOM</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41197-2022</t>
        </is>
      </c>
      <c r="B885" s="1" t="n">
        <v>44825</v>
      </c>
      <c r="C885" s="1" t="n">
        <v>45831</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42210-2022</t>
        </is>
      </c>
      <c r="B886" s="1" t="n">
        <v>44830</v>
      </c>
      <c r="C886" s="1" t="n">
        <v>45831</v>
      </c>
      <c r="D886" t="inlineStr">
        <is>
          <t>JÄMTLANDS LÄN</t>
        </is>
      </c>
      <c r="E886" t="inlineStr">
        <is>
          <t>KROKOM</t>
        </is>
      </c>
      <c r="F886" t="inlineStr">
        <is>
          <t>Övriga Aktiebolag</t>
        </is>
      </c>
      <c r="G886" t="n">
        <v>11.6</v>
      </c>
      <c r="H886" t="n">
        <v>0</v>
      </c>
      <c r="I886" t="n">
        <v>0</v>
      </c>
      <c r="J886" t="n">
        <v>0</v>
      </c>
      <c r="K886" t="n">
        <v>0</v>
      </c>
      <c r="L886" t="n">
        <v>0</v>
      </c>
      <c r="M886" t="n">
        <v>0</v>
      </c>
      <c r="N886" t="n">
        <v>0</v>
      </c>
      <c r="O886" t="n">
        <v>0</v>
      </c>
      <c r="P886" t="n">
        <v>0</v>
      </c>
      <c r="Q886" t="n">
        <v>0</v>
      </c>
      <c r="R886" s="2" t="inlineStr"/>
    </row>
    <row r="887" ht="15" customHeight="1">
      <c r="A887" t="inlineStr">
        <is>
          <t>A 42360-2022</t>
        </is>
      </c>
      <c r="B887" s="1" t="n">
        <v>44831</v>
      </c>
      <c r="C887" s="1" t="n">
        <v>45831</v>
      </c>
      <c r="D887" t="inlineStr">
        <is>
          <t>JÄMTLANDS LÄN</t>
        </is>
      </c>
      <c r="E887" t="inlineStr">
        <is>
          <t>KROKOM</t>
        </is>
      </c>
      <c r="F887" t="inlineStr">
        <is>
          <t>Övriga Aktiebolag</t>
        </is>
      </c>
      <c r="G887" t="n">
        <v>3.9</v>
      </c>
      <c r="H887" t="n">
        <v>0</v>
      </c>
      <c r="I887" t="n">
        <v>0</v>
      </c>
      <c r="J887" t="n">
        <v>0</v>
      </c>
      <c r="K887" t="n">
        <v>0</v>
      </c>
      <c r="L887" t="n">
        <v>0</v>
      </c>
      <c r="M887" t="n">
        <v>0</v>
      </c>
      <c r="N887" t="n">
        <v>0</v>
      </c>
      <c r="O887" t="n">
        <v>0</v>
      </c>
      <c r="P887" t="n">
        <v>0</v>
      </c>
      <c r="Q887" t="n">
        <v>0</v>
      </c>
      <c r="R887" s="2" t="inlineStr"/>
    </row>
    <row r="888" ht="15" customHeight="1">
      <c r="A888" t="inlineStr">
        <is>
          <t>A 42661-2022</t>
        </is>
      </c>
      <c r="B888" s="1" t="n">
        <v>44832</v>
      </c>
      <c r="C888" s="1" t="n">
        <v>45831</v>
      </c>
      <c r="D888" t="inlineStr">
        <is>
          <t>JÄMTLANDS LÄN</t>
        </is>
      </c>
      <c r="E888" t="inlineStr">
        <is>
          <t>KROKOM</t>
        </is>
      </c>
      <c r="G888" t="n">
        <v>14.4</v>
      </c>
      <c r="H888" t="n">
        <v>0</v>
      </c>
      <c r="I888" t="n">
        <v>0</v>
      </c>
      <c r="J888" t="n">
        <v>0</v>
      </c>
      <c r="K888" t="n">
        <v>0</v>
      </c>
      <c r="L888" t="n">
        <v>0</v>
      </c>
      <c r="M888" t="n">
        <v>0</v>
      </c>
      <c r="N888" t="n">
        <v>0</v>
      </c>
      <c r="O888" t="n">
        <v>0</v>
      </c>
      <c r="P888" t="n">
        <v>0</v>
      </c>
      <c r="Q888" t="n">
        <v>0</v>
      </c>
      <c r="R888" s="2" t="inlineStr"/>
    </row>
    <row r="889" ht="15" customHeight="1">
      <c r="A889" t="inlineStr">
        <is>
          <t>A 42980-2022</t>
        </is>
      </c>
      <c r="B889" s="1" t="n">
        <v>44833</v>
      </c>
      <c r="C889" s="1" t="n">
        <v>45831</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43426-2022</t>
        </is>
      </c>
      <c r="B890" s="1" t="n">
        <v>44835</v>
      </c>
      <c r="C890" s="1" t="n">
        <v>45831</v>
      </c>
      <c r="D890" t="inlineStr">
        <is>
          <t>JÄMTLANDS LÄN</t>
        </is>
      </c>
      <c r="E890" t="inlineStr">
        <is>
          <t>KROKOM</t>
        </is>
      </c>
      <c r="F890" t="inlineStr">
        <is>
          <t>SCA</t>
        </is>
      </c>
      <c r="G890" t="n">
        <v>34.4</v>
      </c>
      <c r="H890" t="n">
        <v>0</v>
      </c>
      <c r="I890" t="n">
        <v>0</v>
      </c>
      <c r="J890" t="n">
        <v>0</v>
      </c>
      <c r="K890" t="n">
        <v>0</v>
      </c>
      <c r="L890" t="n">
        <v>0</v>
      </c>
      <c r="M890" t="n">
        <v>0</v>
      </c>
      <c r="N890" t="n">
        <v>0</v>
      </c>
      <c r="O890" t="n">
        <v>0</v>
      </c>
      <c r="P890" t="n">
        <v>0</v>
      </c>
      <c r="Q890" t="n">
        <v>0</v>
      </c>
      <c r="R890" s="2" t="inlineStr"/>
    </row>
    <row r="891" ht="15" customHeight="1">
      <c r="A891" t="inlineStr">
        <is>
          <t>A 46753-2022</t>
        </is>
      </c>
      <c r="B891" s="1" t="n">
        <v>44847</v>
      </c>
      <c r="C891" s="1" t="n">
        <v>45831</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46761-2022</t>
        </is>
      </c>
      <c r="B892" s="1" t="n">
        <v>44847</v>
      </c>
      <c r="C892" s="1" t="n">
        <v>45831</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46507-2022</t>
        </is>
      </c>
      <c r="B893" s="1" t="n">
        <v>44848</v>
      </c>
      <c r="C893" s="1" t="n">
        <v>45831</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46506-2022</t>
        </is>
      </c>
      <c r="B894" s="1" t="n">
        <v>44848</v>
      </c>
      <c r="C894" s="1" t="n">
        <v>45831</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46519-2022</t>
        </is>
      </c>
      <c r="B895" s="1" t="n">
        <v>44848</v>
      </c>
      <c r="C895" s="1" t="n">
        <v>45831</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46631-2022</t>
        </is>
      </c>
      <c r="B896" s="1" t="n">
        <v>44848</v>
      </c>
      <c r="C896" s="1" t="n">
        <v>45831</v>
      </c>
      <c r="D896" t="inlineStr">
        <is>
          <t>JÄMTLANDS LÄN</t>
        </is>
      </c>
      <c r="E896" t="inlineStr">
        <is>
          <t>KROKOM</t>
        </is>
      </c>
      <c r="G896" t="n">
        <v>14.3</v>
      </c>
      <c r="H896" t="n">
        <v>0</v>
      </c>
      <c r="I896" t="n">
        <v>0</v>
      </c>
      <c r="J896" t="n">
        <v>0</v>
      </c>
      <c r="K896" t="n">
        <v>0</v>
      </c>
      <c r="L896" t="n">
        <v>0</v>
      </c>
      <c r="M896" t="n">
        <v>0</v>
      </c>
      <c r="N896" t="n">
        <v>0</v>
      </c>
      <c r="O896" t="n">
        <v>0</v>
      </c>
      <c r="P896" t="n">
        <v>0</v>
      </c>
      <c r="Q896" t="n">
        <v>0</v>
      </c>
      <c r="R896" s="2" t="inlineStr"/>
    </row>
    <row r="897" ht="15" customHeight="1">
      <c r="A897" t="inlineStr">
        <is>
          <t>A 46644-2022</t>
        </is>
      </c>
      <c r="B897" s="1" t="n">
        <v>44849</v>
      </c>
      <c r="C897" s="1" t="n">
        <v>45831</v>
      </c>
      <c r="D897" t="inlineStr">
        <is>
          <t>JÄMTLANDS LÄN</t>
        </is>
      </c>
      <c r="E897" t="inlineStr">
        <is>
          <t>KROKOM</t>
        </is>
      </c>
      <c r="G897" t="n">
        <v>4.2</v>
      </c>
      <c r="H897" t="n">
        <v>0</v>
      </c>
      <c r="I897" t="n">
        <v>0</v>
      </c>
      <c r="J897" t="n">
        <v>0</v>
      </c>
      <c r="K897" t="n">
        <v>0</v>
      </c>
      <c r="L897" t="n">
        <v>0</v>
      </c>
      <c r="M897" t="n">
        <v>0</v>
      </c>
      <c r="N897" t="n">
        <v>0</v>
      </c>
      <c r="O897" t="n">
        <v>0</v>
      </c>
      <c r="P897" t="n">
        <v>0</v>
      </c>
      <c r="Q897" t="n">
        <v>0</v>
      </c>
      <c r="R897" s="2" t="inlineStr"/>
    </row>
    <row r="898" ht="15" customHeight="1">
      <c r="A898" t="inlineStr">
        <is>
          <t>A 46825-2022</t>
        </is>
      </c>
      <c r="B898" s="1" t="n">
        <v>44851</v>
      </c>
      <c r="C898" s="1" t="n">
        <v>45831</v>
      </c>
      <c r="D898" t="inlineStr">
        <is>
          <t>JÄMTLANDS LÄN</t>
        </is>
      </c>
      <c r="E898" t="inlineStr">
        <is>
          <t>KROKOM</t>
        </is>
      </c>
      <c r="F898" t="inlineStr">
        <is>
          <t>Övriga Aktiebolag</t>
        </is>
      </c>
      <c r="G898" t="n">
        <v>0.6</v>
      </c>
      <c r="H898" t="n">
        <v>0</v>
      </c>
      <c r="I898" t="n">
        <v>0</v>
      </c>
      <c r="J898" t="n">
        <v>0</v>
      </c>
      <c r="K898" t="n">
        <v>0</v>
      </c>
      <c r="L898" t="n">
        <v>0</v>
      </c>
      <c r="M898" t="n">
        <v>0</v>
      </c>
      <c r="N898" t="n">
        <v>0</v>
      </c>
      <c r="O898" t="n">
        <v>0</v>
      </c>
      <c r="P898" t="n">
        <v>0</v>
      </c>
      <c r="Q898" t="n">
        <v>0</v>
      </c>
      <c r="R898" s="2" t="inlineStr"/>
    </row>
    <row r="899" ht="15" customHeight="1">
      <c r="A899" t="inlineStr">
        <is>
          <t>A 48777-2022</t>
        </is>
      </c>
      <c r="B899" s="1" t="n">
        <v>44855</v>
      </c>
      <c r="C899" s="1" t="n">
        <v>45831</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48769-2022</t>
        </is>
      </c>
      <c r="B900" s="1" t="n">
        <v>44855</v>
      </c>
      <c r="C900" s="1" t="n">
        <v>45831</v>
      </c>
      <c r="D900" t="inlineStr">
        <is>
          <t>JÄMTLANDS LÄN</t>
        </is>
      </c>
      <c r="E900" t="inlineStr">
        <is>
          <t>KROKOM</t>
        </is>
      </c>
      <c r="G900" t="n">
        <v>7.5</v>
      </c>
      <c r="H900" t="n">
        <v>0</v>
      </c>
      <c r="I900" t="n">
        <v>0</v>
      </c>
      <c r="J900" t="n">
        <v>0</v>
      </c>
      <c r="K900" t="n">
        <v>0</v>
      </c>
      <c r="L900" t="n">
        <v>0</v>
      </c>
      <c r="M900" t="n">
        <v>0</v>
      </c>
      <c r="N900" t="n">
        <v>0</v>
      </c>
      <c r="O900" t="n">
        <v>0</v>
      </c>
      <c r="P900" t="n">
        <v>0</v>
      </c>
      <c r="Q900" t="n">
        <v>0</v>
      </c>
      <c r="R900" s="2" t="inlineStr"/>
    </row>
    <row r="901" ht="15" customHeight="1">
      <c r="A901" t="inlineStr">
        <is>
          <t>A 48250-2022</t>
        </is>
      </c>
      <c r="B901" s="1" t="n">
        <v>44858</v>
      </c>
      <c r="C901" s="1" t="n">
        <v>45831</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48502-2022</t>
        </is>
      </c>
      <c r="B902" s="1" t="n">
        <v>44859</v>
      </c>
      <c r="C902" s="1" t="n">
        <v>45831</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48334-2022</t>
        </is>
      </c>
      <c r="B903" s="1" t="n">
        <v>44858</v>
      </c>
      <c r="C903" s="1" t="n">
        <v>45831</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48417-2022</t>
        </is>
      </c>
      <c r="B904" s="1" t="n">
        <v>44858</v>
      </c>
      <c r="C904" s="1" t="n">
        <v>45831</v>
      </c>
      <c r="D904" t="inlineStr">
        <is>
          <t>JÄMTLANDS LÄN</t>
        </is>
      </c>
      <c r="E904" t="inlineStr">
        <is>
          <t>KROKOM</t>
        </is>
      </c>
      <c r="G904" t="n">
        <v>2.7</v>
      </c>
      <c r="H904" t="n">
        <v>0</v>
      </c>
      <c r="I904" t="n">
        <v>0</v>
      </c>
      <c r="J904" t="n">
        <v>0</v>
      </c>
      <c r="K904" t="n">
        <v>0</v>
      </c>
      <c r="L904" t="n">
        <v>0</v>
      </c>
      <c r="M904" t="n">
        <v>0</v>
      </c>
      <c r="N904" t="n">
        <v>0</v>
      </c>
      <c r="O904" t="n">
        <v>0</v>
      </c>
      <c r="P904" t="n">
        <v>0</v>
      </c>
      <c r="Q904" t="n">
        <v>0</v>
      </c>
      <c r="R904" s="2" t="inlineStr"/>
    </row>
    <row r="905" ht="15" customHeight="1">
      <c r="A905" t="inlineStr">
        <is>
          <t>A 48500-2022</t>
        </is>
      </c>
      <c r="B905" s="1" t="n">
        <v>44859</v>
      </c>
      <c r="C905" s="1" t="n">
        <v>45831</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49220-2022</t>
        </is>
      </c>
      <c r="B906" s="1" t="n">
        <v>44861</v>
      </c>
      <c r="C906" s="1" t="n">
        <v>45831</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50302-2022</t>
        </is>
      </c>
      <c r="B907" s="1" t="n">
        <v>44865</v>
      </c>
      <c r="C907" s="1" t="n">
        <v>45831</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51345-2022</t>
        </is>
      </c>
      <c r="B908" s="1" t="n">
        <v>44866</v>
      </c>
      <c r="C908" s="1" t="n">
        <v>45831</v>
      </c>
      <c r="D908" t="inlineStr">
        <is>
          <t>JÄMTLANDS LÄN</t>
        </is>
      </c>
      <c r="E908" t="inlineStr">
        <is>
          <t>KROKOM</t>
        </is>
      </c>
      <c r="G908" t="n">
        <v>1.8</v>
      </c>
      <c r="H908" t="n">
        <v>0</v>
      </c>
      <c r="I908" t="n">
        <v>0</v>
      </c>
      <c r="J908" t="n">
        <v>0</v>
      </c>
      <c r="K908" t="n">
        <v>0</v>
      </c>
      <c r="L908" t="n">
        <v>0</v>
      </c>
      <c r="M908" t="n">
        <v>0</v>
      </c>
      <c r="N908" t="n">
        <v>0</v>
      </c>
      <c r="O908" t="n">
        <v>0</v>
      </c>
      <c r="P908" t="n">
        <v>0</v>
      </c>
      <c r="Q908" t="n">
        <v>0</v>
      </c>
      <c r="R908" s="2" t="inlineStr"/>
    </row>
    <row r="909" ht="15" customHeight="1">
      <c r="A909" t="inlineStr">
        <is>
          <t>A 51359-2022</t>
        </is>
      </c>
      <c r="B909" s="1" t="n">
        <v>44869</v>
      </c>
      <c r="C909" s="1" t="n">
        <v>45831</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52253-2022</t>
        </is>
      </c>
      <c r="B910" s="1" t="n">
        <v>44873</v>
      </c>
      <c r="C910" s="1" t="n">
        <v>45831</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52268-2022</t>
        </is>
      </c>
      <c r="B911" s="1" t="n">
        <v>44873</v>
      </c>
      <c r="C911" s="1" t="n">
        <v>45831</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c r="U911">
        <f>HYPERLINK("https://klasma.github.io/Logging_2309/knärot/A 52268-2022 karta knärot.png", "A 52268-2022")</f>
        <v/>
      </c>
      <c r="V911">
        <f>HYPERLINK("https://klasma.github.io/Logging_2309/klagomål/A 52268-2022 FSC-klagomål.docx", "A 52268-2022")</f>
        <v/>
      </c>
      <c r="W911">
        <f>HYPERLINK("https://klasma.github.io/Logging_2309/klagomålsmail/A 52268-2022 FSC-klagomål mail.docx", "A 52268-2022")</f>
        <v/>
      </c>
      <c r="X911">
        <f>HYPERLINK("https://klasma.github.io/Logging_2309/tillsyn/A 52268-2022 tillsynsbegäran.docx", "A 52268-2022")</f>
        <v/>
      </c>
      <c r="Y911">
        <f>HYPERLINK("https://klasma.github.io/Logging_2309/tillsynsmail/A 52268-2022 tillsynsbegäran mail.docx", "A 52268-2022")</f>
        <v/>
      </c>
    </row>
    <row r="912" ht="15" customHeight="1">
      <c r="A912" t="inlineStr">
        <is>
          <t>A 52258-2022</t>
        </is>
      </c>
      <c r="B912" s="1" t="n">
        <v>44873</v>
      </c>
      <c r="C912" s="1" t="n">
        <v>45831</v>
      </c>
      <c r="D912" t="inlineStr">
        <is>
          <t>JÄMTLANDS LÄN</t>
        </is>
      </c>
      <c r="E912" t="inlineStr">
        <is>
          <t>KROKOM</t>
        </is>
      </c>
      <c r="G912" t="n">
        <v>1.3</v>
      </c>
      <c r="H912" t="n">
        <v>0</v>
      </c>
      <c r="I912" t="n">
        <v>0</v>
      </c>
      <c r="J912" t="n">
        <v>0</v>
      </c>
      <c r="K912" t="n">
        <v>0</v>
      </c>
      <c r="L912" t="n">
        <v>0</v>
      </c>
      <c r="M912" t="n">
        <v>0</v>
      </c>
      <c r="N912" t="n">
        <v>0</v>
      </c>
      <c r="O912" t="n">
        <v>0</v>
      </c>
      <c r="P912" t="n">
        <v>0</v>
      </c>
      <c r="Q912" t="n">
        <v>0</v>
      </c>
      <c r="R912" s="2" t="inlineStr"/>
    </row>
    <row r="913" ht="15" customHeight="1">
      <c r="A913" t="inlineStr">
        <is>
          <t>A 53402-2022</t>
        </is>
      </c>
      <c r="B913" s="1" t="n">
        <v>44874</v>
      </c>
      <c r="C913" s="1" t="n">
        <v>45831</v>
      </c>
      <c r="D913" t="inlineStr">
        <is>
          <t>JÄMTLANDS LÄN</t>
        </is>
      </c>
      <c r="E913" t="inlineStr">
        <is>
          <t>KROKOM</t>
        </is>
      </c>
      <c r="G913" t="n">
        <v>36.7</v>
      </c>
      <c r="H913" t="n">
        <v>0</v>
      </c>
      <c r="I913" t="n">
        <v>0</v>
      </c>
      <c r="J913" t="n">
        <v>0</v>
      </c>
      <c r="K913" t="n">
        <v>0</v>
      </c>
      <c r="L913" t="n">
        <v>0</v>
      </c>
      <c r="M913" t="n">
        <v>0</v>
      </c>
      <c r="N913" t="n">
        <v>0</v>
      </c>
      <c r="O913" t="n">
        <v>0</v>
      </c>
      <c r="P913" t="n">
        <v>0</v>
      </c>
      <c r="Q913" t="n">
        <v>0</v>
      </c>
      <c r="R913" s="2" t="inlineStr"/>
    </row>
    <row r="914" ht="15" customHeight="1">
      <c r="A914" t="inlineStr">
        <is>
          <t>A 52801-2022</t>
        </is>
      </c>
      <c r="B914" s="1" t="n">
        <v>44875</v>
      </c>
      <c r="C914" s="1" t="n">
        <v>45831</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52788-2022</t>
        </is>
      </c>
      <c r="B915" s="1" t="n">
        <v>44875</v>
      </c>
      <c r="C915" s="1" t="n">
        <v>45831</v>
      </c>
      <c r="D915" t="inlineStr">
        <is>
          <t>JÄMTLANDS LÄN</t>
        </is>
      </c>
      <c r="E915" t="inlineStr">
        <is>
          <t>KROKOM</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52843-2022</t>
        </is>
      </c>
      <c r="B916" s="1" t="n">
        <v>44875</v>
      </c>
      <c r="C916" s="1" t="n">
        <v>45831</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52858-2022</t>
        </is>
      </c>
      <c r="B917" s="1" t="n">
        <v>44875</v>
      </c>
      <c r="C917" s="1" t="n">
        <v>45831</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53765-2022</t>
        </is>
      </c>
      <c r="B918" s="1" t="n">
        <v>44875</v>
      </c>
      <c r="C918" s="1" t="n">
        <v>45831</v>
      </c>
      <c r="D918" t="inlineStr">
        <is>
          <t>JÄMTLANDS LÄN</t>
        </is>
      </c>
      <c r="E918" t="inlineStr">
        <is>
          <t>KROKOM</t>
        </is>
      </c>
      <c r="G918" t="n">
        <v>6.4</v>
      </c>
      <c r="H918" t="n">
        <v>0</v>
      </c>
      <c r="I918" t="n">
        <v>0</v>
      </c>
      <c r="J918" t="n">
        <v>0</v>
      </c>
      <c r="K918" t="n">
        <v>0</v>
      </c>
      <c r="L918" t="n">
        <v>0</v>
      </c>
      <c r="M918" t="n">
        <v>0</v>
      </c>
      <c r="N918" t="n">
        <v>0</v>
      </c>
      <c r="O918" t="n">
        <v>0</v>
      </c>
      <c r="P918" t="n">
        <v>0</v>
      </c>
      <c r="Q918" t="n">
        <v>0</v>
      </c>
      <c r="R918" s="2" t="inlineStr"/>
    </row>
    <row r="919" ht="15" customHeight="1">
      <c r="A919" t="inlineStr">
        <is>
          <t>A 53771-2022</t>
        </is>
      </c>
      <c r="B919" s="1" t="n">
        <v>44875</v>
      </c>
      <c r="C919" s="1" t="n">
        <v>45831</v>
      </c>
      <c r="D919" t="inlineStr">
        <is>
          <t>JÄMTLANDS LÄN</t>
        </is>
      </c>
      <c r="E919" t="inlineStr">
        <is>
          <t>KROKOM</t>
        </is>
      </c>
      <c r="G919" t="n">
        <v>8.1</v>
      </c>
      <c r="H919" t="n">
        <v>0</v>
      </c>
      <c r="I919" t="n">
        <v>0</v>
      </c>
      <c r="J919" t="n">
        <v>0</v>
      </c>
      <c r="K919" t="n">
        <v>0</v>
      </c>
      <c r="L919" t="n">
        <v>0</v>
      </c>
      <c r="M919" t="n">
        <v>0</v>
      </c>
      <c r="N919" t="n">
        <v>0</v>
      </c>
      <c r="O919" t="n">
        <v>0</v>
      </c>
      <c r="P919" t="n">
        <v>0</v>
      </c>
      <c r="Q919" t="n">
        <v>0</v>
      </c>
      <c r="R919" s="2" t="inlineStr"/>
    </row>
    <row r="920" ht="15" customHeight="1">
      <c r="A920" t="inlineStr">
        <is>
          <t>A 53843-2022</t>
        </is>
      </c>
      <c r="B920" s="1" t="n">
        <v>44880</v>
      </c>
      <c r="C920" s="1" t="n">
        <v>45831</v>
      </c>
      <c r="D920" t="inlineStr">
        <is>
          <t>JÄMTLANDS LÄN</t>
        </is>
      </c>
      <c r="E920" t="inlineStr">
        <is>
          <t>KROKOM</t>
        </is>
      </c>
      <c r="F920" t="inlineStr">
        <is>
          <t>Övriga Aktiebolag</t>
        </is>
      </c>
      <c r="G920" t="n">
        <v>26.4</v>
      </c>
      <c r="H920" t="n">
        <v>0</v>
      </c>
      <c r="I920" t="n">
        <v>0</v>
      </c>
      <c r="J920" t="n">
        <v>0</v>
      </c>
      <c r="K920" t="n">
        <v>0</v>
      </c>
      <c r="L920" t="n">
        <v>0</v>
      </c>
      <c r="M920" t="n">
        <v>0</v>
      </c>
      <c r="N920" t="n">
        <v>0</v>
      </c>
      <c r="O920" t="n">
        <v>0</v>
      </c>
      <c r="P920" t="n">
        <v>0</v>
      </c>
      <c r="Q920" t="n">
        <v>0</v>
      </c>
      <c r="R920" s="2" t="inlineStr"/>
    </row>
    <row r="921" ht="15" customHeight="1">
      <c r="A921" t="inlineStr">
        <is>
          <t>A 54491-2022</t>
        </is>
      </c>
      <c r="B921" s="1" t="n">
        <v>44880</v>
      </c>
      <c r="C921" s="1" t="n">
        <v>45831</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54049-2022</t>
        </is>
      </c>
      <c r="B922" s="1" t="n">
        <v>44881</v>
      </c>
      <c r="C922" s="1" t="n">
        <v>45831</v>
      </c>
      <c r="D922" t="inlineStr">
        <is>
          <t>JÄMTLANDS LÄN</t>
        </is>
      </c>
      <c r="E922" t="inlineStr">
        <is>
          <t>KROKOM</t>
        </is>
      </c>
      <c r="G922" t="n">
        <v>6.8</v>
      </c>
      <c r="H922" t="n">
        <v>0</v>
      </c>
      <c r="I922" t="n">
        <v>0</v>
      </c>
      <c r="J922" t="n">
        <v>0</v>
      </c>
      <c r="K922" t="n">
        <v>0</v>
      </c>
      <c r="L922" t="n">
        <v>0</v>
      </c>
      <c r="M922" t="n">
        <v>0</v>
      </c>
      <c r="N922" t="n">
        <v>0</v>
      </c>
      <c r="O922" t="n">
        <v>0</v>
      </c>
      <c r="P922" t="n">
        <v>0</v>
      </c>
      <c r="Q922" t="n">
        <v>0</v>
      </c>
      <c r="R922" s="2" t="inlineStr"/>
    </row>
    <row r="923" ht="15" customHeight="1">
      <c r="A923" t="inlineStr">
        <is>
          <t>A 54605-2022</t>
        </is>
      </c>
      <c r="B923" s="1" t="n">
        <v>44881</v>
      </c>
      <c r="C923" s="1" t="n">
        <v>45831</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55564-2022</t>
        </is>
      </c>
      <c r="B924" s="1" t="n">
        <v>44883</v>
      </c>
      <c r="C924" s="1" t="n">
        <v>45831</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55567-2022</t>
        </is>
      </c>
      <c r="B925" s="1" t="n">
        <v>44883</v>
      </c>
      <c r="C925" s="1" t="n">
        <v>45831</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55479-2022</t>
        </is>
      </c>
      <c r="B926" s="1" t="n">
        <v>44887</v>
      </c>
      <c r="C926" s="1" t="n">
        <v>45831</v>
      </c>
      <c r="D926" t="inlineStr">
        <is>
          <t>JÄMTLANDS LÄN</t>
        </is>
      </c>
      <c r="E926" t="inlineStr">
        <is>
          <t>KROKOM</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55455-2022</t>
        </is>
      </c>
      <c r="B927" s="1" t="n">
        <v>44887</v>
      </c>
      <c r="C927" s="1" t="n">
        <v>45831</v>
      </c>
      <c r="D927" t="inlineStr">
        <is>
          <t>JÄMTLANDS LÄN</t>
        </is>
      </c>
      <c r="E927" t="inlineStr">
        <is>
          <t>KROKOM</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56167-2022</t>
        </is>
      </c>
      <c r="B928" s="1" t="n">
        <v>44889</v>
      </c>
      <c r="C928" s="1" t="n">
        <v>45831</v>
      </c>
      <c r="D928" t="inlineStr">
        <is>
          <t>JÄMTLANDS LÄN</t>
        </is>
      </c>
      <c r="E928" t="inlineStr">
        <is>
          <t>KROKOM</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56166-2022</t>
        </is>
      </c>
      <c r="B929" s="1" t="n">
        <v>44889</v>
      </c>
      <c r="C929" s="1" t="n">
        <v>45831</v>
      </c>
      <c r="D929" t="inlineStr">
        <is>
          <t>JÄMTLANDS LÄN</t>
        </is>
      </c>
      <c r="E929" t="inlineStr">
        <is>
          <t>KROKOM</t>
        </is>
      </c>
      <c r="G929" t="n">
        <v>17.6</v>
      </c>
      <c r="H929" t="n">
        <v>0</v>
      </c>
      <c r="I929" t="n">
        <v>0</v>
      </c>
      <c r="J929" t="n">
        <v>0</v>
      </c>
      <c r="K929" t="n">
        <v>0</v>
      </c>
      <c r="L929" t="n">
        <v>0</v>
      </c>
      <c r="M929" t="n">
        <v>0</v>
      </c>
      <c r="N929" t="n">
        <v>0</v>
      </c>
      <c r="O929" t="n">
        <v>0</v>
      </c>
      <c r="P929" t="n">
        <v>0</v>
      </c>
      <c r="Q929" t="n">
        <v>0</v>
      </c>
      <c r="R929" s="2" t="inlineStr"/>
    </row>
    <row r="930" ht="15" customHeight="1">
      <c r="A930" t="inlineStr">
        <is>
          <t>A 57454-2022</t>
        </is>
      </c>
      <c r="B930" s="1" t="n">
        <v>44889</v>
      </c>
      <c r="C930" s="1" t="n">
        <v>45831</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58052-2022</t>
        </is>
      </c>
      <c r="B931" s="1" t="n">
        <v>44893</v>
      </c>
      <c r="C931" s="1" t="n">
        <v>45831</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58771-2022</t>
        </is>
      </c>
      <c r="B932" s="1" t="n">
        <v>44895</v>
      </c>
      <c r="C932" s="1" t="n">
        <v>45831</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57480-2022</t>
        </is>
      </c>
      <c r="B933" s="1" t="n">
        <v>44896</v>
      </c>
      <c r="C933" s="1" t="n">
        <v>45831</v>
      </c>
      <c r="D933" t="inlineStr">
        <is>
          <t>JÄMTLANDS LÄN</t>
        </is>
      </c>
      <c r="E933" t="inlineStr">
        <is>
          <t>KROKOM</t>
        </is>
      </c>
      <c r="G933" t="n">
        <v>12.3</v>
      </c>
      <c r="H933" t="n">
        <v>0</v>
      </c>
      <c r="I933" t="n">
        <v>0</v>
      </c>
      <c r="J933" t="n">
        <v>0</v>
      </c>
      <c r="K933" t="n">
        <v>0</v>
      </c>
      <c r="L933" t="n">
        <v>0</v>
      </c>
      <c r="M933" t="n">
        <v>0</v>
      </c>
      <c r="N933" t="n">
        <v>0</v>
      </c>
      <c r="O933" t="n">
        <v>0</v>
      </c>
      <c r="P933" t="n">
        <v>0</v>
      </c>
      <c r="Q933" t="n">
        <v>0</v>
      </c>
      <c r="R933" s="2" t="inlineStr"/>
    </row>
    <row r="934" ht="15" customHeight="1">
      <c r="A934" t="inlineStr">
        <is>
          <t>A 58044-2022</t>
        </is>
      </c>
      <c r="B934" s="1" t="n">
        <v>44900</v>
      </c>
      <c r="C934" s="1" t="n">
        <v>45831</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58041-2022</t>
        </is>
      </c>
      <c r="B935" s="1" t="n">
        <v>44900</v>
      </c>
      <c r="C935" s="1" t="n">
        <v>45831</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58313-2022</t>
        </is>
      </c>
      <c r="B936" s="1" t="n">
        <v>44901</v>
      </c>
      <c r="C936" s="1" t="n">
        <v>45831</v>
      </c>
      <c r="D936" t="inlineStr">
        <is>
          <t>JÄMTLANDS LÄN</t>
        </is>
      </c>
      <c r="E936" t="inlineStr">
        <is>
          <t>KROKOM</t>
        </is>
      </c>
      <c r="F936" t="inlineStr">
        <is>
          <t>Övriga Aktiebolag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58347-2022</t>
        </is>
      </c>
      <c r="B937" s="1" t="n">
        <v>44901</v>
      </c>
      <c r="C937" s="1" t="n">
        <v>45831</v>
      </c>
      <c r="D937" t="inlineStr">
        <is>
          <t>JÄMTLANDS LÄN</t>
        </is>
      </c>
      <c r="E937" t="inlineStr">
        <is>
          <t>KROKOM</t>
        </is>
      </c>
      <c r="F937" t="inlineStr">
        <is>
          <t>Övriga Aktiebolag</t>
        </is>
      </c>
      <c r="G937" t="n">
        <v>5.6</v>
      </c>
      <c r="H937" t="n">
        <v>0</v>
      </c>
      <c r="I937" t="n">
        <v>0</v>
      </c>
      <c r="J937" t="n">
        <v>0</v>
      </c>
      <c r="K937" t="n">
        <v>0</v>
      </c>
      <c r="L937" t="n">
        <v>0</v>
      </c>
      <c r="M937" t="n">
        <v>0</v>
      </c>
      <c r="N937" t="n">
        <v>0</v>
      </c>
      <c r="O937" t="n">
        <v>0</v>
      </c>
      <c r="P937" t="n">
        <v>0</v>
      </c>
      <c r="Q937" t="n">
        <v>0</v>
      </c>
      <c r="R937" s="2" t="inlineStr"/>
    </row>
    <row r="938" ht="15" customHeight="1">
      <c r="A938" t="inlineStr">
        <is>
          <t>A 58316-2022</t>
        </is>
      </c>
      <c r="B938" s="1" t="n">
        <v>44901</v>
      </c>
      <c r="C938" s="1" t="n">
        <v>45831</v>
      </c>
      <c r="D938" t="inlineStr">
        <is>
          <t>JÄMTLANDS LÄN</t>
        </is>
      </c>
      <c r="E938" t="inlineStr">
        <is>
          <t>KROKOM</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59830-2022</t>
        </is>
      </c>
      <c r="B939" s="1" t="n">
        <v>44901</v>
      </c>
      <c r="C939" s="1" t="n">
        <v>45831</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58870-2022</t>
        </is>
      </c>
      <c r="B940" s="1" t="n">
        <v>44903</v>
      </c>
      <c r="C940" s="1" t="n">
        <v>45831</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59076-2022</t>
        </is>
      </c>
      <c r="B941" s="1" t="n">
        <v>44904</v>
      </c>
      <c r="C941" s="1" t="n">
        <v>45831</v>
      </c>
      <c r="D941" t="inlineStr">
        <is>
          <t>JÄMTLANDS LÄN</t>
        </is>
      </c>
      <c r="E941" t="inlineStr">
        <is>
          <t>KROKOM</t>
        </is>
      </c>
      <c r="G941" t="n">
        <v>3.4</v>
      </c>
      <c r="H941" t="n">
        <v>0</v>
      </c>
      <c r="I941" t="n">
        <v>0</v>
      </c>
      <c r="J941" t="n">
        <v>0</v>
      </c>
      <c r="K941" t="n">
        <v>0</v>
      </c>
      <c r="L941" t="n">
        <v>0</v>
      </c>
      <c r="M941" t="n">
        <v>0</v>
      </c>
      <c r="N941" t="n">
        <v>0</v>
      </c>
      <c r="O941" t="n">
        <v>0</v>
      </c>
      <c r="P941" t="n">
        <v>0</v>
      </c>
      <c r="Q941" t="n">
        <v>0</v>
      </c>
      <c r="R941" s="2" t="inlineStr"/>
    </row>
    <row r="942" ht="15" customHeight="1">
      <c r="A942" t="inlineStr">
        <is>
          <t>A 59668-2022</t>
        </is>
      </c>
      <c r="B942" s="1" t="n">
        <v>44908</v>
      </c>
      <c r="C942" s="1" t="n">
        <v>45831</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60536-2022</t>
        </is>
      </c>
      <c r="B943" s="1" t="n">
        <v>44911</v>
      </c>
      <c r="C943" s="1" t="n">
        <v>45831</v>
      </c>
      <c r="D943" t="inlineStr">
        <is>
          <t>JÄMTLANDS LÄN</t>
        </is>
      </c>
      <c r="E943" t="inlineStr">
        <is>
          <t>KROKOM</t>
        </is>
      </c>
      <c r="F943" t="inlineStr">
        <is>
          <t>Övriga Aktiebolag</t>
        </is>
      </c>
      <c r="G943" t="n">
        <v>39.4</v>
      </c>
      <c r="H943" t="n">
        <v>0</v>
      </c>
      <c r="I943" t="n">
        <v>0</v>
      </c>
      <c r="J943" t="n">
        <v>0</v>
      </c>
      <c r="K943" t="n">
        <v>0</v>
      </c>
      <c r="L943" t="n">
        <v>0</v>
      </c>
      <c r="M943" t="n">
        <v>0</v>
      </c>
      <c r="N943" t="n">
        <v>0</v>
      </c>
      <c r="O943" t="n">
        <v>0</v>
      </c>
      <c r="P943" t="n">
        <v>0</v>
      </c>
      <c r="Q943" t="n">
        <v>0</v>
      </c>
      <c r="R943" s="2" t="inlineStr"/>
    </row>
    <row r="944" ht="15" customHeight="1">
      <c r="A944" t="inlineStr">
        <is>
          <t>A 61675-2022</t>
        </is>
      </c>
      <c r="B944" s="1" t="n">
        <v>44911</v>
      </c>
      <c r="C944" s="1" t="n">
        <v>45831</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61572-2022</t>
        </is>
      </c>
      <c r="B945" s="1" t="n">
        <v>44916</v>
      </c>
      <c r="C945" s="1" t="n">
        <v>45831</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62146-2022</t>
        </is>
      </c>
      <c r="B946" s="1" t="n">
        <v>44922</v>
      </c>
      <c r="C946" s="1" t="n">
        <v>45831</v>
      </c>
      <c r="D946" t="inlineStr">
        <is>
          <t>JÄMTLANDS LÄN</t>
        </is>
      </c>
      <c r="E946" t="inlineStr">
        <is>
          <t>KROKOM</t>
        </is>
      </c>
      <c r="F946" t="inlineStr">
        <is>
          <t>Övriga Aktiebolag</t>
        </is>
      </c>
      <c r="G946" t="n">
        <v>17.5</v>
      </c>
      <c r="H946" t="n">
        <v>0</v>
      </c>
      <c r="I946" t="n">
        <v>0</v>
      </c>
      <c r="J946" t="n">
        <v>0</v>
      </c>
      <c r="K946" t="n">
        <v>0</v>
      </c>
      <c r="L946" t="n">
        <v>0</v>
      </c>
      <c r="M946" t="n">
        <v>0</v>
      </c>
      <c r="N946" t="n">
        <v>0</v>
      </c>
      <c r="O946" t="n">
        <v>0</v>
      </c>
      <c r="P946" t="n">
        <v>0</v>
      </c>
      <c r="Q946" t="n">
        <v>0</v>
      </c>
      <c r="R946" s="2" t="inlineStr"/>
    </row>
    <row r="947" ht="15" customHeight="1">
      <c r="A947" t="inlineStr">
        <is>
          <t>A 62142-2022</t>
        </is>
      </c>
      <c r="B947" s="1" t="n">
        <v>44922</v>
      </c>
      <c r="C947" s="1" t="n">
        <v>45831</v>
      </c>
      <c r="D947" t="inlineStr">
        <is>
          <t>JÄMTLANDS LÄN</t>
        </is>
      </c>
      <c r="E947" t="inlineStr">
        <is>
          <t>KROKOM</t>
        </is>
      </c>
      <c r="F947" t="inlineStr">
        <is>
          <t>Övriga Aktiebolag</t>
        </is>
      </c>
      <c r="G947" t="n">
        <v>11.7</v>
      </c>
      <c r="H947" t="n">
        <v>0</v>
      </c>
      <c r="I947" t="n">
        <v>0</v>
      </c>
      <c r="J947" t="n">
        <v>0</v>
      </c>
      <c r="K947" t="n">
        <v>0</v>
      </c>
      <c r="L947" t="n">
        <v>0</v>
      </c>
      <c r="M947" t="n">
        <v>0</v>
      </c>
      <c r="N947" t="n">
        <v>0</v>
      </c>
      <c r="O947" t="n">
        <v>0</v>
      </c>
      <c r="P947" t="n">
        <v>0</v>
      </c>
      <c r="Q947" t="n">
        <v>0</v>
      </c>
      <c r="R947" s="2" t="inlineStr"/>
    </row>
    <row r="948" ht="15" customHeight="1">
      <c r="A948" t="inlineStr">
        <is>
          <t>A 233-2023</t>
        </is>
      </c>
      <c r="B948" s="1" t="n">
        <v>44922</v>
      </c>
      <c r="C948" s="1" t="n">
        <v>45831</v>
      </c>
      <c r="D948" t="inlineStr">
        <is>
          <t>JÄMTLANDS LÄN</t>
        </is>
      </c>
      <c r="E948" t="inlineStr">
        <is>
          <t>KROKOM</t>
        </is>
      </c>
      <c r="G948" t="n">
        <v>0.6</v>
      </c>
      <c r="H948" t="n">
        <v>0</v>
      </c>
      <c r="I948" t="n">
        <v>0</v>
      </c>
      <c r="J948" t="n">
        <v>0</v>
      </c>
      <c r="K948" t="n">
        <v>0</v>
      </c>
      <c r="L948" t="n">
        <v>0</v>
      </c>
      <c r="M948" t="n">
        <v>0</v>
      </c>
      <c r="N948" t="n">
        <v>0</v>
      </c>
      <c r="O948" t="n">
        <v>0</v>
      </c>
      <c r="P948" t="n">
        <v>0</v>
      </c>
      <c r="Q948" t="n">
        <v>0</v>
      </c>
      <c r="R948" s="2" t="inlineStr"/>
    </row>
    <row r="949" ht="15" customHeight="1">
      <c r="A949" t="inlineStr">
        <is>
          <t>A 731-2023</t>
        </is>
      </c>
      <c r="B949" s="1" t="n">
        <v>44930</v>
      </c>
      <c r="C949" s="1" t="n">
        <v>45831</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1297-2023</t>
        </is>
      </c>
      <c r="B950" s="1" t="n">
        <v>44931</v>
      </c>
      <c r="C950" s="1" t="n">
        <v>45831</v>
      </c>
      <c r="D950" t="inlineStr">
        <is>
          <t>JÄMTLANDS LÄN</t>
        </is>
      </c>
      <c r="E950" t="inlineStr">
        <is>
          <t>KROKOM</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1517-2023</t>
        </is>
      </c>
      <c r="B951" s="1" t="n">
        <v>44935</v>
      </c>
      <c r="C951" s="1" t="n">
        <v>45831</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1877-2023</t>
        </is>
      </c>
      <c r="B952" s="1" t="n">
        <v>44938</v>
      </c>
      <c r="C952" s="1" t="n">
        <v>45831</v>
      </c>
      <c r="D952" t="inlineStr">
        <is>
          <t>JÄMTLANDS LÄN</t>
        </is>
      </c>
      <c r="E952" t="inlineStr">
        <is>
          <t>KROKOM</t>
        </is>
      </c>
      <c r="G952" t="n">
        <v>11.1</v>
      </c>
      <c r="H952" t="n">
        <v>0</v>
      </c>
      <c r="I952" t="n">
        <v>0</v>
      </c>
      <c r="J952" t="n">
        <v>0</v>
      </c>
      <c r="K952" t="n">
        <v>0</v>
      </c>
      <c r="L952" t="n">
        <v>0</v>
      </c>
      <c r="M952" t="n">
        <v>0</v>
      </c>
      <c r="N952" t="n">
        <v>0</v>
      </c>
      <c r="O952" t="n">
        <v>0</v>
      </c>
      <c r="P952" t="n">
        <v>0</v>
      </c>
      <c r="Q952" t="n">
        <v>0</v>
      </c>
      <c r="R952" s="2" t="inlineStr"/>
    </row>
    <row r="953" ht="15" customHeight="1">
      <c r="A953" t="inlineStr">
        <is>
          <t>A 2609-2023</t>
        </is>
      </c>
      <c r="B953" s="1" t="n">
        <v>44939</v>
      </c>
      <c r="C953" s="1" t="n">
        <v>45831</v>
      </c>
      <c r="D953" t="inlineStr">
        <is>
          <t>JÄMTLANDS LÄN</t>
        </is>
      </c>
      <c r="E953" t="inlineStr">
        <is>
          <t>KROKOM</t>
        </is>
      </c>
      <c r="G953" t="n">
        <v>16.9</v>
      </c>
      <c r="H953" t="n">
        <v>0</v>
      </c>
      <c r="I953" t="n">
        <v>0</v>
      </c>
      <c r="J953" t="n">
        <v>0</v>
      </c>
      <c r="K953" t="n">
        <v>0</v>
      </c>
      <c r="L953" t="n">
        <v>0</v>
      </c>
      <c r="M953" t="n">
        <v>0</v>
      </c>
      <c r="N953" t="n">
        <v>0</v>
      </c>
      <c r="O953" t="n">
        <v>0</v>
      </c>
      <c r="P953" t="n">
        <v>0</v>
      </c>
      <c r="Q953" t="n">
        <v>0</v>
      </c>
      <c r="R953" s="2" t="inlineStr"/>
    </row>
    <row r="954" ht="15" customHeight="1">
      <c r="A954" t="inlineStr">
        <is>
          <t>A 3213-2023</t>
        </is>
      </c>
      <c r="B954" s="1" t="n">
        <v>44946</v>
      </c>
      <c r="C954" s="1" t="n">
        <v>45831</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3218-2023</t>
        </is>
      </c>
      <c r="B955" s="1" t="n">
        <v>44946</v>
      </c>
      <c r="C955" s="1" t="n">
        <v>45831</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3210-2023</t>
        </is>
      </c>
      <c r="B956" s="1" t="n">
        <v>44946</v>
      </c>
      <c r="C956" s="1" t="n">
        <v>45831</v>
      </c>
      <c r="D956" t="inlineStr">
        <is>
          <t>JÄMTLANDS LÄN</t>
        </is>
      </c>
      <c r="E956" t="inlineStr">
        <is>
          <t>KROKOM</t>
        </is>
      </c>
      <c r="G956" t="n">
        <v>7.4</v>
      </c>
      <c r="H956" t="n">
        <v>0</v>
      </c>
      <c r="I956" t="n">
        <v>0</v>
      </c>
      <c r="J956" t="n">
        <v>0</v>
      </c>
      <c r="K956" t="n">
        <v>0</v>
      </c>
      <c r="L956" t="n">
        <v>0</v>
      </c>
      <c r="M956" t="n">
        <v>0</v>
      </c>
      <c r="N956" t="n">
        <v>0</v>
      </c>
      <c r="O956" t="n">
        <v>0</v>
      </c>
      <c r="P956" t="n">
        <v>0</v>
      </c>
      <c r="Q956" t="n">
        <v>0</v>
      </c>
      <c r="R956" s="2" t="inlineStr"/>
    </row>
    <row r="957" ht="15" customHeight="1">
      <c r="A957" t="inlineStr">
        <is>
          <t>A 5722-2023</t>
        </is>
      </c>
      <c r="B957" s="1" t="n">
        <v>44961</v>
      </c>
      <c r="C957" s="1" t="n">
        <v>45831</v>
      </c>
      <c r="D957" t="inlineStr">
        <is>
          <t>JÄMTLANDS LÄN</t>
        </is>
      </c>
      <c r="E957" t="inlineStr">
        <is>
          <t>KROKOM</t>
        </is>
      </c>
      <c r="G957" t="n">
        <v>12.3</v>
      </c>
      <c r="H957" t="n">
        <v>0</v>
      </c>
      <c r="I957" t="n">
        <v>0</v>
      </c>
      <c r="J957" t="n">
        <v>0</v>
      </c>
      <c r="K957" t="n">
        <v>0</v>
      </c>
      <c r="L957" t="n">
        <v>0</v>
      </c>
      <c r="M957" t="n">
        <v>0</v>
      </c>
      <c r="N957" t="n">
        <v>0</v>
      </c>
      <c r="O957" t="n">
        <v>0</v>
      </c>
      <c r="P957" t="n">
        <v>0</v>
      </c>
      <c r="Q957" t="n">
        <v>0</v>
      </c>
      <c r="R957" s="2" t="inlineStr"/>
    </row>
    <row r="958" ht="15" customHeight="1">
      <c r="A958" t="inlineStr">
        <is>
          <t>A 6595-2023</t>
        </is>
      </c>
      <c r="B958" s="1" t="n">
        <v>44963</v>
      </c>
      <c r="C958" s="1" t="n">
        <v>45831</v>
      </c>
      <c r="D958" t="inlineStr">
        <is>
          <t>JÄMTLANDS LÄN</t>
        </is>
      </c>
      <c r="E958" t="inlineStr">
        <is>
          <t>KROKOM</t>
        </is>
      </c>
      <c r="G958" t="n">
        <v>6.4</v>
      </c>
      <c r="H958" t="n">
        <v>0</v>
      </c>
      <c r="I958" t="n">
        <v>0</v>
      </c>
      <c r="J958" t="n">
        <v>0</v>
      </c>
      <c r="K958" t="n">
        <v>0</v>
      </c>
      <c r="L958" t="n">
        <v>0</v>
      </c>
      <c r="M958" t="n">
        <v>0</v>
      </c>
      <c r="N958" t="n">
        <v>0</v>
      </c>
      <c r="O958" t="n">
        <v>0</v>
      </c>
      <c r="P958" t="n">
        <v>0</v>
      </c>
      <c r="Q958" t="n">
        <v>0</v>
      </c>
      <c r="R958" s="2" t="inlineStr"/>
    </row>
    <row r="959" ht="15" customHeight="1">
      <c r="A959" t="inlineStr">
        <is>
          <t>A 6347-2023</t>
        </is>
      </c>
      <c r="B959" s="1" t="n">
        <v>44965</v>
      </c>
      <c r="C959" s="1" t="n">
        <v>45831</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7371-2023</t>
        </is>
      </c>
      <c r="B960" s="1" t="n">
        <v>44966</v>
      </c>
      <c r="C960" s="1" t="n">
        <v>45831</v>
      </c>
      <c r="D960" t="inlineStr">
        <is>
          <t>JÄMTLANDS LÄN</t>
        </is>
      </c>
      <c r="E960" t="inlineStr">
        <is>
          <t>KROKOM</t>
        </is>
      </c>
      <c r="G960" t="n">
        <v>5</v>
      </c>
      <c r="H960" t="n">
        <v>0</v>
      </c>
      <c r="I960" t="n">
        <v>0</v>
      </c>
      <c r="J960" t="n">
        <v>0</v>
      </c>
      <c r="K960" t="n">
        <v>0</v>
      </c>
      <c r="L960" t="n">
        <v>0</v>
      </c>
      <c r="M960" t="n">
        <v>0</v>
      </c>
      <c r="N960" t="n">
        <v>0</v>
      </c>
      <c r="O960" t="n">
        <v>0</v>
      </c>
      <c r="P960" t="n">
        <v>0</v>
      </c>
      <c r="Q960" t="n">
        <v>0</v>
      </c>
      <c r="R960" s="2" t="inlineStr"/>
    </row>
    <row r="961" ht="15" customHeight="1">
      <c r="A961" t="inlineStr">
        <is>
          <t>A 7373-2023</t>
        </is>
      </c>
      <c r="B961" s="1" t="n">
        <v>44966</v>
      </c>
      <c r="C961" s="1" t="n">
        <v>45831</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7952-2023</t>
        </is>
      </c>
      <c r="B962" s="1" t="n">
        <v>44970</v>
      </c>
      <c r="C962" s="1" t="n">
        <v>45831</v>
      </c>
      <c r="D962" t="inlineStr">
        <is>
          <t>JÄMTLANDS LÄN</t>
        </is>
      </c>
      <c r="E962" t="inlineStr">
        <is>
          <t>KROKOM</t>
        </is>
      </c>
      <c r="G962" t="n">
        <v>4.8</v>
      </c>
      <c r="H962" t="n">
        <v>0</v>
      </c>
      <c r="I962" t="n">
        <v>0</v>
      </c>
      <c r="J962" t="n">
        <v>0</v>
      </c>
      <c r="K962" t="n">
        <v>0</v>
      </c>
      <c r="L962" t="n">
        <v>0</v>
      </c>
      <c r="M962" t="n">
        <v>0</v>
      </c>
      <c r="N962" t="n">
        <v>0</v>
      </c>
      <c r="O962" t="n">
        <v>0</v>
      </c>
      <c r="P962" t="n">
        <v>0</v>
      </c>
      <c r="Q962" t="n">
        <v>0</v>
      </c>
      <c r="R962" s="2" t="inlineStr"/>
    </row>
    <row r="963" ht="15" customHeight="1">
      <c r="A963" t="inlineStr">
        <is>
          <t>A 7962-2023</t>
        </is>
      </c>
      <c r="B963" s="1" t="n">
        <v>44970</v>
      </c>
      <c r="C963" s="1" t="n">
        <v>45831</v>
      </c>
      <c r="D963" t="inlineStr">
        <is>
          <t>JÄMTLANDS LÄN</t>
        </is>
      </c>
      <c r="E963" t="inlineStr">
        <is>
          <t>KROKOM</t>
        </is>
      </c>
      <c r="G963" t="n">
        <v>12.2</v>
      </c>
      <c r="H963" t="n">
        <v>0</v>
      </c>
      <c r="I963" t="n">
        <v>0</v>
      </c>
      <c r="J963" t="n">
        <v>0</v>
      </c>
      <c r="K963" t="n">
        <v>0</v>
      </c>
      <c r="L963" t="n">
        <v>0</v>
      </c>
      <c r="M963" t="n">
        <v>0</v>
      </c>
      <c r="N963" t="n">
        <v>0</v>
      </c>
      <c r="O963" t="n">
        <v>0</v>
      </c>
      <c r="P963" t="n">
        <v>0</v>
      </c>
      <c r="Q963" t="n">
        <v>0</v>
      </c>
      <c r="R963" s="2" t="inlineStr"/>
    </row>
    <row r="964" ht="15" customHeight="1">
      <c r="A964" t="inlineStr">
        <is>
          <t>A 8369-2023</t>
        </is>
      </c>
      <c r="B964" s="1" t="n">
        <v>44971</v>
      </c>
      <c r="C964" s="1" t="n">
        <v>45831</v>
      </c>
      <c r="D964" t="inlineStr">
        <is>
          <t>JÄMTLANDS LÄN</t>
        </is>
      </c>
      <c r="E964" t="inlineStr">
        <is>
          <t>KROKOM</t>
        </is>
      </c>
      <c r="G964" t="n">
        <v>47.2</v>
      </c>
      <c r="H964" t="n">
        <v>0</v>
      </c>
      <c r="I964" t="n">
        <v>0</v>
      </c>
      <c r="J964" t="n">
        <v>0</v>
      </c>
      <c r="K964" t="n">
        <v>0</v>
      </c>
      <c r="L964" t="n">
        <v>0</v>
      </c>
      <c r="M964" t="n">
        <v>0</v>
      </c>
      <c r="N964" t="n">
        <v>0</v>
      </c>
      <c r="O964" t="n">
        <v>0</v>
      </c>
      <c r="P964" t="n">
        <v>0</v>
      </c>
      <c r="Q964" t="n">
        <v>0</v>
      </c>
      <c r="R964" s="2" t="inlineStr"/>
    </row>
    <row r="965" ht="15" customHeight="1">
      <c r="A965" t="inlineStr">
        <is>
          <t>A 7630-2023</t>
        </is>
      </c>
      <c r="B965" s="1" t="n">
        <v>44972</v>
      </c>
      <c r="C965" s="1" t="n">
        <v>45831</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8037-2023</t>
        </is>
      </c>
      <c r="B966" s="1" t="n">
        <v>44973</v>
      </c>
      <c r="C966" s="1" t="n">
        <v>45831</v>
      </c>
      <c r="D966" t="inlineStr">
        <is>
          <t>JÄMTLANDS LÄN</t>
        </is>
      </c>
      <c r="E966" t="inlineStr">
        <is>
          <t>KROKOM</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9132-2023</t>
        </is>
      </c>
      <c r="B967" s="1" t="n">
        <v>44974</v>
      </c>
      <c r="C967" s="1" t="n">
        <v>45831</v>
      </c>
      <c r="D967" t="inlineStr">
        <is>
          <t>JÄMTLANDS LÄN</t>
        </is>
      </c>
      <c r="E967" t="inlineStr">
        <is>
          <t>KROKOM</t>
        </is>
      </c>
      <c r="F967" t="inlineStr">
        <is>
          <t>SCA</t>
        </is>
      </c>
      <c r="G967" t="n">
        <v>22.7</v>
      </c>
      <c r="H967" t="n">
        <v>0</v>
      </c>
      <c r="I967" t="n">
        <v>0</v>
      </c>
      <c r="J967" t="n">
        <v>0</v>
      </c>
      <c r="K967" t="n">
        <v>0</v>
      </c>
      <c r="L967" t="n">
        <v>0</v>
      </c>
      <c r="M967" t="n">
        <v>0</v>
      </c>
      <c r="N967" t="n">
        <v>0</v>
      </c>
      <c r="O967" t="n">
        <v>0</v>
      </c>
      <c r="P967" t="n">
        <v>0</v>
      </c>
      <c r="Q967" t="n">
        <v>0</v>
      </c>
      <c r="R967" s="2" t="inlineStr"/>
    </row>
    <row r="968" ht="15" customHeight="1">
      <c r="A968" t="inlineStr">
        <is>
          <t>A 9263-2023</t>
        </is>
      </c>
      <c r="B968" s="1" t="n">
        <v>44977</v>
      </c>
      <c r="C968" s="1" t="n">
        <v>45831</v>
      </c>
      <c r="D968" t="inlineStr">
        <is>
          <t>JÄMTLANDS LÄN</t>
        </is>
      </c>
      <c r="E968" t="inlineStr">
        <is>
          <t>KROKOM</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9269-2023</t>
        </is>
      </c>
      <c r="B969" s="1" t="n">
        <v>44977</v>
      </c>
      <c r="C969" s="1" t="n">
        <v>45831</v>
      </c>
      <c r="D969" t="inlineStr">
        <is>
          <t>JÄMTLANDS LÄN</t>
        </is>
      </c>
      <c r="E969" t="inlineStr">
        <is>
          <t>KROKOM</t>
        </is>
      </c>
      <c r="G969" t="n">
        <v>6.3</v>
      </c>
      <c r="H969" t="n">
        <v>0</v>
      </c>
      <c r="I969" t="n">
        <v>0</v>
      </c>
      <c r="J969" t="n">
        <v>0</v>
      </c>
      <c r="K969" t="n">
        <v>0</v>
      </c>
      <c r="L969" t="n">
        <v>0</v>
      </c>
      <c r="M969" t="n">
        <v>0</v>
      </c>
      <c r="N969" t="n">
        <v>0</v>
      </c>
      <c r="O969" t="n">
        <v>0</v>
      </c>
      <c r="P969" t="n">
        <v>0</v>
      </c>
      <c r="Q969" t="n">
        <v>0</v>
      </c>
      <c r="R969" s="2" t="inlineStr"/>
    </row>
    <row r="970" ht="15" customHeight="1">
      <c r="A970" t="inlineStr">
        <is>
          <t>A 9671-2023</t>
        </is>
      </c>
      <c r="B970" s="1" t="n">
        <v>44978</v>
      </c>
      <c r="C970" s="1" t="n">
        <v>45831</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10310-2023</t>
        </is>
      </c>
      <c r="B971" s="1" t="n">
        <v>44986</v>
      </c>
      <c r="C971" s="1" t="n">
        <v>45831</v>
      </c>
      <c r="D971" t="inlineStr">
        <is>
          <t>JÄMTLANDS LÄN</t>
        </is>
      </c>
      <c r="E971" t="inlineStr">
        <is>
          <t>KROKOM</t>
        </is>
      </c>
      <c r="F971" t="inlineStr">
        <is>
          <t>SCA</t>
        </is>
      </c>
      <c r="G971" t="n">
        <v>10.6</v>
      </c>
      <c r="H971" t="n">
        <v>0</v>
      </c>
      <c r="I971" t="n">
        <v>0</v>
      </c>
      <c r="J971" t="n">
        <v>0</v>
      </c>
      <c r="K971" t="n">
        <v>0</v>
      </c>
      <c r="L971" t="n">
        <v>0</v>
      </c>
      <c r="M971" t="n">
        <v>0</v>
      </c>
      <c r="N971" t="n">
        <v>0</v>
      </c>
      <c r="O971" t="n">
        <v>0</v>
      </c>
      <c r="P971" t="n">
        <v>0</v>
      </c>
      <c r="Q971" t="n">
        <v>0</v>
      </c>
      <c r="R971" s="2" t="inlineStr"/>
    </row>
    <row r="972" ht="15" customHeight="1">
      <c r="A972" t="inlineStr">
        <is>
          <t>A 10314-2023</t>
        </is>
      </c>
      <c r="B972" s="1" t="n">
        <v>44986</v>
      </c>
      <c r="C972" s="1" t="n">
        <v>45831</v>
      </c>
      <c r="D972" t="inlineStr">
        <is>
          <t>JÄMTLANDS LÄN</t>
        </is>
      </c>
      <c r="E972" t="inlineStr">
        <is>
          <t>KROKOM</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10782-2023</t>
        </is>
      </c>
      <c r="B973" s="1" t="n">
        <v>44988</v>
      </c>
      <c r="C973" s="1" t="n">
        <v>45831</v>
      </c>
      <c r="D973" t="inlineStr">
        <is>
          <t>JÄMTLANDS LÄN</t>
        </is>
      </c>
      <c r="E973" t="inlineStr">
        <is>
          <t>KROKOM</t>
        </is>
      </c>
      <c r="F973" t="inlineStr">
        <is>
          <t>SCA</t>
        </is>
      </c>
      <c r="G973" t="n">
        <v>68.8</v>
      </c>
      <c r="H973" t="n">
        <v>0</v>
      </c>
      <c r="I973" t="n">
        <v>0</v>
      </c>
      <c r="J973" t="n">
        <v>0</v>
      </c>
      <c r="K973" t="n">
        <v>0</v>
      </c>
      <c r="L973" t="n">
        <v>0</v>
      </c>
      <c r="M973" t="n">
        <v>0</v>
      </c>
      <c r="N973" t="n">
        <v>0</v>
      </c>
      <c r="O973" t="n">
        <v>0</v>
      </c>
      <c r="P973" t="n">
        <v>0</v>
      </c>
      <c r="Q973" t="n">
        <v>0</v>
      </c>
      <c r="R973" s="2" t="inlineStr"/>
    </row>
    <row r="974" ht="15" customHeight="1">
      <c r="A974" t="inlineStr">
        <is>
          <t>A 11319-2023</t>
        </is>
      </c>
      <c r="B974" s="1" t="n">
        <v>44993</v>
      </c>
      <c r="C974" s="1" t="n">
        <v>45831</v>
      </c>
      <c r="D974" t="inlineStr">
        <is>
          <t>JÄMTLANDS LÄN</t>
        </is>
      </c>
      <c r="E974" t="inlineStr">
        <is>
          <t>KROKOM</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12520-2023</t>
        </is>
      </c>
      <c r="B975" s="1" t="n">
        <v>45000</v>
      </c>
      <c r="C975" s="1" t="n">
        <v>45831</v>
      </c>
      <c r="D975" t="inlineStr">
        <is>
          <t>JÄMTLANDS LÄN</t>
        </is>
      </c>
      <c r="E975" t="inlineStr">
        <is>
          <t>KROKOM</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12813-2023</t>
        </is>
      </c>
      <c r="B976" s="1" t="n">
        <v>45000</v>
      </c>
      <c r="C976" s="1" t="n">
        <v>45831</v>
      </c>
      <c r="D976" t="inlineStr">
        <is>
          <t>JÄMTLANDS LÄN</t>
        </is>
      </c>
      <c r="E976" t="inlineStr">
        <is>
          <t>KROKOM</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13703-2023</t>
        </is>
      </c>
      <c r="B977" s="1" t="n">
        <v>45006</v>
      </c>
      <c r="C977" s="1" t="n">
        <v>45831</v>
      </c>
      <c r="D977" t="inlineStr">
        <is>
          <t>JÄMTLANDS LÄN</t>
        </is>
      </c>
      <c r="E977" t="inlineStr">
        <is>
          <t>KROKOM</t>
        </is>
      </c>
      <c r="F977" t="inlineStr">
        <is>
          <t>SCA</t>
        </is>
      </c>
      <c r="G977" t="n">
        <v>22.2</v>
      </c>
      <c r="H977" t="n">
        <v>0</v>
      </c>
      <c r="I977" t="n">
        <v>0</v>
      </c>
      <c r="J977" t="n">
        <v>0</v>
      </c>
      <c r="K977" t="n">
        <v>0</v>
      </c>
      <c r="L977" t="n">
        <v>0</v>
      </c>
      <c r="M977" t="n">
        <v>0</v>
      </c>
      <c r="N977" t="n">
        <v>0</v>
      </c>
      <c r="O977" t="n">
        <v>0</v>
      </c>
      <c r="P977" t="n">
        <v>0</v>
      </c>
      <c r="Q977" t="n">
        <v>0</v>
      </c>
      <c r="R977" s="2" t="inlineStr"/>
    </row>
    <row r="978" ht="15" customHeight="1">
      <c r="A978" t="inlineStr">
        <is>
          <t>A 15595-2023</t>
        </is>
      </c>
      <c r="B978" s="1" t="n">
        <v>45019</v>
      </c>
      <c r="C978" s="1" t="n">
        <v>45831</v>
      </c>
      <c r="D978" t="inlineStr">
        <is>
          <t>JÄMTLANDS LÄN</t>
        </is>
      </c>
      <c r="E978" t="inlineStr">
        <is>
          <t>KROKOM</t>
        </is>
      </c>
      <c r="G978" t="n">
        <v>1.9</v>
      </c>
      <c r="H978" t="n">
        <v>0</v>
      </c>
      <c r="I978" t="n">
        <v>0</v>
      </c>
      <c r="J978" t="n">
        <v>0</v>
      </c>
      <c r="K978" t="n">
        <v>0</v>
      </c>
      <c r="L978" t="n">
        <v>0</v>
      </c>
      <c r="M978" t="n">
        <v>0</v>
      </c>
      <c r="N978" t="n">
        <v>0</v>
      </c>
      <c r="O978" t="n">
        <v>0</v>
      </c>
      <c r="P978" t="n">
        <v>0</v>
      </c>
      <c r="Q978" t="n">
        <v>0</v>
      </c>
      <c r="R978" s="2" t="inlineStr"/>
    </row>
    <row r="979" ht="15" customHeight="1">
      <c r="A979" t="inlineStr">
        <is>
          <t>A 15826-2023</t>
        </is>
      </c>
      <c r="B979" s="1" t="n">
        <v>45022</v>
      </c>
      <c r="C979" s="1" t="n">
        <v>45831</v>
      </c>
      <c r="D979" t="inlineStr">
        <is>
          <t>JÄMTLANDS LÄN</t>
        </is>
      </c>
      <c r="E979" t="inlineStr">
        <is>
          <t>KROKOM</t>
        </is>
      </c>
      <c r="F979" t="inlineStr">
        <is>
          <t>SCA</t>
        </is>
      </c>
      <c r="G979" t="n">
        <v>13.9</v>
      </c>
      <c r="H979" t="n">
        <v>0</v>
      </c>
      <c r="I979" t="n">
        <v>0</v>
      </c>
      <c r="J979" t="n">
        <v>0</v>
      </c>
      <c r="K979" t="n">
        <v>0</v>
      </c>
      <c r="L979" t="n">
        <v>0</v>
      </c>
      <c r="M979" t="n">
        <v>0</v>
      </c>
      <c r="N979" t="n">
        <v>0</v>
      </c>
      <c r="O979" t="n">
        <v>0</v>
      </c>
      <c r="P979" t="n">
        <v>0</v>
      </c>
      <c r="Q979" t="n">
        <v>0</v>
      </c>
      <c r="R979" s="2" t="inlineStr"/>
    </row>
    <row r="980" ht="15" customHeight="1">
      <c r="A980" t="inlineStr">
        <is>
          <t>A 15805-2023</t>
        </is>
      </c>
      <c r="B980" s="1" t="n">
        <v>45022</v>
      </c>
      <c r="C980" s="1" t="n">
        <v>45831</v>
      </c>
      <c r="D980" t="inlineStr">
        <is>
          <t>JÄMTLANDS LÄN</t>
        </is>
      </c>
      <c r="E980" t="inlineStr">
        <is>
          <t>KROKOM</t>
        </is>
      </c>
      <c r="G980" t="n">
        <v>9.1</v>
      </c>
      <c r="H980" t="n">
        <v>0</v>
      </c>
      <c r="I980" t="n">
        <v>0</v>
      </c>
      <c r="J980" t="n">
        <v>0</v>
      </c>
      <c r="K980" t="n">
        <v>0</v>
      </c>
      <c r="L980" t="n">
        <v>0</v>
      </c>
      <c r="M980" t="n">
        <v>0</v>
      </c>
      <c r="N980" t="n">
        <v>0</v>
      </c>
      <c r="O980" t="n">
        <v>0</v>
      </c>
      <c r="P980" t="n">
        <v>0</v>
      </c>
      <c r="Q980" t="n">
        <v>0</v>
      </c>
      <c r="R980" s="2" t="inlineStr"/>
    </row>
    <row r="981" ht="15" customHeight="1">
      <c r="A981" t="inlineStr">
        <is>
          <t>A 15885-2023</t>
        </is>
      </c>
      <c r="B981" s="1" t="n">
        <v>45022</v>
      </c>
      <c r="C981" s="1" t="n">
        <v>45831</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15980-2023</t>
        </is>
      </c>
      <c r="B982" s="1" t="n">
        <v>45023</v>
      </c>
      <c r="C982" s="1" t="n">
        <v>45831</v>
      </c>
      <c r="D982" t="inlineStr">
        <is>
          <t>JÄMTLANDS LÄN</t>
        </is>
      </c>
      <c r="E982" t="inlineStr">
        <is>
          <t>KROKOM</t>
        </is>
      </c>
      <c r="F982" t="inlineStr">
        <is>
          <t>SCA</t>
        </is>
      </c>
      <c r="G982" t="n">
        <v>7.8</v>
      </c>
      <c r="H982" t="n">
        <v>0</v>
      </c>
      <c r="I982" t="n">
        <v>0</v>
      </c>
      <c r="J982" t="n">
        <v>0</v>
      </c>
      <c r="K982" t="n">
        <v>0</v>
      </c>
      <c r="L982" t="n">
        <v>0</v>
      </c>
      <c r="M982" t="n">
        <v>0</v>
      </c>
      <c r="N982" t="n">
        <v>0</v>
      </c>
      <c r="O982" t="n">
        <v>0</v>
      </c>
      <c r="P982" t="n">
        <v>0</v>
      </c>
      <c r="Q982" t="n">
        <v>0</v>
      </c>
      <c r="R982" s="2" t="inlineStr"/>
    </row>
    <row r="983" ht="15" customHeight="1">
      <c r="A983" t="inlineStr">
        <is>
          <t>A 16566-2023</t>
        </is>
      </c>
      <c r="B983" s="1" t="n">
        <v>45029</v>
      </c>
      <c r="C983" s="1" t="n">
        <v>45831</v>
      </c>
      <c r="D983" t="inlineStr">
        <is>
          <t>JÄMTLANDS LÄN</t>
        </is>
      </c>
      <c r="E983" t="inlineStr">
        <is>
          <t>KROKOM</t>
        </is>
      </c>
      <c r="F983" t="inlineStr">
        <is>
          <t>SCA</t>
        </is>
      </c>
      <c r="G983" t="n">
        <v>11.9</v>
      </c>
      <c r="H983" t="n">
        <v>0</v>
      </c>
      <c r="I983" t="n">
        <v>0</v>
      </c>
      <c r="J983" t="n">
        <v>0</v>
      </c>
      <c r="K983" t="n">
        <v>0</v>
      </c>
      <c r="L983" t="n">
        <v>0</v>
      </c>
      <c r="M983" t="n">
        <v>0</v>
      </c>
      <c r="N983" t="n">
        <v>0</v>
      </c>
      <c r="O983" t="n">
        <v>0</v>
      </c>
      <c r="P983" t="n">
        <v>0</v>
      </c>
      <c r="Q983" t="n">
        <v>0</v>
      </c>
      <c r="R983" s="2" t="inlineStr"/>
    </row>
    <row r="984" ht="15" customHeight="1">
      <c r="A984" t="inlineStr">
        <is>
          <t>A 17555-2023</t>
        </is>
      </c>
      <c r="B984" s="1" t="n">
        <v>45034</v>
      </c>
      <c r="C984" s="1" t="n">
        <v>45831</v>
      </c>
      <c r="D984" t="inlineStr">
        <is>
          <t>JÄMTLANDS LÄN</t>
        </is>
      </c>
      <c r="E984" t="inlineStr">
        <is>
          <t>KROKOM</t>
        </is>
      </c>
      <c r="G984" t="n">
        <v>7.1</v>
      </c>
      <c r="H984" t="n">
        <v>0</v>
      </c>
      <c r="I984" t="n">
        <v>0</v>
      </c>
      <c r="J984" t="n">
        <v>0</v>
      </c>
      <c r="K984" t="n">
        <v>0</v>
      </c>
      <c r="L984" t="n">
        <v>0</v>
      </c>
      <c r="M984" t="n">
        <v>0</v>
      </c>
      <c r="N984" t="n">
        <v>0</v>
      </c>
      <c r="O984" t="n">
        <v>0</v>
      </c>
      <c r="P984" t="n">
        <v>0</v>
      </c>
      <c r="Q984" t="n">
        <v>0</v>
      </c>
      <c r="R984" s="2" t="inlineStr"/>
    </row>
    <row r="985" ht="15" customHeight="1">
      <c r="A985" t="inlineStr">
        <is>
          <t>A 17383-2023</t>
        </is>
      </c>
      <c r="B985" s="1" t="n">
        <v>45035</v>
      </c>
      <c r="C985" s="1" t="n">
        <v>45831</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17594-2023</t>
        </is>
      </c>
      <c r="B986" s="1" t="n">
        <v>45036</v>
      </c>
      <c r="C986" s="1" t="n">
        <v>45831</v>
      </c>
      <c r="D986" t="inlineStr">
        <is>
          <t>JÄMTLANDS LÄN</t>
        </is>
      </c>
      <c r="E986" t="inlineStr">
        <is>
          <t>KROKOM</t>
        </is>
      </c>
      <c r="G986" t="n">
        <v>5.5</v>
      </c>
      <c r="H986" t="n">
        <v>0</v>
      </c>
      <c r="I986" t="n">
        <v>0</v>
      </c>
      <c r="J986" t="n">
        <v>0</v>
      </c>
      <c r="K986" t="n">
        <v>0</v>
      </c>
      <c r="L986" t="n">
        <v>0</v>
      </c>
      <c r="M986" t="n">
        <v>0</v>
      </c>
      <c r="N986" t="n">
        <v>0</v>
      </c>
      <c r="O986" t="n">
        <v>0</v>
      </c>
      <c r="P986" t="n">
        <v>0</v>
      </c>
      <c r="Q986" t="n">
        <v>0</v>
      </c>
      <c r="R986" s="2" t="inlineStr"/>
    </row>
    <row r="987" ht="15" customHeight="1">
      <c r="A987" t="inlineStr">
        <is>
          <t>A 17591-2023</t>
        </is>
      </c>
      <c r="B987" s="1" t="n">
        <v>45036</v>
      </c>
      <c r="C987" s="1" t="n">
        <v>45831</v>
      </c>
      <c r="D987" t="inlineStr">
        <is>
          <t>JÄMTLANDS LÄN</t>
        </is>
      </c>
      <c r="E987" t="inlineStr">
        <is>
          <t>KROKOM</t>
        </is>
      </c>
      <c r="G987" t="n">
        <v>8.4</v>
      </c>
      <c r="H987" t="n">
        <v>0</v>
      </c>
      <c r="I987" t="n">
        <v>0</v>
      </c>
      <c r="J987" t="n">
        <v>0</v>
      </c>
      <c r="K987" t="n">
        <v>0</v>
      </c>
      <c r="L987" t="n">
        <v>0</v>
      </c>
      <c r="M987" t="n">
        <v>0</v>
      </c>
      <c r="N987" t="n">
        <v>0</v>
      </c>
      <c r="O987" t="n">
        <v>0</v>
      </c>
      <c r="P987" t="n">
        <v>0</v>
      </c>
      <c r="Q987" t="n">
        <v>0</v>
      </c>
      <c r="R987" s="2" t="inlineStr"/>
    </row>
    <row r="988" ht="15" customHeight="1">
      <c r="A988" t="inlineStr">
        <is>
          <t>A 17603-2023</t>
        </is>
      </c>
      <c r="B988" s="1" t="n">
        <v>45036</v>
      </c>
      <c r="C988" s="1" t="n">
        <v>45831</v>
      </c>
      <c r="D988" t="inlineStr">
        <is>
          <t>JÄMTLANDS LÄN</t>
        </is>
      </c>
      <c r="E988" t="inlineStr">
        <is>
          <t>KROKOM</t>
        </is>
      </c>
      <c r="G988" t="n">
        <v>7.4</v>
      </c>
      <c r="H988" t="n">
        <v>0</v>
      </c>
      <c r="I988" t="n">
        <v>0</v>
      </c>
      <c r="J988" t="n">
        <v>0</v>
      </c>
      <c r="K988" t="n">
        <v>0</v>
      </c>
      <c r="L988" t="n">
        <v>0</v>
      </c>
      <c r="M988" t="n">
        <v>0</v>
      </c>
      <c r="N988" t="n">
        <v>0</v>
      </c>
      <c r="O988" t="n">
        <v>0</v>
      </c>
      <c r="P988" t="n">
        <v>0</v>
      </c>
      <c r="Q988" t="n">
        <v>0</v>
      </c>
      <c r="R988" s="2" t="inlineStr"/>
    </row>
    <row r="989" ht="15" customHeight="1">
      <c r="A989" t="inlineStr">
        <is>
          <t>A 17602-2023</t>
        </is>
      </c>
      <c r="B989" s="1" t="n">
        <v>45036</v>
      </c>
      <c r="C989" s="1" t="n">
        <v>45831</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17751-2023</t>
        </is>
      </c>
      <c r="B990" s="1" t="n">
        <v>45036</v>
      </c>
      <c r="C990" s="1" t="n">
        <v>45831</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18139-2023</t>
        </is>
      </c>
      <c r="B991" s="1" t="n">
        <v>45040</v>
      </c>
      <c r="C991" s="1" t="n">
        <v>45831</v>
      </c>
      <c r="D991" t="inlineStr">
        <is>
          <t>JÄMTLANDS LÄN</t>
        </is>
      </c>
      <c r="E991" t="inlineStr">
        <is>
          <t>KROKOM</t>
        </is>
      </c>
      <c r="G991" t="n">
        <v>4.6</v>
      </c>
      <c r="H991" t="n">
        <v>0</v>
      </c>
      <c r="I991" t="n">
        <v>0</v>
      </c>
      <c r="J991" t="n">
        <v>0</v>
      </c>
      <c r="K991" t="n">
        <v>0</v>
      </c>
      <c r="L991" t="n">
        <v>0</v>
      </c>
      <c r="M991" t="n">
        <v>0</v>
      </c>
      <c r="N991" t="n">
        <v>0</v>
      </c>
      <c r="O991" t="n">
        <v>0</v>
      </c>
      <c r="P991" t="n">
        <v>0</v>
      </c>
      <c r="Q991" t="n">
        <v>0</v>
      </c>
      <c r="R991" s="2" t="inlineStr"/>
    </row>
    <row r="992" ht="15" customHeight="1">
      <c r="A992" t="inlineStr">
        <is>
          <t>A 18296-2023</t>
        </is>
      </c>
      <c r="B992" s="1" t="n">
        <v>45040</v>
      </c>
      <c r="C992" s="1" t="n">
        <v>45831</v>
      </c>
      <c r="D992" t="inlineStr">
        <is>
          <t>JÄMTLANDS LÄN</t>
        </is>
      </c>
      <c r="E992" t="inlineStr">
        <is>
          <t>KROKOM</t>
        </is>
      </c>
      <c r="G992" t="n">
        <v>20.3</v>
      </c>
      <c r="H992" t="n">
        <v>0</v>
      </c>
      <c r="I992" t="n">
        <v>0</v>
      </c>
      <c r="J992" t="n">
        <v>0</v>
      </c>
      <c r="K992" t="n">
        <v>0</v>
      </c>
      <c r="L992" t="n">
        <v>0</v>
      </c>
      <c r="M992" t="n">
        <v>0</v>
      </c>
      <c r="N992" t="n">
        <v>0</v>
      </c>
      <c r="O992" t="n">
        <v>0</v>
      </c>
      <c r="P992" t="n">
        <v>0</v>
      </c>
      <c r="Q992" t="n">
        <v>0</v>
      </c>
      <c r="R992" s="2" t="inlineStr"/>
    </row>
    <row r="993" ht="15" customHeight="1">
      <c r="A993" t="inlineStr">
        <is>
          <t>A 18539-2023</t>
        </is>
      </c>
      <c r="B993" s="1" t="n">
        <v>45041</v>
      </c>
      <c r="C993" s="1" t="n">
        <v>45831</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18826-2023</t>
        </is>
      </c>
      <c r="B994" s="1" t="n">
        <v>45042</v>
      </c>
      <c r="C994" s="1" t="n">
        <v>45831</v>
      </c>
      <c r="D994" t="inlineStr">
        <is>
          <t>JÄMTLANDS LÄN</t>
        </is>
      </c>
      <c r="E994" t="inlineStr">
        <is>
          <t>KROKOM</t>
        </is>
      </c>
      <c r="G994" t="n">
        <v>17.1</v>
      </c>
      <c r="H994" t="n">
        <v>0</v>
      </c>
      <c r="I994" t="n">
        <v>0</v>
      </c>
      <c r="J994" t="n">
        <v>0</v>
      </c>
      <c r="K994" t="n">
        <v>0</v>
      </c>
      <c r="L994" t="n">
        <v>0</v>
      </c>
      <c r="M994" t="n">
        <v>0</v>
      </c>
      <c r="N994" t="n">
        <v>0</v>
      </c>
      <c r="O994" t="n">
        <v>0</v>
      </c>
      <c r="P994" t="n">
        <v>0</v>
      </c>
      <c r="Q994" t="n">
        <v>0</v>
      </c>
      <c r="R994" s="2" t="inlineStr"/>
    </row>
    <row r="995" ht="15" customHeight="1">
      <c r="A995" t="inlineStr">
        <is>
          <t>A 18990-2023</t>
        </is>
      </c>
      <c r="B995" s="1" t="n">
        <v>45045</v>
      </c>
      <c r="C995" s="1" t="n">
        <v>45831</v>
      </c>
      <c r="D995" t="inlineStr">
        <is>
          <t>JÄMTLANDS LÄN</t>
        </is>
      </c>
      <c r="E995" t="inlineStr">
        <is>
          <t>KROKOM</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19245-2023</t>
        </is>
      </c>
      <c r="B996" s="1" t="n">
        <v>45048</v>
      </c>
      <c r="C996" s="1" t="n">
        <v>45831</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19247-2023</t>
        </is>
      </c>
      <c r="B997" s="1" t="n">
        <v>45048</v>
      </c>
      <c r="C997" s="1" t="n">
        <v>45831</v>
      </c>
      <c r="D997" t="inlineStr">
        <is>
          <t>JÄMTLANDS LÄN</t>
        </is>
      </c>
      <c r="E997" t="inlineStr">
        <is>
          <t>KROKOM</t>
        </is>
      </c>
      <c r="F997" t="inlineStr">
        <is>
          <t>SCA</t>
        </is>
      </c>
      <c r="G997" t="n">
        <v>13.4</v>
      </c>
      <c r="H997" t="n">
        <v>0</v>
      </c>
      <c r="I997" t="n">
        <v>0</v>
      </c>
      <c r="J997" t="n">
        <v>0</v>
      </c>
      <c r="K997" t="n">
        <v>0</v>
      </c>
      <c r="L997" t="n">
        <v>0</v>
      </c>
      <c r="M997" t="n">
        <v>0</v>
      </c>
      <c r="N997" t="n">
        <v>0</v>
      </c>
      <c r="O997" t="n">
        <v>0</v>
      </c>
      <c r="P997" t="n">
        <v>0</v>
      </c>
      <c r="Q997" t="n">
        <v>0</v>
      </c>
      <c r="R997" s="2" t="inlineStr"/>
    </row>
    <row r="998" ht="15" customHeight="1">
      <c r="A998" t="inlineStr">
        <is>
          <t>A 19502-2023</t>
        </is>
      </c>
      <c r="B998" s="1" t="n">
        <v>45049</v>
      </c>
      <c r="C998" s="1" t="n">
        <v>45831</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19348-2023</t>
        </is>
      </c>
      <c r="B999" s="1" t="n">
        <v>45049</v>
      </c>
      <c r="C999" s="1" t="n">
        <v>45831</v>
      </c>
      <c r="D999" t="inlineStr">
        <is>
          <t>JÄMTLANDS LÄN</t>
        </is>
      </c>
      <c r="E999" t="inlineStr">
        <is>
          <t>KROKOM</t>
        </is>
      </c>
      <c r="G999" t="n">
        <v>11.6</v>
      </c>
      <c r="H999" t="n">
        <v>0</v>
      </c>
      <c r="I999" t="n">
        <v>0</v>
      </c>
      <c r="J999" t="n">
        <v>0</v>
      </c>
      <c r="K999" t="n">
        <v>0</v>
      </c>
      <c r="L999" t="n">
        <v>0</v>
      </c>
      <c r="M999" t="n">
        <v>0</v>
      </c>
      <c r="N999" t="n">
        <v>0</v>
      </c>
      <c r="O999" t="n">
        <v>0</v>
      </c>
      <c r="P999" t="n">
        <v>0</v>
      </c>
      <c r="Q999" t="n">
        <v>0</v>
      </c>
      <c r="R999" s="2" t="inlineStr"/>
    </row>
    <row r="1000" ht="15" customHeight="1">
      <c r="A1000" t="inlineStr">
        <is>
          <t>A 19478-2023</t>
        </is>
      </c>
      <c r="B1000" s="1" t="n">
        <v>45050</v>
      </c>
      <c r="C1000" s="1" t="n">
        <v>45831</v>
      </c>
      <c r="D1000" t="inlineStr">
        <is>
          <t>JÄMTLANDS LÄN</t>
        </is>
      </c>
      <c r="E1000" t="inlineStr">
        <is>
          <t>KROKOM</t>
        </is>
      </c>
      <c r="F1000" t="inlineStr">
        <is>
          <t>Övriga Aktiebolag</t>
        </is>
      </c>
      <c r="G1000" t="n">
        <v>22.2</v>
      </c>
      <c r="H1000" t="n">
        <v>0</v>
      </c>
      <c r="I1000" t="n">
        <v>0</v>
      </c>
      <c r="J1000" t="n">
        <v>0</v>
      </c>
      <c r="K1000" t="n">
        <v>0</v>
      </c>
      <c r="L1000" t="n">
        <v>0</v>
      </c>
      <c r="M1000" t="n">
        <v>0</v>
      </c>
      <c r="N1000" t="n">
        <v>0</v>
      </c>
      <c r="O1000" t="n">
        <v>0</v>
      </c>
      <c r="P1000" t="n">
        <v>0</v>
      </c>
      <c r="Q1000" t="n">
        <v>0</v>
      </c>
      <c r="R1000" s="2" t="inlineStr"/>
    </row>
    <row r="1001" ht="15" customHeight="1">
      <c r="A1001" t="inlineStr">
        <is>
          <t>A 20735-2023</t>
        </is>
      </c>
      <c r="B1001" s="1" t="n">
        <v>45055</v>
      </c>
      <c r="C1001" s="1" t="n">
        <v>45831</v>
      </c>
      <c r="D1001" t="inlineStr">
        <is>
          <t>JÄMTLANDS LÄN</t>
        </is>
      </c>
      <c r="E1001" t="inlineStr">
        <is>
          <t>KROKOM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20742-2023</t>
        </is>
      </c>
      <c r="B1002" s="1" t="n">
        <v>45055</v>
      </c>
      <c r="C1002" s="1" t="n">
        <v>45831</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20966-2023</t>
        </is>
      </c>
      <c r="B1003" s="1" t="n">
        <v>45056</v>
      </c>
      <c r="C1003" s="1" t="n">
        <v>45831</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20953-2023</t>
        </is>
      </c>
      <c r="B1004" s="1" t="n">
        <v>45056</v>
      </c>
      <c r="C1004" s="1" t="n">
        <v>45831</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20976-2023</t>
        </is>
      </c>
      <c r="B1005" s="1" t="n">
        <v>45056</v>
      </c>
      <c r="C1005" s="1" t="n">
        <v>45831</v>
      </c>
      <c r="D1005" t="inlineStr">
        <is>
          <t>JÄMTLANDS LÄN</t>
        </is>
      </c>
      <c r="E1005" t="inlineStr">
        <is>
          <t>KROKOM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20622-2023</t>
        </is>
      </c>
      <c r="B1006" s="1" t="n">
        <v>45057</v>
      </c>
      <c r="C1006" s="1" t="n">
        <v>45831</v>
      </c>
      <c r="D1006" t="inlineStr">
        <is>
          <t>JÄMTLANDS LÄN</t>
        </is>
      </c>
      <c r="E1006" t="inlineStr">
        <is>
          <t>KROKOM</t>
        </is>
      </c>
      <c r="F1006" t="inlineStr">
        <is>
          <t>SCA</t>
        </is>
      </c>
      <c r="G1006" t="n">
        <v>15.5</v>
      </c>
      <c r="H1006" t="n">
        <v>0</v>
      </c>
      <c r="I1006" t="n">
        <v>0</v>
      </c>
      <c r="J1006" t="n">
        <v>0</v>
      </c>
      <c r="K1006" t="n">
        <v>0</v>
      </c>
      <c r="L1006" t="n">
        <v>0</v>
      </c>
      <c r="M1006" t="n">
        <v>0</v>
      </c>
      <c r="N1006" t="n">
        <v>0</v>
      </c>
      <c r="O1006" t="n">
        <v>0</v>
      </c>
      <c r="P1006" t="n">
        <v>0</v>
      </c>
      <c r="Q1006" t="n">
        <v>0</v>
      </c>
      <c r="R1006" s="2" t="inlineStr"/>
    </row>
    <row r="1007" ht="15" customHeight="1">
      <c r="A1007" t="inlineStr">
        <is>
          <t>A 20623-2023</t>
        </is>
      </c>
      <c r="B1007" s="1" t="n">
        <v>45058</v>
      </c>
      <c r="C1007" s="1" t="n">
        <v>45831</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20860-2023</t>
        </is>
      </c>
      <c r="B1008" s="1" t="n">
        <v>45059</v>
      </c>
      <c r="C1008" s="1" t="n">
        <v>45831</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21348-2023</t>
        </is>
      </c>
      <c r="B1009" s="1" t="n">
        <v>45062</v>
      </c>
      <c r="C1009" s="1" t="n">
        <v>45831</v>
      </c>
      <c r="D1009" t="inlineStr">
        <is>
          <t>JÄMTLANDS LÄN</t>
        </is>
      </c>
      <c r="E1009" t="inlineStr">
        <is>
          <t>KROKOM</t>
        </is>
      </c>
      <c r="F1009" t="inlineStr">
        <is>
          <t>SCA</t>
        </is>
      </c>
      <c r="G1009" t="n">
        <v>48.1</v>
      </c>
      <c r="H1009" t="n">
        <v>0</v>
      </c>
      <c r="I1009" t="n">
        <v>0</v>
      </c>
      <c r="J1009" t="n">
        <v>0</v>
      </c>
      <c r="K1009" t="n">
        <v>0</v>
      </c>
      <c r="L1009" t="n">
        <v>0</v>
      </c>
      <c r="M1009" t="n">
        <v>0</v>
      </c>
      <c r="N1009" t="n">
        <v>0</v>
      </c>
      <c r="O1009" t="n">
        <v>0</v>
      </c>
      <c r="P1009" t="n">
        <v>0</v>
      </c>
      <c r="Q1009" t="n">
        <v>0</v>
      </c>
      <c r="R1009" s="2" t="inlineStr"/>
    </row>
    <row r="1010" ht="15" customHeight="1">
      <c r="A1010" t="inlineStr">
        <is>
          <t>A 21347-2023</t>
        </is>
      </c>
      <c r="B1010" s="1" t="n">
        <v>45062</v>
      </c>
      <c r="C1010" s="1" t="n">
        <v>45831</v>
      </c>
      <c r="D1010" t="inlineStr">
        <is>
          <t>JÄMTLANDS LÄN</t>
        </is>
      </c>
      <c r="E1010" t="inlineStr">
        <is>
          <t>KROKOM</t>
        </is>
      </c>
      <c r="F1010" t="inlineStr">
        <is>
          <t>SCA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21784-2023</t>
        </is>
      </c>
      <c r="B1011" s="1" t="n">
        <v>45065</v>
      </c>
      <c r="C1011" s="1" t="n">
        <v>45831</v>
      </c>
      <c r="D1011" t="inlineStr">
        <is>
          <t>JÄMTLANDS LÄN</t>
        </is>
      </c>
      <c r="E1011" t="inlineStr">
        <is>
          <t>KROKOM</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23326-2023</t>
        </is>
      </c>
      <c r="B1012" s="1" t="n">
        <v>45071</v>
      </c>
      <c r="C1012" s="1" t="n">
        <v>45831</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22999-2023</t>
        </is>
      </c>
      <c r="B1013" s="1" t="n">
        <v>45073</v>
      </c>
      <c r="C1013" s="1" t="n">
        <v>45831</v>
      </c>
      <c r="D1013" t="inlineStr">
        <is>
          <t>JÄMTLANDS LÄN</t>
        </is>
      </c>
      <c r="E1013" t="inlineStr">
        <is>
          <t>KROKOM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23139-2023</t>
        </is>
      </c>
      <c r="B1014" s="1" t="n">
        <v>45075</v>
      </c>
      <c r="C1014" s="1" t="n">
        <v>45831</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24069-2023</t>
        </is>
      </c>
      <c r="B1015" s="1" t="n">
        <v>45079</v>
      </c>
      <c r="C1015" s="1" t="n">
        <v>45831</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24387-2023</t>
        </is>
      </c>
      <c r="B1016" s="1" t="n">
        <v>45082</v>
      </c>
      <c r="C1016" s="1" t="n">
        <v>45831</v>
      </c>
      <c r="D1016" t="inlineStr">
        <is>
          <t>JÄMTLANDS LÄN</t>
        </is>
      </c>
      <c r="E1016" t="inlineStr">
        <is>
          <t>KROKOM</t>
        </is>
      </c>
      <c r="F1016" t="inlineStr">
        <is>
          <t>Kyrkan</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25726-2023</t>
        </is>
      </c>
      <c r="B1017" s="1" t="n">
        <v>45084</v>
      </c>
      <c r="C1017" s="1" t="n">
        <v>45831</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24824-2023</t>
        </is>
      </c>
      <c r="B1018" s="1" t="n">
        <v>45085</v>
      </c>
      <c r="C1018" s="1" t="n">
        <v>45831</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25309-2023</t>
        </is>
      </c>
      <c r="B1019" s="1" t="n">
        <v>45087</v>
      </c>
      <c r="C1019" s="1" t="n">
        <v>45831</v>
      </c>
      <c r="D1019" t="inlineStr">
        <is>
          <t>JÄMTLANDS LÄN</t>
        </is>
      </c>
      <c r="E1019" t="inlineStr">
        <is>
          <t>KROKOM</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26270-2023</t>
        </is>
      </c>
      <c r="B1020" s="1" t="n">
        <v>45086</v>
      </c>
      <c r="C1020" s="1" t="n">
        <v>45831</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26693-2023</t>
        </is>
      </c>
      <c r="B1021" s="1" t="n">
        <v>45090</v>
      </c>
      <c r="C1021" s="1" t="n">
        <v>45831</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26005-2023</t>
        </is>
      </c>
      <c r="B1022" s="1" t="n">
        <v>45091</v>
      </c>
      <c r="C1022" s="1" t="n">
        <v>45831</v>
      </c>
      <c r="D1022" t="inlineStr">
        <is>
          <t>JÄMTLANDS LÄN</t>
        </is>
      </c>
      <c r="E1022" t="inlineStr">
        <is>
          <t>KROKOM</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45831</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26006-2023</t>
        </is>
      </c>
      <c r="B1024" s="1" t="n">
        <v>45091</v>
      </c>
      <c r="C1024" s="1" t="n">
        <v>45831</v>
      </c>
      <c r="D1024" t="inlineStr">
        <is>
          <t>JÄMTLANDS LÄN</t>
        </is>
      </c>
      <c r="E1024" t="inlineStr">
        <is>
          <t>KROKOM</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26739-2023</t>
        </is>
      </c>
      <c r="B1025" s="1" t="n">
        <v>45090</v>
      </c>
      <c r="C1025" s="1" t="n">
        <v>45831</v>
      </c>
      <c r="D1025" t="inlineStr">
        <is>
          <t>JÄMTLANDS LÄN</t>
        </is>
      </c>
      <c r="E1025" t="inlineStr">
        <is>
          <t>KROKOM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26805-2023</t>
        </is>
      </c>
      <c r="B1026" s="1" t="n">
        <v>45090</v>
      </c>
      <c r="C1026" s="1" t="n">
        <v>45831</v>
      </c>
      <c r="D1026" t="inlineStr">
        <is>
          <t>JÄMTLANDS LÄN</t>
        </is>
      </c>
      <c r="E1026" t="inlineStr">
        <is>
          <t>KROKOM</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26662-2023</t>
        </is>
      </c>
      <c r="B1027" s="1" t="n">
        <v>45093</v>
      </c>
      <c r="C1027" s="1" t="n">
        <v>45831</v>
      </c>
      <c r="D1027" t="inlineStr">
        <is>
          <t>JÄMTLANDS LÄN</t>
        </is>
      </c>
      <c r="E1027" t="inlineStr">
        <is>
          <t>KROKOM</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26661-2023</t>
        </is>
      </c>
      <c r="B1028" s="1" t="n">
        <v>45093</v>
      </c>
      <c r="C1028" s="1" t="n">
        <v>45831</v>
      </c>
      <c r="D1028" t="inlineStr">
        <is>
          <t>JÄMTLANDS LÄN</t>
        </is>
      </c>
      <c r="E1028" t="inlineStr">
        <is>
          <t>KROKOM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28137-2023</t>
        </is>
      </c>
      <c r="B1029" s="1" t="n">
        <v>45096</v>
      </c>
      <c r="C1029" s="1" t="n">
        <v>45831</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27616-2023</t>
        </is>
      </c>
      <c r="B1030" s="1" t="n">
        <v>45097</v>
      </c>
      <c r="C1030" s="1" t="n">
        <v>45831</v>
      </c>
      <c r="D1030" t="inlineStr">
        <is>
          <t>JÄMTLANDS LÄN</t>
        </is>
      </c>
      <c r="E1030" t="inlineStr">
        <is>
          <t>KROKOM</t>
        </is>
      </c>
      <c r="F1030" t="inlineStr">
        <is>
          <t>Övriga Aktiebolag</t>
        </is>
      </c>
      <c r="G1030" t="n">
        <v>13.3</v>
      </c>
      <c r="H1030" t="n">
        <v>0</v>
      </c>
      <c r="I1030" t="n">
        <v>0</v>
      </c>
      <c r="J1030" t="n">
        <v>0</v>
      </c>
      <c r="K1030" t="n">
        <v>0</v>
      </c>
      <c r="L1030" t="n">
        <v>0</v>
      </c>
      <c r="M1030" t="n">
        <v>0</v>
      </c>
      <c r="N1030" t="n">
        <v>0</v>
      </c>
      <c r="O1030" t="n">
        <v>0</v>
      </c>
      <c r="P1030" t="n">
        <v>0</v>
      </c>
      <c r="Q1030" t="n">
        <v>0</v>
      </c>
      <c r="R1030" s="2" t="inlineStr"/>
    </row>
    <row r="1031" ht="15" customHeight="1">
      <c r="A1031" t="inlineStr">
        <is>
          <t>A 29224-2023</t>
        </is>
      </c>
      <c r="B1031" s="1" t="n">
        <v>45097</v>
      </c>
      <c r="C1031" s="1" t="n">
        <v>45831</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29244-2023</t>
        </is>
      </c>
      <c r="B1032" s="1" t="n">
        <v>45097</v>
      </c>
      <c r="C1032" s="1" t="n">
        <v>45831</v>
      </c>
      <c r="D1032" t="inlineStr">
        <is>
          <t>JÄMTLANDS LÄN</t>
        </is>
      </c>
      <c r="E1032" t="inlineStr">
        <is>
          <t>KROKOM</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28068-2023</t>
        </is>
      </c>
      <c r="B1033" s="1" t="n">
        <v>45099</v>
      </c>
      <c r="C1033" s="1" t="n">
        <v>45831</v>
      </c>
      <c r="D1033" t="inlineStr">
        <is>
          <t>JÄMTLANDS LÄN</t>
        </is>
      </c>
      <c r="E1033" t="inlineStr">
        <is>
          <t>KROKOM</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28072-2023</t>
        </is>
      </c>
      <c r="B1034" s="1" t="n">
        <v>45099</v>
      </c>
      <c r="C1034" s="1" t="n">
        <v>45831</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28062-2023</t>
        </is>
      </c>
      <c r="B1035" s="1" t="n">
        <v>45099</v>
      </c>
      <c r="C1035" s="1" t="n">
        <v>45831</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28067-2023</t>
        </is>
      </c>
      <c r="B1036" s="1" t="n">
        <v>45099</v>
      </c>
      <c r="C1036" s="1" t="n">
        <v>45831</v>
      </c>
      <c r="D1036" t="inlineStr">
        <is>
          <t>JÄMTLANDS LÄN</t>
        </is>
      </c>
      <c r="E1036" t="inlineStr">
        <is>
          <t>KROKOM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30450-2023</t>
        </is>
      </c>
      <c r="B1037" s="1" t="n">
        <v>45099</v>
      </c>
      <c r="C1037" s="1" t="n">
        <v>45831</v>
      </c>
      <c r="D1037" t="inlineStr">
        <is>
          <t>JÄMTLANDS LÄN</t>
        </is>
      </c>
      <c r="E1037" t="inlineStr">
        <is>
          <t>KROKOM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28758-2023</t>
        </is>
      </c>
      <c r="B1038" s="1" t="n">
        <v>45104</v>
      </c>
      <c r="C1038" s="1" t="n">
        <v>45831</v>
      </c>
      <c r="D1038" t="inlineStr">
        <is>
          <t>JÄMTLANDS LÄN</t>
        </is>
      </c>
      <c r="E1038" t="inlineStr">
        <is>
          <t>KROKOM</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28763-2023</t>
        </is>
      </c>
      <c r="B1039" s="1" t="n">
        <v>45104</v>
      </c>
      <c r="C1039" s="1" t="n">
        <v>45831</v>
      </c>
      <c r="D1039" t="inlineStr">
        <is>
          <t>JÄMTLANDS LÄN</t>
        </is>
      </c>
      <c r="E1039" t="inlineStr">
        <is>
          <t>KROKOM</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29345-2023</t>
        </is>
      </c>
      <c r="B1040" s="1" t="n">
        <v>45105</v>
      </c>
      <c r="C1040" s="1" t="n">
        <v>45831</v>
      </c>
      <c r="D1040" t="inlineStr">
        <is>
          <t>JÄMTLANDS LÄN</t>
        </is>
      </c>
      <c r="E1040" t="inlineStr">
        <is>
          <t>KROKOM</t>
        </is>
      </c>
      <c r="G1040" t="n">
        <v>33.9</v>
      </c>
      <c r="H1040" t="n">
        <v>0</v>
      </c>
      <c r="I1040" t="n">
        <v>0</v>
      </c>
      <c r="J1040" t="n">
        <v>0</v>
      </c>
      <c r="K1040" t="n">
        <v>0</v>
      </c>
      <c r="L1040" t="n">
        <v>0</v>
      </c>
      <c r="M1040" t="n">
        <v>0</v>
      </c>
      <c r="N1040" t="n">
        <v>0</v>
      </c>
      <c r="O1040" t="n">
        <v>0</v>
      </c>
      <c r="P1040" t="n">
        <v>0</v>
      </c>
      <c r="Q1040" t="n">
        <v>0</v>
      </c>
      <c r="R1040" s="2" t="inlineStr"/>
    </row>
    <row r="1041" ht="15" customHeight="1">
      <c r="A1041" t="inlineStr">
        <is>
          <t>A 29630-2023</t>
        </is>
      </c>
      <c r="B1041" s="1" t="n">
        <v>45107</v>
      </c>
      <c r="C1041" s="1" t="n">
        <v>45831</v>
      </c>
      <c r="D1041" t="inlineStr">
        <is>
          <t>JÄMTLANDS LÄN</t>
        </is>
      </c>
      <c r="E1041" t="inlineStr">
        <is>
          <t>KROKOM</t>
        </is>
      </c>
      <c r="G1041" t="n">
        <v>15.4</v>
      </c>
      <c r="H1041" t="n">
        <v>0</v>
      </c>
      <c r="I1041" t="n">
        <v>0</v>
      </c>
      <c r="J1041" t="n">
        <v>0</v>
      </c>
      <c r="K1041" t="n">
        <v>0</v>
      </c>
      <c r="L1041" t="n">
        <v>0</v>
      </c>
      <c r="M1041" t="n">
        <v>0</v>
      </c>
      <c r="N1041" t="n">
        <v>0</v>
      </c>
      <c r="O1041" t="n">
        <v>0</v>
      </c>
      <c r="P1041" t="n">
        <v>0</v>
      </c>
      <c r="Q1041" t="n">
        <v>0</v>
      </c>
      <c r="R1041" s="2" t="inlineStr"/>
    </row>
    <row r="1042" ht="15" customHeight="1">
      <c r="A1042" t="inlineStr">
        <is>
          <t>A 29936-2023</t>
        </is>
      </c>
      <c r="B1042" s="1" t="n">
        <v>45107</v>
      </c>
      <c r="C1042" s="1" t="n">
        <v>45831</v>
      </c>
      <c r="D1042" t="inlineStr">
        <is>
          <t>JÄMTLANDS LÄN</t>
        </is>
      </c>
      <c r="E1042" t="inlineStr">
        <is>
          <t>KROKOM</t>
        </is>
      </c>
      <c r="G1042" t="n">
        <v>77.40000000000001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32131-2023</t>
        </is>
      </c>
      <c r="B1043" s="1" t="n">
        <v>45107</v>
      </c>
      <c r="C1043" s="1" t="n">
        <v>45831</v>
      </c>
      <c r="D1043" t="inlineStr">
        <is>
          <t>JÄMTLANDS LÄN</t>
        </is>
      </c>
      <c r="E1043" t="inlineStr">
        <is>
          <t>KROKOM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32123-2023</t>
        </is>
      </c>
      <c r="B1044" s="1" t="n">
        <v>45107</v>
      </c>
      <c r="C1044" s="1" t="n">
        <v>45831</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29986-2023</t>
        </is>
      </c>
      <c r="B1045" s="1" t="n">
        <v>45109</v>
      </c>
      <c r="C1045" s="1" t="n">
        <v>45831</v>
      </c>
      <c r="D1045" t="inlineStr">
        <is>
          <t>JÄMTLANDS LÄN</t>
        </is>
      </c>
      <c r="E1045" t="inlineStr">
        <is>
          <t>KROKOM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30314-2023</t>
        </is>
      </c>
      <c r="B1046" s="1" t="n">
        <v>45111</v>
      </c>
      <c r="C1046" s="1" t="n">
        <v>45831</v>
      </c>
      <c r="D1046" t="inlineStr">
        <is>
          <t>JÄMTLANDS LÄN</t>
        </is>
      </c>
      <c r="E1046" t="inlineStr">
        <is>
          <t>KROKOM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30486-2023</t>
        </is>
      </c>
      <c r="B1047" s="1" t="n">
        <v>45111</v>
      </c>
      <c r="C1047" s="1" t="n">
        <v>45831</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30488-2023</t>
        </is>
      </c>
      <c r="B1048" s="1" t="n">
        <v>45111</v>
      </c>
      <c r="C1048" s="1" t="n">
        <v>45831</v>
      </c>
      <c r="D1048" t="inlineStr">
        <is>
          <t>JÄMTLANDS LÄN</t>
        </is>
      </c>
      <c r="E1048" t="inlineStr">
        <is>
          <t>KROKOM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30429-2023</t>
        </is>
      </c>
      <c r="B1049" s="1" t="n">
        <v>45111</v>
      </c>
      <c r="C1049" s="1" t="n">
        <v>45831</v>
      </c>
      <c r="D1049" t="inlineStr">
        <is>
          <t>JÄMTLANDS LÄN</t>
        </is>
      </c>
      <c r="E1049" t="inlineStr">
        <is>
          <t>KROKOM</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30566-2023</t>
        </is>
      </c>
      <c r="B1050" s="1" t="n">
        <v>45112</v>
      </c>
      <c r="C1050" s="1" t="n">
        <v>45831</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30771-2023</t>
        </is>
      </c>
      <c r="B1051" s="1" t="n">
        <v>45112</v>
      </c>
      <c r="C1051" s="1" t="n">
        <v>45831</v>
      </c>
      <c r="D1051" t="inlineStr">
        <is>
          <t>JÄMTLANDS LÄN</t>
        </is>
      </c>
      <c r="E1051" t="inlineStr">
        <is>
          <t>KROKOM</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32692-2023</t>
        </is>
      </c>
      <c r="B1052" s="1" t="n">
        <v>45112</v>
      </c>
      <c r="C1052" s="1" t="n">
        <v>45831</v>
      </c>
      <c r="D1052" t="inlineStr">
        <is>
          <t>JÄMTLANDS LÄN</t>
        </is>
      </c>
      <c r="E1052" t="inlineStr">
        <is>
          <t>KROKOM</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32650-2023</t>
        </is>
      </c>
      <c r="B1053" s="1" t="n">
        <v>45112</v>
      </c>
      <c r="C1053" s="1" t="n">
        <v>45831</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32881-2023</t>
        </is>
      </c>
      <c r="B1054" s="1" t="n">
        <v>45112</v>
      </c>
      <c r="C1054" s="1" t="n">
        <v>45831</v>
      </c>
      <c r="D1054" t="inlineStr">
        <is>
          <t>JÄMTLANDS LÄN</t>
        </is>
      </c>
      <c r="E1054" t="inlineStr">
        <is>
          <t>KROKOM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32837-2023</t>
        </is>
      </c>
      <c r="B1055" s="1" t="n">
        <v>45112</v>
      </c>
      <c r="C1055" s="1" t="n">
        <v>45831</v>
      </c>
      <c r="D1055" t="inlineStr">
        <is>
          <t>JÄMTLANDS LÄN</t>
        </is>
      </c>
      <c r="E1055" t="inlineStr">
        <is>
          <t>KROKOM</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31386-2023</t>
        </is>
      </c>
      <c r="B1056" s="1" t="n">
        <v>45114</v>
      </c>
      <c r="C1056" s="1" t="n">
        <v>45831</v>
      </c>
      <c r="D1056" t="inlineStr">
        <is>
          <t>JÄMTLANDS LÄN</t>
        </is>
      </c>
      <c r="E1056" t="inlineStr">
        <is>
          <t>KROKOM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31395-2023</t>
        </is>
      </c>
      <c r="B1057" s="1" t="n">
        <v>45114</v>
      </c>
      <c r="C1057" s="1" t="n">
        <v>45831</v>
      </c>
      <c r="D1057" t="inlineStr">
        <is>
          <t>JÄMTLANDS LÄN</t>
        </is>
      </c>
      <c r="E1057" t="inlineStr">
        <is>
          <t>KROKOM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31580-2023</t>
        </is>
      </c>
      <c r="B1058" s="1" t="n">
        <v>45117</v>
      </c>
      <c r="C1058" s="1" t="n">
        <v>45831</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31584-2023</t>
        </is>
      </c>
      <c r="B1059" s="1" t="n">
        <v>45117</v>
      </c>
      <c r="C1059" s="1" t="n">
        <v>45831</v>
      </c>
      <c r="D1059" t="inlineStr">
        <is>
          <t>JÄMTLANDS LÄN</t>
        </is>
      </c>
      <c r="E1059" t="inlineStr">
        <is>
          <t>KROKOM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31537-2023</t>
        </is>
      </c>
      <c r="B1060" s="1" t="n">
        <v>45117</v>
      </c>
      <c r="C1060" s="1" t="n">
        <v>45831</v>
      </c>
      <c r="D1060" t="inlineStr">
        <is>
          <t>JÄMTLANDS LÄN</t>
        </is>
      </c>
      <c r="E1060" t="inlineStr">
        <is>
          <t>KROKOM</t>
        </is>
      </c>
      <c r="F1060" t="inlineStr">
        <is>
          <t>Övriga Aktiebolag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31538-2023</t>
        </is>
      </c>
      <c r="B1061" s="1" t="n">
        <v>45117</v>
      </c>
      <c r="C1061" s="1" t="n">
        <v>45831</v>
      </c>
      <c r="D1061" t="inlineStr">
        <is>
          <t>JÄMTLANDS LÄN</t>
        </is>
      </c>
      <c r="E1061" t="inlineStr">
        <is>
          <t>KROKOM</t>
        </is>
      </c>
      <c r="F1061" t="inlineStr">
        <is>
          <t>Övriga Aktiebolag</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31601-2023</t>
        </is>
      </c>
      <c r="B1062" s="1" t="n">
        <v>45117</v>
      </c>
      <c r="C1062" s="1" t="n">
        <v>45831</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31550-2023</t>
        </is>
      </c>
      <c r="B1063" s="1" t="n">
        <v>45117</v>
      </c>
      <c r="C1063" s="1" t="n">
        <v>45831</v>
      </c>
      <c r="D1063" t="inlineStr">
        <is>
          <t>JÄMTLANDS LÄN</t>
        </is>
      </c>
      <c r="E1063" t="inlineStr">
        <is>
          <t>KROKOM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31927-2023</t>
        </is>
      </c>
      <c r="B1064" s="1" t="n">
        <v>45119</v>
      </c>
      <c r="C1064" s="1" t="n">
        <v>45831</v>
      </c>
      <c r="D1064" t="inlineStr">
        <is>
          <t>JÄMTLANDS LÄN</t>
        </is>
      </c>
      <c r="E1064" t="inlineStr">
        <is>
          <t>KROKOM</t>
        </is>
      </c>
      <c r="G1064" t="n">
        <v>56.6</v>
      </c>
      <c r="H1064" t="n">
        <v>0</v>
      </c>
      <c r="I1064" t="n">
        <v>0</v>
      </c>
      <c r="J1064" t="n">
        <v>0</v>
      </c>
      <c r="K1064" t="n">
        <v>0</v>
      </c>
      <c r="L1064" t="n">
        <v>0</v>
      </c>
      <c r="M1064" t="n">
        <v>0</v>
      </c>
      <c r="N1064" t="n">
        <v>0</v>
      </c>
      <c r="O1064" t="n">
        <v>0</v>
      </c>
      <c r="P1064" t="n">
        <v>0</v>
      </c>
      <c r="Q1064" t="n">
        <v>0</v>
      </c>
      <c r="R1064" s="2" t="inlineStr"/>
    </row>
    <row r="1065" ht="15" customHeight="1">
      <c r="A1065" t="inlineStr">
        <is>
          <t>A 31877-2023</t>
        </is>
      </c>
      <c r="B1065" s="1" t="n">
        <v>45118</v>
      </c>
      <c r="C1065" s="1" t="n">
        <v>45831</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32019-2023</t>
        </is>
      </c>
      <c r="B1066" s="1" t="n">
        <v>45119</v>
      </c>
      <c r="C1066" s="1" t="n">
        <v>45831</v>
      </c>
      <c r="D1066" t="inlineStr">
        <is>
          <t>JÄMTLANDS LÄN</t>
        </is>
      </c>
      <c r="E1066" t="inlineStr">
        <is>
          <t>KROKOM</t>
        </is>
      </c>
      <c r="F1066" t="inlineStr">
        <is>
          <t>Övriga Aktiebolag</t>
        </is>
      </c>
      <c r="G1066" t="n">
        <v>37.5</v>
      </c>
      <c r="H1066" t="n">
        <v>0</v>
      </c>
      <c r="I1066" t="n">
        <v>0</v>
      </c>
      <c r="J1066" t="n">
        <v>0</v>
      </c>
      <c r="K1066" t="n">
        <v>0</v>
      </c>
      <c r="L1066" t="n">
        <v>0</v>
      </c>
      <c r="M1066" t="n">
        <v>0</v>
      </c>
      <c r="N1066" t="n">
        <v>0</v>
      </c>
      <c r="O1066" t="n">
        <v>0</v>
      </c>
      <c r="P1066" t="n">
        <v>0</v>
      </c>
      <c r="Q1066" t="n">
        <v>0</v>
      </c>
      <c r="R1066" s="2" t="inlineStr"/>
    </row>
    <row r="1067" ht="15" customHeight="1">
      <c r="A1067" t="inlineStr">
        <is>
          <t>A 32090-2023</t>
        </is>
      </c>
      <c r="B1067" s="1" t="n">
        <v>45119</v>
      </c>
      <c r="C1067" s="1" t="n">
        <v>45831</v>
      </c>
      <c r="D1067" t="inlineStr">
        <is>
          <t>JÄMTLANDS LÄN</t>
        </is>
      </c>
      <c r="E1067" t="inlineStr">
        <is>
          <t>KROKOM</t>
        </is>
      </c>
      <c r="F1067" t="inlineStr">
        <is>
          <t>Övriga Aktiebolag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33653-2023</t>
        </is>
      </c>
      <c r="B1068" s="1" t="n">
        <v>45119</v>
      </c>
      <c r="C1068" s="1" t="n">
        <v>45831</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32676-2023</t>
        </is>
      </c>
      <c r="B1069" s="1" t="n">
        <v>45121</v>
      </c>
      <c r="C1069" s="1" t="n">
        <v>45831</v>
      </c>
      <c r="D1069" t="inlineStr">
        <is>
          <t>JÄMTLANDS LÄN</t>
        </is>
      </c>
      <c r="E1069" t="inlineStr">
        <is>
          <t>KROKOM</t>
        </is>
      </c>
      <c r="F1069" t="inlineStr">
        <is>
          <t>Övriga Aktiebolag</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32765-2023</t>
        </is>
      </c>
      <c r="B1070" s="1" t="n">
        <v>45123</v>
      </c>
      <c r="C1070" s="1" t="n">
        <v>45831</v>
      </c>
      <c r="D1070" t="inlineStr">
        <is>
          <t>JÄMTLANDS LÄN</t>
        </is>
      </c>
      <c r="E1070" t="inlineStr">
        <is>
          <t>KROKOM</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34070-2023</t>
        </is>
      </c>
      <c r="B1071" s="1" t="n">
        <v>45125</v>
      </c>
      <c r="C1071" s="1" t="n">
        <v>45831</v>
      </c>
      <c r="D1071" t="inlineStr">
        <is>
          <t>JÄMTLANDS LÄN</t>
        </is>
      </c>
      <c r="E1071" t="inlineStr">
        <is>
          <t>KROKOM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34502-2023</t>
        </is>
      </c>
      <c r="B1072" s="1" t="n">
        <v>45133</v>
      </c>
      <c r="C1072" s="1" t="n">
        <v>45831</v>
      </c>
      <c r="D1072" t="inlineStr">
        <is>
          <t>JÄMTLANDS LÄN</t>
        </is>
      </c>
      <c r="E1072" t="inlineStr">
        <is>
          <t>KROKOM</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34155-2023</t>
        </is>
      </c>
      <c r="B1073" s="1" t="n">
        <v>45137</v>
      </c>
      <c r="C1073" s="1" t="n">
        <v>45831</v>
      </c>
      <c r="D1073" t="inlineStr">
        <is>
          <t>JÄMTLANDS LÄN</t>
        </is>
      </c>
      <c r="E1073" t="inlineStr">
        <is>
          <t>KROKOM</t>
        </is>
      </c>
      <c r="F1073" t="inlineStr">
        <is>
          <t>Övriga Aktiebolag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34720-2023</t>
        </is>
      </c>
      <c r="B1074" s="1" t="n">
        <v>45139</v>
      </c>
      <c r="C1074" s="1" t="n">
        <v>45831</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34801-2023</t>
        </is>
      </c>
      <c r="B1075" s="1" t="n">
        <v>45140</v>
      </c>
      <c r="C1075" s="1" t="n">
        <v>45831</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34803-2023</t>
        </is>
      </c>
      <c r="B1076" s="1" t="n">
        <v>45140</v>
      </c>
      <c r="C1076" s="1" t="n">
        <v>45831</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35257-2023</t>
        </is>
      </c>
      <c r="B1077" s="1" t="n">
        <v>45146</v>
      </c>
      <c r="C1077" s="1" t="n">
        <v>45831</v>
      </c>
      <c r="D1077" t="inlineStr">
        <is>
          <t>JÄMTLANDS LÄN</t>
        </is>
      </c>
      <c r="E1077" t="inlineStr">
        <is>
          <t>KROKOM</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35281-2023</t>
        </is>
      </c>
      <c r="B1078" s="1" t="n">
        <v>45146</v>
      </c>
      <c r="C1078" s="1" t="n">
        <v>45831</v>
      </c>
      <c r="D1078" t="inlineStr">
        <is>
          <t>JÄMTLANDS LÄN</t>
        </is>
      </c>
      <c r="E1078" t="inlineStr">
        <is>
          <t>KROKOM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35282-2023</t>
        </is>
      </c>
      <c r="B1079" s="1" t="n">
        <v>45146</v>
      </c>
      <c r="C1079" s="1" t="n">
        <v>45831</v>
      </c>
      <c r="D1079" t="inlineStr">
        <is>
          <t>JÄMTLANDS LÄN</t>
        </is>
      </c>
      <c r="E1079" t="inlineStr">
        <is>
          <t>KROKOM</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35334-2023</t>
        </is>
      </c>
      <c r="B1080" s="1" t="n">
        <v>45146</v>
      </c>
      <c r="C1080" s="1" t="n">
        <v>45831</v>
      </c>
      <c r="D1080" t="inlineStr">
        <is>
          <t>JÄMTLANDS LÄN</t>
        </is>
      </c>
      <c r="E1080" t="inlineStr">
        <is>
          <t>KROKOM</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35350-2023</t>
        </is>
      </c>
      <c r="B1081" s="1" t="n">
        <v>45146</v>
      </c>
      <c r="C1081" s="1" t="n">
        <v>45831</v>
      </c>
      <c r="D1081" t="inlineStr">
        <is>
          <t>JÄMTLANDS LÄN</t>
        </is>
      </c>
      <c r="E1081" t="inlineStr">
        <is>
          <t>KROKOM</t>
        </is>
      </c>
      <c r="F1081" t="inlineStr">
        <is>
          <t>Övriga Aktiebolag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35887-2023</t>
        </is>
      </c>
      <c r="B1082" s="1" t="n">
        <v>45148</v>
      </c>
      <c r="C1082" s="1" t="n">
        <v>45831</v>
      </c>
      <c r="D1082" t="inlineStr">
        <is>
          <t>JÄMTLANDS LÄN</t>
        </is>
      </c>
      <c r="E1082" t="inlineStr">
        <is>
          <t>KROKOM</t>
        </is>
      </c>
      <c r="F1082" t="inlineStr">
        <is>
          <t>Övriga Aktiebolag</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36396-2023</t>
        </is>
      </c>
      <c r="B1083" s="1" t="n">
        <v>45149</v>
      </c>
      <c r="C1083" s="1" t="n">
        <v>45831</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36439-2023</t>
        </is>
      </c>
      <c r="B1084" s="1" t="n">
        <v>45152</v>
      </c>
      <c r="C1084" s="1" t="n">
        <v>45831</v>
      </c>
      <c r="D1084" t="inlineStr">
        <is>
          <t>JÄMTLANDS LÄN</t>
        </is>
      </c>
      <c r="E1084" t="inlineStr">
        <is>
          <t>KROKOM</t>
        </is>
      </c>
      <c r="F1084" t="inlineStr">
        <is>
          <t>Övriga Aktiebolag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36424-2023</t>
        </is>
      </c>
      <c r="B1085" s="1" t="n">
        <v>45152</v>
      </c>
      <c r="C1085" s="1" t="n">
        <v>45831</v>
      </c>
      <c r="D1085" t="inlineStr">
        <is>
          <t>JÄMTLANDS LÄN</t>
        </is>
      </c>
      <c r="E1085" t="inlineStr">
        <is>
          <t>KROKOM</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36488-2023</t>
        </is>
      </c>
      <c r="B1086" s="1" t="n">
        <v>45152</v>
      </c>
      <c r="C1086" s="1" t="n">
        <v>45831</v>
      </c>
      <c r="D1086" t="inlineStr">
        <is>
          <t>JÄMTLANDS LÄN</t>
        </is>
      </c>
      <c r="E1086" t="inlineStr">
        <is>
          <t>KROKOM</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36535-2023</t>
        </is>
      </c>
      <c r="B1087" s="1" t="n">
        <v>45152</v>
      </c>
      <c r="C1087" s="1" t="n">
        <v>45831</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36990-2023</t>
        </is>
      </c>
      <c r="B1088" s="1" t="n">
        <v>45154</v>
      </c>
      <c r="C1088" s="1" t="n">
        <v>45831</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37019-2023</t>
        </is>
      </c>
      <c r="B1089" s="1" t="n">
        <v>45155</v>
      </c>
      <c r="C1089" s="1" t="n">
        <v>45831</v>
      </c>
      <c r="D1089" t="inlineStr">
        <is>
          <t>JÄMTLANDS LÄN</t>
        </is>
      </c>
      <c r="E1089" t="inlineStr">
        <is>
          <t>KROKOM</t>
        </is>
      </c>
      <c r="F1089" t="inlineStr">
        <is>
          <t>Kyrkan</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37844-2023</t>
        </is>
      </c>
      <c r="B1090" s="1" t="n">
        <v>45158</v>
      </c>
      <c r="C1090" s="1" t="n">
        <v>45831</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37946-2023</t>
        </is>
      </c>
      <c r="B1091" s="1" t="n">
        <v>45159</v>
      </c>
      <c r="C1091" s="1" t="n">
        <v>45831</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38043-2023</t>
        </is>
      </c>
      <c r="B1092" s="1" t="n">
        <v>45160</v>
      </c>
      <c r="C1092" s="1" t="n">
        <v>45831</v>
      </c>
      <c r="D1092" t="inlineStr">
        <is>
          <t>JÄMTLANDS LÄN</t>
        </is>
      </c>
      <c r="E1092" t="inlineStr">
        <is>
          <t>KROKOM</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38589-2023</t>
        </is>
      </c>
      <c r="B1093" s="1" t="n">
        <v>45162</v>
      </c>
      <c r="C1093" s="1" t="n">
        <v>45831</v>
      </c>
      <c r="D1093" t="inlineStr">
        <is>
          <t>JÄMTLANDS LÄN</t>
        </is>
      </c>
      <c r="E1093" t="inlineStr">
        <is>
          <t>KROKOM</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39063-2023</t>
        </is>
      </c>
      <c r="B1094" s="1" t="n">
        <v>45163</v>
      </c>
      <c r="C1094" s="1" t="n">
        <v>45831</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39078-2023</t>
        </is>
      </c>
      <c r="B1095" s="1" t="n">
        <v>45164</v>
      </c>
      <c r="C1095" s="1" t="n">
        <v>45831</v>
      </c>
      <c r="D1095" t="inlineStr">
        <is>
          <t>JÄMTLANDS LÄN</t>
        </is>
      </c>
      <c r="E1095" t="inlineStr">
        <is>
          <t>KROKOM</t>
        </is>
      </c>
      <c r="G1095" t="n">
        <v>28.3</v>
      </c>
      <c r="H1095" t="n">
        <v>0</v>
      </c>
      <c r="I1095" t="n">
        <v>0</v>
      </c>
      <c r="J1095" t="n">
        <v>0</v>
      </c>
      <c r="K1095" t="n">
        <v>0</v>
      </c>
      <c r="L1095" t="n">
        <v>0</v>
      </c>
      <c r="M1095" t="n">
        <v>0</v>
      </c>
      <c r="N1095" t="n">
        <v>0</v>
      </c>
      <c r="O1095" t="n">
        <v>0</v>
      </c>
      <c r="P1095" t="n">
        <v>0</v>
      </c>
      <c r="Q1095" t="n">
        <v>0</v>
      </c>
      <c r="R1095" s="2" t="inlineStr"/>
    </row>
    <row r="1096" ht="15" customHeight="1">
      <c r="A1096" t="inlineStr">
        <is>
          <t>A 39127-2023</t>
        </is>
      </c>
      <c r="B1096" s="1" t="n">
        <v>45165</v>
      </c>
      <c r="C1096" s="1" t="n">
        <v>45831</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39126-2023</t>
        </is>
      </c>
      <c r="B1097" s="1" t="n">
        <v>45165</v>
      </c>
      <c r="C1097" s="1" t="n">
        <v>45831</v>
      </c>
      <c r="D1097" t="inlineStr">
        <is>
          <t>JÄMTLANDS LÄN</t>
        </is>
      </c>
      <c r="E1097" t="inlineStr">
        <is>
          <t>KROKOM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39169-2023</t>
        </is>
      </c>
      <c r="B1098" s="1" t="n">
        <v>45166</v>
      </c>
      <c r="C1098" s="1" t="n">
        <v>45831</v>
      </c>
      <c r="D1098" t="inlineStr">
        <is>
          <t>JÄMTLANDS LÄN</t>
        </is>
      </c>
      <c r="E1098" t="inlineStr">
        <is>
          <t>KROKOM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39701-2023</t>
        </is>
      </c>
      <c r="B1099" s="1" t="n">
        <v>45166</v>
      </c>
      <c r="C1099" s="1" t="n">
        <v>45831</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39563-2023</t>
        </is>
      </c>
      <c r="B1100" s="1" t="n">
        <v>45167</v>
      </c>
      <c r="C1100" s="1" t="n">
        <v>45831</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39683-2023</t>
        </is>
      </c>
      <c r="B1101" s="1" t="n">
        <v>45167</v>
      </c>
      <c r="C1101" s="1" t="n">
        <v>45831</v>
      </c>
      <c r="D1101" t="inlineStr">
        <is>
          <t>JÄMTLANDS LÄN</t>
        </is>
      </c>
      <c r="E1101" t="inlineStr">
        <is>
          <t>KROKOM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39902-2023</t>
        </is>
      </c>
      <c r="B1102" s="1" t="n">
        <v>45168</v>
      </c>
      <c r="C1102" s="1" t="n">
        <v>45831</v>
      </c>
      <c r="D1102" t="inlineStr">
        <is>
          <t>JÄMTLANDS LÄN</t>
        </is>
      </c>
      <c r="E1102" t="inlineStr">
        <is>
          <t>KROKOM</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40364-2023</t>
        </is>
      </c>
      <c r="B1103" s="1" t="n">
        <v>45168</v>
      </c>
      <c r="C1103" s="1" t="n">
        <v>45831</v>
      </c>
      <c r="D1103" t="inlineStr">
        <is>
          <t>JÄMTLANDS LÄN</t>
        </is>
      </c>
      <c r="E1103" t="inlineStr">
        <is>
          <t>KROKOM</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41090-2023</t>
        </is>
      </c>
      <c r="B1104" s="1" t="n">
        <v>45173</v>
      </c>
      <c r="C1104" s="1" t="n">
        <v>45831</v>
      </c>
      <c r="D1104" t="inlineStr">
        <is>
          <t>JÄMTLANDS LÄN</t>
        </is>
      </c>
      <c r="E1104" t="inlineStr">
        <is>
          <t>KROKOM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41142-2023</t>
        </is>
      </c>
      <c r="B1105" s="1" t="n">
        <v>45173</v>
      </c>
      <c r="C1105" s="1" t="n">
        <v>45831</v>
      </c>
      <c r="D1105" t="inlineStr">
        <is>
          <t>JÄMTLANDS LÄN</t>
        </is>
      </c>
      <c r="E1105" t="inlineStr">
        <is>
          <t>KROKOM</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41543-2023</t>
        </is>
      </c>
      <c r="B1106" s="1" t="n">
        <v>45173</v>
      </c>
      <c r="C1106" s="1" t="n">
        <v>45831</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41553-2023</t>
        </is>
      </c>
      <c r="B1107" s="1" t="n">
        <v>45173</v>
      </c>
      <c r="C1107" s="1" t="n">
        <v>45831</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41769-2023</t>
        </is>
      </c>
      <c r="B1108" s="1" t="n">
        <v>45176</v>
      </c>
      <c r="C1108" s="1" t="n">
        <v>45831</v>
      </c>
      <c r="D1108" t="inlineStr">
        <is>
          <t>JÄMTLANDS LÄN</t>
        </is>
      </c>
      <c r="E1108" t="inlineStr">
        <is>
          <t>KROKOM</t>
        </is>
      </c>
      <c r="F1108" t="inlineStr">
        <is>
          <t>Övriga Aktiebolag</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41784-2023</t>
        </is>
      </c>
      <c r="B1109" s="1" t="n">
        <v>45176</v>
      </c>
      <c r="C1109" s="1" t="n">
        <v>45831</v>
      </c>
      <c r="D1109" t="inlineStr">
        <is>
          <t>JÄMTLANDS LÄN</t>
        </is>
      </c>
      <c r="E1109" t="inlineStr">
        <is>
          <t>KROKOM</t>
        </is>
      </c>
      <c r="F1109" t="inlineStr">
        <is>
          <t>Övriga Aktiebolag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42154-2023</t>
        </is>
      </c>
      <c r="B1110" s="1" t="n">
        <v>45177</v>
      </c>
      <c r="C1110" s="1" t="n">
        <v>45831</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42155-2023</t>
        </is>
      </c>
      <c r="B1111" s="1" t="n">
        <v>45177</v>
      </c>
      <c r="C1111" s="1" t="n">
        <v>45831</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42372-2023</t>
        </is>
      </c>
      <c r="B1112" s="1" t="n">
        <v>45180</v>
      </c>
      <c r="C1112" s="1" t="n">
        <v>45831</v>
      </c>
      <c r="D1112" t="inlineStr">
        <is>
          <t>JÄMTLANDS LÄN</t>
        </is>
      </c>
      <c r="E1112" t="inlineStr">
        <is>
          <t>KROKOM</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42422-2023</t>
        </is>
      </c>
      <c r="B1113" s="1" t="n">
        <v>45180</v>
      </c>
      <c r="C1113" s="1" t="n">
        <v>45831</v>
      </c>
      <c r="D1113" t="inlineStr">
        <is>
          <t>JÄMTLANDS LÄN</t>
        </is>
      </c>
      <c r="E1113" t="inlineStr">
        <is>
          <t>KROKOM</t>
        </is>
      </c>
      <c r="F1113" t="inlineStr">
        <is>
          <t>Övriga Aktiebolag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42369-2023</t>
        </is>
      </c>
      <c r="B1114" s="1" t="n">
        <v>45180</v>
      </c>
      <c r="C1114" s="1" t="n">
        <v>45831</v>
      </c>
      <c r="D1114" t="inlineStr">
        <is>
          <t>JÄMTLANDS LÄN</t>
        </is>
      </c>
      <c r="E1114" t="inlineStr">
        <is>
          <t>KROKOM</t>
        </is>
      </c>
      <c r="F1114" t="inlineStr">
        <is>
          <t>Övriga Aktiebolag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42437-2023</t>
        </is>
      </c>
      <c r="B1115" s="1" t="n">
        <v>45180</v>
      </c>
      <c r="C1115" s="1" t="n">
        <v>45831</v>
      </c>
      <c r="D1115" t="inlineStr">
        <is>
          <t>JÄMTLANDS LÄN</t>
        </is>
      </c>
      <c r="E1115" t="inlineStr">
        <is>
          <t>KROKOM</t>
        </is>
      </c>
      <c r="F1115" t="inlineStr">
        <is>
          <t>Övriga Aktiebolag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42417-2023</t>
        </is>
      </c>
      <c r="B1116" s="1" t="n">
        <v>45180</v>
      </c>
      <c r="C1116" s="1" t="n">
        <v>45831</v>
      </c>
      <c r="D1116" t="inlineStr">
        <is>
          <t>JÄMTLANDS LÄN</t>
        </is>
      </c>
      <c r="E1116" t="inlineStr">
        <is>
          <t>KROKOM</t>
        </is>
      </c>
      <c r="F1116" t="inlineStr">
        <is>
          <t>Övriga Aktiebolag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42439-2023</t>
        </is>
      </c>
      <c r="B1117" s="1" t="n">
        <v>45180</v>
      </c>
      <c r="C1117" s="1" t="n">
        <v>45831</v>
      </c>
      <c r="D1117" t="inlineStr">
        <is>
          <t>JÄMTLANDS LÄN</t>
        </is>
      </c>
      <c r="E1117" t="inlineStr">
        <is>
          <t>KROKOM</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42424-2023</t>
        </is>
      </c>
      <c r="B1118" s="1" t="n">
        <v>45180</v>
      </c>
      <c r="C1118" s="1" t="n">
        <v>45831</v>
      </c>
      <c r="D1118" t="inlineStr">
        <is>
          <t>JÄMTLANDS LÄN</t>
        </is>
      </c>
      <c r="E1118" t="inlineStr">
        <is>
          <t>KROKOM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42828-2023</t>
        </is>
      </c>
      <c r="B1119" s="1" t="n">
        <v>45182</v>
      </c>
      <c r="C1119" s="1" t="n">
        <v>45831</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42816-2023</t>
        </is>
      </c>
      <c r="B1120" s="1" t="n">
        <v>45182</v>
      </c>
      <c r="C1120" s="1" t="n">
        <v>45831</v>
      </c>
      <c r="D1120" t="inlineStr">
        <is>
          <t>JÄMTLANDS LÄN</t>
        </is>
      </c>
      <c r="E1120" t="inlineStr">
        <is>
          <t>KROKOM</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42825-2023</t>
        </is>
      </c>
      <c r="B1121" s="1" t="n">
        <v>45182</v>
      </c>
      <c r="C1121" s="1" t="n">
        <v>45831</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44751-2023</t>
        </is>
      </c>
      <c r="B1122" s="1" t="n">
        <v>45184</v>
      </c>
      <c r="C1122" s="1" t="n">
        <v>45831</v>
      </c>
      <c r="D1122" t="inlineStr">
        <is>
          <t>JÄMTLANDS LÄN</t>
        </is>
      </c>
      <c r="E1122" t="inlineStr">
        <is>
          <t>KROKOM</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v>
      </c>
      <c r="C1123" s="1" t="n">
        <v>45831</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44453-2023</t>
        </is>
      </c>
      <c r="B1124" s="1" t="n">
        <v>45189</v>
      </c>
      <c r="C1124" s="1" t="n">
        <v>45831</v>
      </c>
      <c r="D1124" t="inlineStr">
        <is>
          <t>JÄMTLANDS LÄN</t>
        </is>
      </c>
      <c r="E1124" t="inlineStr">
        <is>
          <t>KROKOM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46061-2023</t>
        </is>
      </c>
      <c r="B1125" s="1" t="n">
        <v>45190</v>
      </c>
      <c r="C1125" s="1" t="n">
        <v>45831</v>
      </c>
      <c r="D1125" t="inlineStr">
        <is>
          <t>JÄMTLANDS LÄN</t>
        </is>
      </c>
      <c r="E1125" t="inlineStr">
        <is>
          <t>KROKOM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46046-2023</t>
        </is>
      </c>
      <c r="B1126" s="1" t="n">
        <v>45190</v>
      </c>
      <c r="C1126" s="1" t="n">
        <v>45831</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45455-2023</t>
        </is>
      </c>
      <c r="B1127" s="1" t="n">
        <v>45194</v>
      </c>
      <c r="C1127" s="1" t="n">
        <v>45831</v>
      </c>
      <c r="D1127" t="inlineStr">
        <is>
          <t>JÄMTLANDS LÄN</t>
        </is>
      </c>
      <c r="E1127" t="inlineStr">
        <is>
          <t>KROKOM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45494-2023</t>
        </is>
      </c>
      <c r="B1128" s="1" t="n">
        <v>45194</v>
      </c>
      <c r="C1128" s="1" t="n">
        <v>45831</v>
      </c>
      <c r="D1128" t="inlineStr">
        <is>
          <t>JÄMTLANDS LÄN</t>
        </is>
      </c>
      <c r="E1128" t="inlineStr">
        <is>
          <t>KROKOM</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46676-2023</t>
        </is>
      </c>
      <c r="B1129" s="1" t="n">
        <v>45194</v>
      </c>
      <c r="C1129" s="1" t="n">
        <v>45831</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45786-2023</t>
        </is>
      </c>
      <c r="B1130" s="1" t="n">
        <v>45195</v>
      </c>
      <c r="C1130" s="1" t="n">
        <v>45831</v>
      </c>
      <c r="D1130" t="inlineStr">
        <is>
          <t>JÄMTLANDS LÄN</t>
        </is>
      </c>
      <c r="E1130" t="inlineStr">
        <is>
          <t>KROKOM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45822-2023</t>
        </is>
      </c>
      <c r="B1131" s="1" t="n">
        <v>45195</v>
      </c>
      <c r="C1131" s="1" t="n">
        <v>45831</v>
      </c>
      <c r="D1131" t="inlineStr">
        <is>
          <t>JÄMTLANDS LÄN</t>
        </is>
      </c>
      <c r="E1131" t="inlineStr">
        <is>
          <t>KROKOM</t>
        </is>
      </c>
      <c r="F1131" t="inlineStr">
        <is>
          <t>Övriga Aktiebolag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45827-2023</t>
        </is>
      </c>
      <c r="B1132" s="1" t="n">
        <v>45195</v>
      </c>
      <c r="C1132" s="1" t="n">
        <v>45831</v>
      </c>
      <c r="D1132" t="inlineStr">
        <is>
          <t>JÄMTLANDS LÄN</t>
        </is>
      </c>
      <c r="E1132" t="inlineStr">
        <is>
          <t>KROKOM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46592-2023</t>
        </is>
      </c>
      <c r="B1133" s="1" t="n">
        <v>45198</v>
      </c>
      <c r="C1133" s="1" t="n">
        <v>45831</v>
      </c>
      <c r="D1133" t="inlineStr">
        <is>
          <t>JÄMTLANDS LÄN</t>
        </is>
      </c>
      <c r="E1133" t="inlineStr">
        <is>
          <t>KROKOM</t>
        </is>
      </c>
      <c r="F1133" t="inlineStr">
        <is>
          <t>Övriga Aktiebolag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46626-2023</t>
        </is>
      </c>
      <c r="B1134" s="1" t="n">
        <v>45198</v>
      </c>
      <c r="C1134" s="1" t="n">
        <v>45831</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46636-2023</t>
        </is>
      </c>
      <c r="B1135" s="1" t="n">
        <v>45198</v>
      </c>
      <c r="C1135" s="1" t="n">
        <v>45831</v>
      </c>
      <c r="D1135" t="inlineStr">
        <is>
          <t>JÄMTLANDS LÄN</t>
        </is>
      </c>
      <c r="E1135" t="inlineStr">
        <is>
          <t>KROKOM</t>
        </is>
      </c>
      <c r="F1135" t="inlineStr">
        <is>
          <t>Övriga Aktiebolag</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46632-2023</t>
        </is>
      </c>
      <c r="B1136" s="1" t="n">
        <v>45198</v>
      </c>
      <c r="C1136" s="1" t="n">
        <v>45831</v>
      </c>
      <c r="D1136" t="inlineStr">
        <is>
          <t>JÄMTLANDS LÄN</t>
        </is>
      </c>
      <c r="E1136" t="inlineStr">
        <is>
          <t>KROKOM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46820-2023</t>
        </is>
      </c>
      <c r="B1137" s="1" t="n">
        <v>45199</v>
      </c>
      <c r="C1137" s="1" t="n">
        <v>45831</v>
      </c>
      <c r="D1137" t="inlineStr">
        <is>
          <t>JÄMTLANDS LÄN</t>
        </is>
      </c>
      <c r="E1137" t="inlineStr">
        <is>
          <t>KROKOM</t>
        </is>
      </c>
      <c r="F1137" t="inlineStr">
        <is>
          <t>SCA</t>
        </is>
      </c>
      <c r="G1137" t="n">
        <v>60.6</v>
      </c>
      <c r="H1137" t="n">
        <v>0</v>
      </c>
      <c r="I1137" t="n">
        <v>0</v>
      </c>
      <c r="J1137" t="n">
        <v>0</v>
      </c>
      <c r="K1137" t="n">
        <v>0</v>
      </c>
      <c r="L1137" t="n">
        <v>0</v>
      </c>
      <c r="M1137" t="n">
        <v>0</v>
      </c>
      <c r="N1137" t="n">
        <v>0</v>
      </c>
      <c r="O1137" t="n">
        <v>0</v>
      </c>
      <c r="P1137" t="n">
        <v>0</v>
      </c>
      <c r="Q1137" t="n">
        <v>0</v>
      </c>
      <c r="R1137" s="2" t="inlineStr"/>
    </row>
    <row r="1138" ht="15" customHeight="1">
      <c r="A1138" t="inlineStr">
        <is>
          <t>A 46832-2023</t>
        </is>
      </c>
      <c r="B1138" s="1" t="n">
        <v>45199</v>
      </c>
      <c r="C1138" s="1" t="n">
        <v>45831</v>
      </c>
      <c r="D1138" t="inlineStr">
        <is>
          <t>JÄMTLANDS LÄN</t>
        </is>
      </c>
      <c r="E1138" t="inlineStr">
        <is>
          <t>KROKOM</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46841-2023</t>
        </is>
      </c>
      <c r="B1139" s="1" t="n">
        <v>45199</v>
      </c>
      <c r="C1139" s="1" t="n">
        <v>45831</v>
      </c>
      <c r="D1139" t="inlineStr">
        <is>
          <t>JÄMTLANDS LÄN</t>
        </is>
      </c>
      <c r="E1139" t="inlineStr">
        <is>
          <t>KROKOM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47073-2023</t>
        </is>
      </c>
      <c r="B1140" s="1" t="n">
        <v>45201</v>
      </c>
      <c r="C1140" s="1" t="n">
        <v>45831</v>
      </c>
      <c r="D1140" t="inlineStr">
        <is>
          <t>JÄMTLANDS LÄN</t>
        </is>
      </c>
      <c r="E1140" t="inlineStr">
        <is>
          <t>KROKOM</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48161-2023</t>
        </is>
      </c>
      <c r="B1141" s="1" t="n">
        <v>45201</v>
      </c>
      <c r="C1141" s="1" t="n">
        <v>45831</v>
      </c>
      <c r="D1141" t="inlineStr">
        <is>
          <t>JÄMTLANDS LÄN</t>
        </is>
      </c>
      <c r="E1141" t="inlineStr">
        <is>
          <t>KROKOM</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47726-2023</t>
        </is>
      </c>
      <c r="B1142" s="1" t="n">
        <v>45203</v>
      </c>
      <c r="C1142" s="1" t="n">
        <v>45831</v>
      </c>
      <c r="D1142" t="inlineStr">
        <is>
          <t>JÄMTLANDS LÄN</t>
        </is>
      </c>
      <c r="E1142" t="inlineStr">
        <is>
          <t>KROKOM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47625-2023</t>
        </is>
      </c>
      <c r="B1143" s="1" t="n">
        <v>45203</v>
      </c>
      <c r="C1143" s="1" t="n">
        <v>45831</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47587-2023</t>
        </is>
      </c>
      <c r="B1144" s="1" t="n">
        <v>45203</v>
      </c>
      <c r="C1144" s="1" t="n">
        <v>45831</v>
      </c>
      <c r="D1144" t="inlineStr">
        <is>
          <t>JÄMTLANDS LÄN</t>
        </is>
      </c>
      <c r="E1144" t="inlineStr">
        <is>
          <t>KROKOM</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47606-2023</t>
        </is>
      </c>
      <c r="B1145" s="1" t="n">
        <v>45203</v>
      </c>
      <c r="C1145" s="1" t="n">
        <v>45831</v>
      </c>
      <c r="D1145" t="inlineStr">
        <is>
          <t>JÄMTLANDS LÄN</t>
        </is>
      </c>
      <c r="E1145" t="inlineStr">
        <is>
          <t>KROKOM</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47623-2023</t>
        </is>
      </c>
      <c r="B1146" s="1" t="n">
        <v>45203</v>
      </c>
      <c r="C1146" s="1" t="n">
        <v>45831</v>
      </c>
      <c r="D1146" t="inlineStr">
        <is>
          <t>JÄMTLANDS LÄN</t>
        </is>
      </c>
      <c r="E1146" t="inlineStr">
        <is>
          <t>KROKOM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47596-2023</t>
        </is>
      </c>
      <c r="B1147" s="1" t="n">
        <v>45203</v>
      </c>
      <c r="C1147" s="1" t="n">
        <v>45831</v>
      </c>
      <c r="D1147" t="inlineStr">
        <is>
          <t>JÄMTLANDS LÄN</t>
        </is>
      </c>
      <c r="E1147" t="inlineStr">
        <is>
          <t>KROKOM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47635-2023</t>
        </is>
      </c>
      <c r="B1148" s="1" t="n">
        <v>45203</v>
      </c>
      <c r="C1148" s="1" t="n">
        <v>45831</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47838-2023</t>
        </is>
      </c>
      <c r="B1149" s="1" t="n">
        <v>45204</v>
      </c>
      <c r="C1149" s="1" t="n">
        <v>45831</v>
      </c>
      <c r="D1149" t="inlineStr">
        <is>
          <t>JÄMTLANDS LÄN</t>
        </is>
      </c>
      <c r="E1149" t="inlineStr">
        <is>
          <t>KROKOM</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47850-2023</t>
        </is>
      </c>
      <c r="B1150" s="1" t="n">
        <v>45204</v>
      </c>
      <c r="C1150" s="1" t="n">
        <v>45831</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49380-2023</t>
        </is>
      </c>
      <c r="B1151" s="1" t="n">
        <v>45205</v>
      </c>
      <c r="C1151" s="1" t="n">
        <v>45831</v>
      </c>
      <c r="D1151" t="inlineStr">
        <is>
          <t>JÄMTLANDS LÄN</t>
        </is>
      </c>
      <c r="E1151" t="inlineStr">
        <is>
          <t>KROKOM</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49438-2023</t>
        </is>
      </c>
      <c r="B1152" s="1" t="n">
        <v>45205</v>
      </c>
      <c r="C1152" s="1" t="n">
        <v>45831</v>
      </c>
      <c r="D1152" t="inlineStr">
        <is>
          <t>JÄMTLANDS LÄN</t>
        </is>
      </c>
      <c r="E1152" t="inlineStr">
        <is>
          <t>KROKOM</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49536-2023</t>
        </is>
      </c>
      <c r="B1153" s="1" t="n">
        <v>45205</v>
      </c>
      <c r="C1153" s="1" t="n">
        <v>45831</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49046-2023</t>
        </is>
      </c>
      <c r="B1154" s="1" t="n">
        <v>45209</v>
      </c>
      <c r="C1154" s="1" t="n">
        <v>45831</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51050-2023</t>
        </is>
      </c>
      <c r="B1155" s="1" t="n">
        <v>45211</v>
      </c>
      <c r="C1155" s="1" t="n">
        <v>45831</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50227-2023</t>
        </is>
      </c>
      <c r="B1156" s="1" t="n">
        <v>45216</v>
      </c>
      <c r="C1156" s="1" t="n">
        <v>45831</v>
      </c>
      <c r="D1156" t="inlineStr">
        <is>
          <t>JÄMTLANDS LÄN</t>
        </is>
      </c>
      <c r="E1156" t="inlineStr">
        <is>
          <t>KROKOM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50216-2023</t>
        </is>
      </c>
      <c r="B1157" s="1" t="n">
        <v>45215</v>
      </c>
      <c r="C1157" s="1" t="n">
        <v>45831</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50228-2023</t>
        </is>
      </c>
      <c r="B1158" s="1" t="n">
        <v>45216</v>
      </c>
      <c r="C1158" s="1" t="n">
        <v>45831</v>
      </c>
      <c r="D1158" t="inlineStr">
        <is>
          <t>JÄMTLANDS LÄN</t>
        </is>
      </c>
      <c r="E1158" t="inlineStr">
        <is>
          <t>KROKOM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50270-2023</t>
        </is>
      </c>
      <c r="B1159" s="1" t="n">
        <v>45216</v>
      </c>
      <c r="C1159" s="1" t="n">
        <v>45831</v>
      </c>
      <c r="D1159" t="inlineStr">
        <is>
          <t>JÄMTLANDS LÄN</t>
        </is>
      </c>
      <c r="E1159" t="inlineStr">
        <is>
          <t>KROKOM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50493-2023</t>
        </is>
      </c>
      <c r="B1160" s="1" t="n">
        <v>45217</v>
      </c>
      <c r="C1160" s="1" t="n">
        <v>45831</v>
      </c>
      <c r="D1160" t="inlineStr">
        <is>
          <t>JÄMTLANDS LÄN</t>
        </is>
      </c>
      <c r="E1160" t="inlineStr">
        <is>
          <t>KROKOM</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50246-2023</t>
        </is>
      </c>
      <c r="B1161" s="1" t="n">
        <v>45216</v>
      </c>
      <c r="C1161" s="1" t="n">
        <v>45831</v>
      </c>
      <c r="D1161" t="inlineStr">
        <is>
          <t>JÄMTLANDS LÄN</t>
        </is>
      </c>
      <c r="E1161" t="inlineStr">
        <is>
          <t>KROKOM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50363-2023</t>
        </is>
      </c>
      <c r="B1162" s="1" t="n">
        <v>45216</v>
      </c>
      <c r="C1162" s="1" t="n">
        <v>45831</v>
      </c>
      <c r="D1162" t="inlineStr">
        <is>
          <t>JÄMTLANDS LÄN</t>
        </is>
      </c>
      <c r="E1162" t="inlineStr">
        <is>
          <t>KROKOM</t>
        </is>
      </c>
      <c r="F1162" t="inlineStr">
        <is>
          <t>Övriga Aktiebolag</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51929-2023</t>
        </is>
      </c>
      <c r="B1163" s="1" t="n">
        <v>45216</v>
      </c>
      <c r="C1163" s="1" t="n">
        <v>45831</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51910-2023</t>
        </is>
      </c>
      <c r="B1164" s="1" t="n">
        <v>45216</v>
      </c>
      <c r="C1164" s="1" t="n">
        <v>45831</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50606-2023</t>
        </is>
      </c>
      <c r="B1165" s="1" t="n">
        <v>45217</v>
      </c>
      <c r="C1165" s="1" t="n">
        <v>45831</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50782-2023</t>
        </is>
      </c>
      <c r="B1166" s="1" t="n">
        <v>45217</v>
      </c>
      <c r="C1166" s="1" t="n">
        <v>45831</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50787-2023</t>
        </is>
      </c>
      <c r="B1167" s="1" t="n">
        <v>45217</v>
      </c>
      <c r="C1167" s="1" t="n">
        <v>45831</v>
      </c>
      <c r="D1167" t="inlineStr">
        <is>
          <t>JÄMTLANDS LÄN</t>
        </is>
      </c>
      <c r="E1167" t="inlineStr">
        <is>
          <t>KROKOM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51816-2023</t>
        </is>
      </c>
      <c r="B1168" s="1" t="n">
        <v>45222</v>
      </c>
      <c r="C1168" s="1" t="n">
        <v>45831</v>
      </c>
      <c r="D1168" t="inlineStr">
        <is>
          <t>JÄMTLANDS LÄN</t>
        </is>
      </c>
      <c r="E1168" t="inlineStr">
        <is>
          <t>KROKOM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51817-2023</t>
        </is>
      </c>
      <c r="B1169" s="1" t="n">
        <v>45223</v>
      </c>
      <c r="C1169" s="1" t="n">
        <v>45831</v>
      </c>
      <c r="D1169" t="inlineStr">
        <is>
          <t>JÄMTLANDS LÄN</t>
        </is>
      </c>
      <c r="E1169" t="inlineStr">
        <is>
          <t>KROKOM</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51882-2023</t>
        </is>
      </c>
      <c r="B1170" s="1" t="n">
        <v>45223</v>
      </c>
      <c r="C1170" s="1" t="n">
        <v>45831</v>
      </c>
      <c r="D1170" t="inlineStr">
        <is>
          <t>JÄMTLANDS LÄN</t>
        </is>
      </c>
      <c r="E1170" t="inlineStr">
        <is>
          <t>KROKOM</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51916-2023</t>
        </is>
      </c>
      <c r="B1171" s="1" t="n">
        <v>45223</v>
      </c>
      <c r="C1171" s="1" t="n">
        <v>45831</v>
      </c>
      <c r="D1171" t="inlineStr">
        <is>
          <t>JÄMTLANDS LÄN</t>
        </is>
      </c>
      <c r="E1171" t="inlineStr">
        <is>
          <t>KROKOM</t>
        </is>
      </c>
      <c r="G1171" t="n">
        <v>14.6</v>
      </c>
      <c r="H1171" t="n">
        <v>0</v>
      </c>
      <c r="I1171" t="n">
        <v>0</v>
      </c>
      <c r="J1171" t="n">
        <v>0</v>
      </c>
      <c r="K1171" t="n">
        <v>0</v>
      </c>
      <c r="L1171" t="n">
        <v>0</v>
      </c>
      <c r="M1171" t="n">
        <v>0</v>
      </c>
      <c r="N1171" t="n">
        <v>0</v>
      </c>
      <c r="O1171" t="n">
        <v>0</v>
      </c>
      <c r="P1171" t="n">
        <v>0</v>
      </c>
      <c r="Q1171" t="n">
        <v>0</v>
      </c>
      <c r="R1171" s="2" t="inlineStr"/>
    </row>
    <row r="1172" ht="15" customHeight="1">
      <c r="A1172" t="inlineStr">
        <is>
          <t>A 53429-2023</t>
        </is>
      </c>
      <c r="B1172" s="1" t="n">
        <v>45223</v>
      </c>
      <c r="C1172" s="1" t="n">
        <v>45831</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52295-2023</t>
        </is>
      </c>
      <c r="B1173" s="1" t="n">
        <v>45224</v>
      </c>
      <c r="C1173" s="1" t="n">
        <v>45831</v>
      </c>
      <c r="D1173" t="inlineStr">
        <is>
          <t>JÄMTLANDS LÄN</t>
        </is>
      </c>
      <c r="E1173" t="inlineStr">
        <is>
          <t>KROKOM</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v>
      </c>
      <c r="C1174" s="1" t="n">
        <v>45831</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52599-2023</t>
        </is>
      </c>
      <c r="B1175" s="1" t="n">
        <v>45225</v>
      </c>
      <c r="C1175" s="1" t="n">
        <v>45831</v>
      </c>
      <c r="D1175" t="inlineStr">
        <is>
          <t>JÄMTLANDS LÄN</t>
        </is>
      </c>
      <c r="E1175" t="inlineStr">
        <is>
          <t>KROKOM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52604-2023</t>
        </is>
      </c>
      <c r="B1176" s="1" t="n">
        <v>45225</v>
      </c>
      <c r="C1176" s="1" t="n">
        <v>45831</v>
      </c>
      <c r="D1176" t="inlineStr">
        <is>
          <t>JÄMTLANDS LÄN</t>
        </is>
      </c>
      <c r="E1176" t="inlineStr">
        <is>
          <t>KROKOM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54514-2023</t>
        </is>
      </c>
      <c r="B1177" s="1" t="n">
        <v>45226</v>
      </c>
      <c r="C1177" s="1" t="n">
        <v>45831</v>
      </c>
      <c r="D1177" t="inlineStr">
        <is>
          <t>JÄMTLANDS LÄN</t>
        </is>
      </c>
      <c r="E1177" t="inlineStr">
        <is>
          <t>KROKOM</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52911-2023</t>
        </is>
      </c>
      <c r="B1178" s="1" t="n">
        <v>45226</v>
      </c>
      <c r="C1178" s="1" t="n">
        <v>45831</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53055-2023</t>
        </is>
      </c>
      <c r="B1179" s="1" t="n">
        <v>45226</v>
      </c>
      <c r="C1179" s="1" t="n">
        <v>45831</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54503-2023</t>
        </is>
      </c>
      <c r="B1180" s="1" t="n">
        <v>45226</v>
      </c>
      <c r="C1180" s="1" t="n">
        <v>45831</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52869-2023</t>
        </is>
      </c>
      <c r="B1181" s="1" t="n">
        <v>45226</v>
      </c>
      <c r="C1181" s="1" t="n">
        <v>45831</v>
      </c>
      <c r="D1181" t="inlineStr">
        <is>
          <t>JÄMTLANDS LÄN</t>
        </is>
      </c>
      <c r="E1181" t="inlineStr">
        <is>
          <t>KROKOM</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53908-2023</t>
        </is>
      </c>
      <c r="B1182" s="1" t="n">
        <v>45231</v>
      </c>
      <c r="C1182" s="1" t="n">
        <v>45831</v>
      </c>
      <c r="D1182" t="inlineStr">
        <is>
          <t>JÄMTLANDS LÄN</t>
        </is>
      </c>
      <c r="E1182" t="inlineStr">
        <is>
          <t>KROKOM</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53916-2023</t>
        </is>
      </c>
      <c r="B1183" s="1" t="n">
        <v>45231</v>
      </c>
      <c r="C1183" s="1" t="n">
        <v>45831</v>
      </c>
      <c r="D1183" t="inlineStr">
        <is>
          <t>JÄMTLANDS LÄN</t>
        </is>
      </c>
      <c r="E1183" t="inlineStr">
        <is>
          <t>KROKOM</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54043-2023</t>
        </is>
      </c>
      <c r="B1184" s="1" t="n">
        <v>45231</v>
      </c>
      <c r="C1184" s="1" t="n">
        <v>45831</v>
      </c>
      <c r="D1184" t="inlineStr">
        <is>
          <t>JÄMTLANDS LÄN</t>
        </is>
      </c>
      <c r="E1184" t="inlineStr">
        <is>
          <t>KROKOM</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54054-2023</t>
        </is>
      </c>
      <c r="B1185" s="1" t="n">
        <v>45232</v>
      </c>
      <c r="C1185" s="1" t="n">
        <v>45831</v>
      </c>
      <c r="D1185" t="inlineStr">
        <is>
          <t>JÄMTLANDS LÄN</t>
        </is>
      </c>
      <c r="E1185" t="inlineStr">
        <is>
          <t>KROKOM</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54058-2023</t>
        </is>
      </c>
      <c r="B1186" s="1" t="n">
        <v>45231</v>
      </c>
      <c r="C1186" s="1" t="n">
        <v>45831</v>
      </c>
      <c r="D1186" t="inlineStr">
        <is>
          <t>JÄMTLANDS LÄN</t>
        </is>
      </c>
      <c r="E1186" t="inlineStr">
        <is>
          <t>KROKOM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54062-2023</t>
        </is>
      </c>
      <c r="B1187" s="1" t="n">
        <v>45232</v>
      </c>
      <c r="C1187" s="1" t="n">
        <v>45831</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54056-2023</t>
        </is>
      </c>
      <c r="B1188" s="1" t="n">
        <v>45232</v>
      </c>
      <c r="C1188" s="1" t="n">
        <v>45831</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53901-2023</t>
        </is>
      </c>
      <c r="B1189" s="1" t="n">
        <v>45231</v>
      </c>
      <c r="C1189" s="1" t="n">
        <v>45831</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54057-2023</t>
        </is>
      </c>
      <c r="B1190" s="1" t="n">
        <v>45232</v>
      </c>
      <c r="C1190" s="1" t="n">
        <v>45831</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54160-2023</t>
        </is>
      </c>
      <c r="B1191" s="1" t="n">
        <v>45232</v>
      </c>
      <c r="C1191" s="1" t="n">
        <v>45831</v>
      </c>
      <c r="D1191" t="inlineStr">
        <is>
          <t>JÄMTLANDS LÄN</t>
        </is>
      </c>
      <c r="E1191" t="inlineStr">
        <is>
          <t>KROKOM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56177-2023</t>
        </is>
      </c>
      <c r="B1192" s="1" t="n">
        <v>45236</v>
      </c>
      <c r="C1192" s="1" t="n">
        <v>45831</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56171-2023</t>
        </is>
      </c>
      <c r="B1193" s="1" t="n">
        <v>45236</v>
      </c>
      <c r="C1193" s="1" t="n">
        <v>45831</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55645-2023</t>
        </is>
      </c>
      <c r="B1194" s="1" t="n">
        <v>45239</v>
      </c>
      <c r="C1194" s="1" t="n">
        <v>45831</v>
      </c>
      <c r="D1194" t="inlineStr">
        <is>
          <t>JÄMTLANDS LÄN</t>
        </is>
      </c>
      <c r="E1194" t="inlineStr">
        <is>
          <t>KROKOM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55661-2023</t>
        </is>
      </c>
      <c r="B1195" s="1" t="n">
        <v>45239</v>
      </c>
      <c r="C1195" s="1" t="n">
        <v>45831</v>
      </c>
      <c r="D1195" t="inlineStr">
        <is>
          <t>JÄMTLANDS LÄN</t>
        </is>
      </c>
      <c r="E1195" t="inlineStr">
        <is>
          <t>KROKOM</t>
        </is>
      </c>
      <c r="F1195" t="inlineStr">
        <is>
          <t>Kommuner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55660-2023</t>
        </is>
      </c>
      <c r="B1196" s="1" t="n">
        <v>45238</v>
      </c>
      <c r="C1196" s="1" t="n">
        <v>45831</v>
      </c>
      <c r="D1196" t="inlineStr">
        <is>
          <t>JÄMTLANDS LÄN</t>
        </is>
      </c>
      <c r="E1196" t="inlineStr">
        <is>
          <t>KROKOM</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56538-2023</t>
        </is>
      </c>
      <c r="B1197" s="1" t="n">
        <v>45238</v>
      </c>
      <c r="C1197" s="1" t="n">
        <v>45831</v>
      </c>
      <c r="D1197" t="inlineStr">
        <is>
          <t>JÄMTLANDS LÄN</t>
        </is>
      </c>
      <c r="E1197" t="inlineStr">
        <is>
          <t>KROKOM</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55914-2023</t>
        </is>
      </c>
      <c r="B1198" s="1" t="n">
        <v>45240</v>
      </c>
      <c r="C1198" s="1" t="n">
        <v>45831</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55693-2023</t>
        </is>
      </c>
      <c r="B1199" s="1" t="n">
        <v>45239</v>
      </c>
      <c r="C1199" s="1" t="n">
        <v>45831</v>
      </c>
      <c r="D1199" t="inlineStr">
        <is>
          <t>JÄMTLANDS LÄN</t>
        </is>
      </c>
      <c r="E1199" t="inlineStr">
        <is>
          <t>KROKOM</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55915-2023</t>
        </is>
      </c>
      <c r="B1200" s="1" t="n">
        <v>45240</v>
      </c>
      <c r="C1200" s="1" t="n">
        <v>45831</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57188-2023</t>
        </is>
      </c>
      <c r="B1201" s="1" t="n">
        <v>45239</v>
      </c>
      <c r="C1201" s="1" t="n">
        <v>45831</v>
      </c>
      <c r="D1201" t="inlineStr">
        <is>
          <t>JÄMTLANDS LÄN</t>
        </is>
      </c>
      <c r="E1201" t="inlineStr">
        <is>
          <t>KROKOM</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57257-2023</t>
        </is>
      </c>
      <c r="B1202" s="1" t="n">
        <v>45239</v>
      </c>
      <c r="C1202" s="1" t="n">
        <v>45831</v>
      </c>
      <c r="D1202" t="inlineStr">
        <is>
          <t>JÄMTLANDS LÄN</t>
        </is>
      </c>
      <c r="E1202" t="inlineStr">
        <is>
          <t>KROKOM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57266-2023</t>
        </is>
      </c>
      <c r="B1203" s="1" t="n">
        <v>45239</v>
      </c>
      <c r="C1203" s="1" t="n">
        <v>45831</v>
      </c>
      <c r="D1203" t="inlineStr">
        <is>
          <t>JÄMTLANDS LÄN</t>
        </is>
      </c>
      <c r="E1203" t="inlineStr">
        <is>
          <t>KROKOM</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57360-2023</t>
        </is>
      </c>
      <c r="B1204" s="1" t="n">
        <v>45240</v>
      </c>
      <c r="C1204" s="1" t="n">
        <v>45831</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56353-2023</t>
        </is>
      </c>
      <c r="B1205" s="1" t="n">
        <v>45243</v>
      </c>
      <c r="C1205" s="1" t="n">
        <v>45831</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56328-2023</t>
        </is>
      </c>
      <c r="B1206" s="1" t="n">
        <v>45243</v>
      </c>
      <c r="C1206" s="1" t="n">
        <v>45831</v>
      </c>
      <c r="D1206" t="inlineStr">
        <is>
          <t>JÄMTLANDS LÄN</t>
        </is>
      </c>
      <c r="E1206" t="inlineStr">
        <is>
          <t>KROKOM</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56694-2023</t>
        </is>
      </c>
      <c r="B1207" s="1" t="n">
        <v>45244</v>
      </c>
      <c r="C1207" s="1" t="n">
        <v>45831</v>
      </c>
      <c r="D1207" t="inlineStr">
        <is>
          <t>JÄMTLANDS LÄN</t>
        </is>
      </c>
      <c r="E1207" t="inlineStr">
        <is>
          <t>KROKOM</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56515-2023</t>
        </is>
      </c>
      <c r="B1208" s="1" t="n">
        <v>45243</v>
      </c>
      <c r="C1208" s="1" t="n">
        <v>45831</v>
      </c>
      <c r="D1208" t="inlineStr">
        <is>
          <t>JÄMTLANDS LÄN</t>
        </is>
      </c>
      <c r="E1208" t="inlineStr">
        <is>
          <t>KROKOM</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56601-2023</t>
        </is>
      </c>
      <c r="B1209" s="1" t="n">
        <v>45243</v>
      </c>
      <c r="C1209" s="1" t="n">
        <v>45831</v>
      </c>
      <c r="D1209" t="inlineStr">
        <is>
          <t>JÄMTLANDS LÄN</t>
        </is>
      </c>
      <c r="E1209" t="inlineStr">
        <is>
          <t>KROKOM</t>
        </is>
      </c>
      <c r="G1209" t="n">
        <v>16.8</v>
      </c>
      <c r="H1209" t="n">
        <v>0</v>
      </c>
      <c r="I1209" t="n">
        <v>0</v>
      </c>
      <c r="J1209" t="n">
        <v>0</v>
      </c>
      <c r="K1209" t="n">
        <v>0</v>
      </c>
      <c r="L1209" t="n">
        <v>0</v>
      </c>
      <c r="M1209" t="n">
        <v>0</v>
      </c>
      <c r="N1209" t="n">
        <v>0</v>
      </c>
      <c r="O1209" t="n">
        <v>0</v>
      </c>
      <c r="P1209" t="n">
        <v>0</v>
      </c>
      <c r="Q1209" t="n">
        <v>0</v>
      </c>
      <c r="R1209" s="2" t="inlineStr"/>
    </row>
    <row r="1210" ht="15" customHeight="1">
      <c r="A1210" t="inlineStr">
        <is>
          <t>A 56346-2023</t>
        </is>
      </c>
      <c r="B1210" s="1" t="n">
        <v>45243</v>
      </c>
      <c r="C1210" s="1" t="n">
        <v>45831</v>
      </c>
      <c r="D1210" t="inlineStr">
        <is>
          <t>JÄMTLANDS LÄN</t>
        </is>
      </c>
      <c r="E1210" t="inlineStr">
        <is>
          <t>KROKOM</t>
        </is>
      </c>
      <c r="G1210" t="n">
        <v>2.8</v>
      </c>
      <c r="H1210" t="n">
        <v>0</v>
      </c>
      <c r="I1210" t="n">
        <v>0</v>
      </c>
      <c r="J1210" t="n">
        <v>0</v>
      </c>
      <c r="K1210" t="n">
        <v>0</v>
      </c>
      <c r="L1210" t="n">
        <v>0</v>
      </c>
      <c r="M1210" t="n">
        <v>0</v>
      </c>
      <c r="N1210" t="n">
        <v>0</v>
      </c>
      <c r="O1210" t="n">
        <v>0</v>
      </c>
      <c r="P1210" t="n">
        <v>0</v>
      </c>
      <c r="Q1210" t="n">
        <v>0</v>
      </c>
      <c r="R1210" s="2" t="inlineStr"/>
      <c r="U1210">
        <f>HYPERLINK("https://klasma.github.io/Logging_2309/knärot/A 56346-2023 karta knärot.png", "A 56346-2023")</f>
        <v/>
      </c>
      <c r="V1210">
        <f>HYPERLINK("https://klasma.github.io/Logging_2309/klagomål/A 56346-2023 FSC-klagomål.docx", "A 56346-2023")</f>
        <v/>
      </c>
      <c r="W1210">
        <f>HYPERLINK("https://klasma.github.io/Logging_2309/klagomålsmail/A 56346-2023 FSC-klagomål mail.docx", "A 56346-2023")</f>
        <v/>
      </c>
      <c r="X1210">
        <f>HYPERLINK("https://klasma.github.io/Logging_2309/tillsyn/A 56346-2023 tillsynsbegäran.docx", "A 56346-2023")</f>
        <v/>
      </c>
      <c r="Y1210">
        <f>HYPERLINK("https://klasma.github.io/Logging_2309/tillsynsmail/A 56346-2023 tillsynsbegäran mail.docx", "A 56346-2023")</f>
        <v/>
      </c>
    </row>
    <row r="1211" ht="15" customHeight="1">
      <c r="A1211" t="inlineStr">
        <is>
          <t>A 56361-2023</t>
        </is>
      </c>
      <c r="B1211" s="1" t="n">
        <v>45243</v>
      </c>
      <c r="C1211" s="1" t="n">
        <v>45831</v>
      </c>
      <c r="D1211" t="inlineStr">
        <is>
          <t>JÄMTLANDS LÄN</t>
        </is>
      </c>
      <c r="E1211" t="inlineStr">
        <is>
          <t>KROKOM</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56546-2023</t>
        </is>
      </c>
      <c r="B1212" s="1" t="n">
        <v>45243</v>
      </c>
      <c r="C1212" s="1" t="n">
        <v>45831</v>
      </c>
      <c r="D1212" t="inlineStr">
        <is>
          <t>JÄMTLANDS LÄN</t>
        </is>
      </c>
      <c r="E1212" t="inlineStr">
        <is>
          <t>KROKOM</t>
        </is>
      </c>
      <c r="G1212" t="n">
        <v>19.9</v>
      </c>
      <c r="H1212" t="n">
        <v>0</v>
      </c>
      <c r="I1212" t="n">
        <v>0</v>
      </c>
      <c r="J1212" t="n">
        <v>0</v>
      </c>
      <c r="K1212" t="n">
        <v>0</v>
      </c>
      <c r="L1212" t="n">
        <v>0</v>
      </c>
      <c r="M1212" t="n">
        <v>0</v>
      </c>
      <c r="N1212" t="n">
        <v>0</v>
      </c>
      <c r="O1212" t="n">
        <v>0</v>
      </c>
      <c r="P1212" t="n">
        <v>0</v>
      </c>
      <c r="Q1212" t="n">
        <v>0</v>
      </c>
      <c r="R1212" s="2" t="inlineStr"/>
    </row>
    <row r="1213" ht="15" customHeight="1">
      <c r="A1213" t="inlineStr">
        <is>
          <t>A 56927-2023</t>
        </is>
      </c>
      <c r="B1213" s="1" t="n">
        <v>45244</v>
      </c>
      <c r="C1213" s="1" t="n">
        <v>45831</v>
      </c>
      <c r="D1213" t="inlineStr">
        <is>
          <t>JÄMTLANDS LÄN</t>
        </is>
      </c>
      <c r="E1213" t="inlineStr">
        <is>
          <t>KROKOM</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56924-2023</t>
        </is>
      </c>
      <c r="B1214" s="1" t="n">
        <v>45244</v>
      </c>
      <c r="C1214" s="1" t="n">
        <v>45831</v>
      </c>
      <c r="D1214" t="inlineStr">
        <is>
          <t>JÄMTLANDS LÄN</t>
        </is>
      </c>
      <c r="E1214" t="inlineStr">
        <is>
          <t>KROKOM</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56932-2023</t>
        </is>
      </c>
      <c r="B1215" s="1" t="n">
        <v>45244</v>
      </c>
      <c r="C1215" s="1" t="n">
        <v>45831</v>
      </c>
      <c r="D1215" t="inlineStr">
        <is>
          <t>JÄMTLANDS LÄN</t>
        </is>
      </c>
      <c r="E1215" t="inlineStr">
        <is>
          <t>KROKOM</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56936-2023</t>
        </is>
      </c>
      <c r="B1216" s="1" t="n">
        <v>45244</v>
      </c>
      <c r="C1216" s="1" t="n">
        <v>45831</v>
      </c>
      <c r="D1216" t="inlineStr">
        <is>
          <t>JÄMTLANDS LÄN</t>
        </is>
      </c>
      <c r="E1216" t="inlineStr">
        <is>
          <t>KROKOM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57239-2023</t>
        </is>
      </c>
      <c r="B1217" s="1" t="n">
        <v>45245</v>
      </c>
      <c r="C1217" s="1" t="n">
        <v>45831</v>
      </c>
      <c r="D1217" t="inlineStr">
        <is>
          <t>JÄMTLANDS LÄN</t>
        </is>
      </c>
      <c r="E1217" t="inlineStr">
        <is>
          <t>KROKOM</t>
        </is>
      </c>
      <c r="F1217" t="inlineStr">
        <is>
          <t>Övriga Aktiebolag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57259-2023</t>
        </is>
      </c>
      <c r="B1218" s="1" t="n">
        <v>45245</v>
      </c>
      <c r="C1218" s="1" t="n">
        <v>45831</v>
      </c>
      <c r="D1218" t="inlineStr">
        <is>
          <t>JÄMTLANDS LÄN</t>
        </is>
      </c>
      <c r="E1218" t="inlineStr">
        <is>
          <t>KROKOM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57149-2023</t>
        </is>
      </c>
      <c r="B1219" s="1" t="n">
        <v>45245</v>
      </c>
      <c r="C1219" s="1" t="n">
        <v>45831</v>
      </c>
      <c r="D1219" t="inlineStr">
        <is>
          <t>JÄMTLANDS LÄN</t>
        </is>
      </c>
      <c r="E1219" t="inlineStr">
        <is>
          <t>KROKOM</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57402-2023</t>
        </is>
      </c>
      <c r="B1220" s="1" t="n">
        <v>45246</v>
      </c>
      <c r="C1220" s="1" t="n">
        <v>45831</v>
      </c>
      <c r="D1220" t="inlineStr">
        <is>
          <t>JÄMTLANDS LÄN</t>
        </is>
      </c>
      <c r="E1220" t="inlineStr">
        <is>
          <t>KROKOM</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57401-2023</t>
        </is>
      </c>
      <c r="B1221" s="1" t="n">
        <v>45246</v>
      </c>
      <c r="C1221" s="1" t="n">
        <v>45831</v>
      </c>
      <c r="D1221" t="inlineStr">
        <is>
          <t>JÄMTLANDS LÄN</t>
        </is>
      </c>
      <c r="E1221" t="inlineStr">
        <is>
          <t>KROKOM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57514-2023</t>
        </is>
      </c>
      <c r="B1222" s="1" t="n">
        <v>45246</v>
      </c>
      <c r="C1222" s="1" t="n">
        <v>45831</v>
      </c>
      <c r="D1222" t="inlineStr">
        <is>
          <t>JÄMTLANDS LÄN</t>
        </is>
      </c>
      <c r="E1222" t="inlineStr">
        <is>
          <t>KROKOM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57782-2023</t>
        </is>
      </c>
      <c r="B1223" s="1" t="n">
        <v>45246</v>
      </c>
      <c r="C1223" s="1" t="n">
        <v>45831</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58569-2023</t>
        </is>
      </c>
      <c r="B1224" s="1" t="n">
        <v>45246</v>
      </c>
      <c r="C1224" s="1" t="n">
        <v>45831</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58556-2023</t>
        </is>
      </c>
      <c r="B1225" s="1" t="n">
        <v>45246</v>
      </c>
      <c r="C1225" s="1" t="n">
        <v>45831</v>
      </c>
      <c r="D1225" t="inlineStr">
        <is>
          <t>JÄMTLANDS LÄN</t>
        </is>
      </c>
      <c r="E1225" t="inlineStr">
        <is>
          <t>KROKOM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58594-2023</t>
        </is>
      </c>
      <c r="B1226" s="1" t="n">
        <v>45246</v>
      </c>
      <c r="C1226" s="1" t="n">
        <v>45831</v>
      </c>
      <c r="D1226" t="inlineStr">
        <is>
          <t>JÄMTLANDS LÄN</t>
        </is>
      </c>
      <c r="E1226" t="inlineStr">
        <is>
          <t>KROKOM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58563-2023</t>
        </is>
      </c>
      <c r="B1227" s="1" t="n">
        <v>45246</v>
      </c>
      <c r="C1227" s="1" t="n">
        <v>45831</v>
      </c>
      <c r="D1227" t="inlineStr">
        <is>
          <t>JÄMTLANDS LÄN</t>
        </is>
      </c>
      <c r="E1227" t="inlineStr">
        <is>
          <t>KROKOM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57820-2023</t>
        </is>
      </c>
      <c r="B1228" s="1" t="n">
        <v>45247</v>
      </c>
      <c r="C1228" s="1" t="n">
        <v>45831</v>
      </c>
      <c r="D1228" t="inlineStr">
        <is>
          <t>JÄMTLANDS LÄN</t>
        </is>
      </c>
      <c r="E1228" t="inlineStr">
        <is>
          <t>KROKOM</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57847-2023</t>
        </is>
      </c>
      <c r="B1229" s="1" t="n">
        <v>45247</v>
      </c>
      <c r="C1229" s="1" t="n">
        <v>45831</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57814-2023</t>
        </is>
      </c>
      <c r="B1230" s="1" t="n">
        <v>45247</v>
      </c>
      <c r="C1230" s="1" t="n">
        <v>45831</v>
      </c>
      <c r="D1230" t="inlineStr">
        <is>
          <t>JÄMTLANDS LÄN</t>
        </is>
      </c>
      <c r="E1230" t="inlineStr">
        <is>
          <t>KROKOM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57856-2023</t>
        </is>
      </c>
      <c r="B1231" s="1" t="n">
        <v>45247</v>
      </c>
      <c r="C1231" s="1" t="n">
        <v>45831</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57861-2023</t>
        </is>
      </c>
      <c r="B1232" s="1" t="n">
        <v>45247</v>
      </c>
      <c r="C1232" s="1" t="n">
        <v>45831</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57849-2023</t>
        </is>
      </c>
      <c r="B1233" s="1" t="n">
        <v>45247</v>
      </c>
      <c r="C1233" s="1" t="n">
        <v>45831</v>
      </c>
      <c r="D1233" t="inlineStr">
        <is>
          <t>JÄMTLANDS LÄN</t>
        </is>
      </c>
      <c r="E1233" t="inlineStr">
        <is>
          <t>KROKOM</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58355-2023</t>
        </is>
      </c>
      <c r="B1234" s="1" t="n">
        <v>45250</v>
      </c>
      <c r="C1234" s="1" t="n">
        <v>45831</v>
      </c>
      <c r="D1234" t="inlineStr">
        <is>
          <t>JÄMTLANDS LÄN</t>
        </is>
      </c>
      <c r="E1234" t="inlineStr">
        <is>
          <t>KROKOM</t>
        </is>
      </c>
      <c r="F1234" t="inlineStr">
        <is>
          <t>Övriga Aktiebolag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58264-2023</t>
        </is>
      </c>
      <c r="B1235" s="1" t="n">
        <v>45250</v>
      </c>
      <c r="C1235" s="1" t="n">
        <v>45831</v>
      </c>
      <c r="D1235" t="inlineStr">
        <is>
          <t>JÄMTLANDS LÄN</t>
        </is>
      </c>
      <c r="E1235" t="inlineStr">
        <is>
          <t>KROKOM</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58677-2023</t>
        </is>
      </c>
      <c r="B1236" s="1" t="n">
        <v>45251</v>
      </c>
      <c r="C1236" s="1" t="n">
        <v>45831</v>
      </c>
      <c r="D1236" t="inlineStr">
        <is>
          <t>JÄMTLANDS LÄN</t>
        </is>
      </c>
      <c r="E1236" t="inlineStr">
        <is>
          <t>KROKOM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58942-2023</t>
        </is>
      </c>
      <c r="B1237" s="1" t="n">
        <v>45252</v>
      </c>
      <c r="C1237" s="1" t="n">
        <v>45831</v>
      </c>
      <c r="D1237" t="inlineStr">
        <is>
          <t>JÄMTLANDS LÄN</t>
        </is>
      </c>
      <c r="E1237" t="inlineStr">
        <is>
          <t>KROKOM</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58798-2023</t>
        </is>
      </c>
      <c r="B1238" s="1" t="n">
        <v>45252</v>
      </c>
      <c r="C1238" s="1" t="n">
        <v>45831</v>
      </c>
      <c r="D1238" t="inlineStr">
        <is>
          <t>JÄMTLANDS LÄN</t>
        </is>
      </c>
      <c r="E1238" t="inlineStr">
        <is>
          <t>KROKOM</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59031-2023</t>
        </is>
      </c>
      <c r="B1239" s="1" t="n">
        <v>45252</v>
      </c>
      <c r="C1239" s="1" t="n">
        <v>45831</v>
      </c>
      <c r="D1239" t="inlineStr">
        <is>
          <t>JÄMTLANDS LÄN</t>
        </is>
      </c>
      <c r="E1239" t="inlineStr">
        <is>
          <t>KROKOM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59293-2023</t>
        </is>
      </c>
      <c r="B1240" s="1" t="n">
        <v>45253</v>
      </c>
      <c r="C1240" s="1" t="n">
        <v>45831</v>
      </c>
      <c r="D1240" t="inlineStr">
        <is>
          <t>JÄMTLANDS LÄN</t>
        </is>
      </c>
      <c r="E1240" t="inlineStr">
        <is>
          <t>KROKOM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59622-2023</t>
        </is>
      </c>
      <c r="B1241" s="1" t="n">
        <v>45254</v>
      </c>
      <c r="C1241" s="1" t="n">
        <v>45831</v>
      </c>
      <c r="D1241" t="inlineStr">
        <is>
          <t>JÄMTLANDS LÄN</t>
        </is>
      </c>
      <c r="E1241" t="inlineStr">
        <is>
          <t>KROKOM</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59668-2023</t>
        </is>
      </c>
      <c r="B1242" s="1" t="n">
        <v>45254</v>
      </c>
      <c r="C1242" s="1" t="n">
        <v>45831</v>
      </c>
      <c r="D1242" t="inlineStr">
        <is>
          <t>JÄMTLANDS LÄN</t>
        </is>
      </c>
      <c r="E1242" t="inlineStr">
        <is>
          <t>KROKOM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59819-2023</t>
        </is>
      </c>
      <c r="B1243" s="1" t="n">
        <v>45257</v>
      </c>
      <c r="C1243" s="1" t="n">
        <v>45831</v>
      </c>
      <c r="D1243" t="inlineStr">
        <is>
          <t>JÄMTLANDS LÄN</t>
        </is>
      </c>
      <c r="E1243" t="inlineStr">
        <is>
          <t>KROKOM</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59843-2023</t>
        </is>
      </c>
      <c r="B1244" s="1" t="n">
        <v>45257</v>
      </c>
      <c r="C1244" s="1" t="n">
        <v>45831</v>
      </c>
      <c r="D1244" t="inlineStr">
        <is>
          <t>JÄMTLANDS LÄN</t>
        </is>
      </c>
      <c r="E1244" t="inlineStr">
        <is>
          <t>KROKOM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59973-2023</t>
        </is>
      </c>
      <c r="B1245" s="1" t="n">
        <v>45257</v>
      </c>
      <c r="C1245" s="1" t="n">
        <v>45831</v>
      </c>
      <c r="D1245" t="inlineStr">
        <is>
          <t>JÄMTLANDS LÄN</t>
        </is>
      </c>
      <c r="E1245" t="inlineStr">
        <is>
          <t>KROKOM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60006-2023</t>
        </is>
      </c>
      <c r="B1246" s="1" t="n">
        <v>45258</v>
      </c>
      <c r="C1246" s="1" t="n">
        <v>45831</v>
      </c>
      <c r="D1246" t="inlineStr">
        <is>
          <t>JÄMTLANDS LÄN</t>
        </is>
      </c>
      <c r="E1246" t="inlineStr">
        <is>
          <t>KROKOM</t>
        </is>
      </c>
      <c r="F1246" t="inlineStr">
        <is>
          <t>Kommuner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60102-2023</t>
        </is>
      </c>
      <c r="B1247" s="1" t="n">
        <v>45257</v>
      </c>
      <c r="C1247" s="1" t="n">
        <v>45831</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59828-2023</t>
        </is>
      </c>
      <c r="B1248" s="1" t="n">
        <v>45257</v>
      </c>
      <c r="C1248" s="1" t="n">
        <v>45831</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60007-2023</t>
        </is>
      </c>
      <c r="B1249" s="1" t="n">
        <v>45258</v>
      </c>
      <c r="C1249" s="1" t="n">
        <v>45831</v>
      </c>
      <c r="D1249" t="inlineStr">
        <is>
          <t>JÄMTLANDS LÄN</t>
        </is>
      </c>
      <c r="E1249" t="inlineStr">
        <is>
          <t>KROKOM</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60333-2023</t>
        </is>
      </c>
      <c r="B1250" s="1" t="n">
        <v>45258</v>
      </c>
      <c r="C1250" s="1" t="n">
        <v>45831</v>
      </c>
      <c r="D1250" t="inlineStr">
        <is>
          <t>JÄMTLANDS LÄN</t>
        </is>
      </c>
      <c r="E1250" t="inlineStr">
        <is>
          <t>KROKOM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60364-2023</t>
        </is>
      </c>
      <c r="B1251" s="1" t="n">
        <v>45259</v>
      </c>
      <c r="C1251" s="1" t="n">
        <v>45831</v>
      </c>
      <c r="D1251" t="inlineStr">
        <is>
          <t>JÄMTLANDS LÄN</t>
        </is>
      </c>
      <c r="E1251" t="inlineStr">
        <is>
          <t>KROKOM</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60680-2023</t>
        </is>
      </c>
      <c r="B1252" s="1" t="n">
        <v>45260</v>
      </c>
      <c r="C1252" s="1" t="n">
        <v>45831</v>
      </c>
      <c r="D1252" t="inlineStr">
        <is>
          <t>JÄMTLANDS LÄN</t>
        </is>
      </c>
      <c r="E1252" t="inlineStr">
        <is>
          <t>KROKOM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61078-2023</t>
        </is>
      </c>
      <c r="B1253" s="1" t="n">
        <v>45261</v>
      </c>
      <c r="C1253" s="1" t="n">
        <v>45831</v>
      </c>
      <c r="D1253" t="inlineStr">
        <is>
          <t>JÄMTLANDS LÄN</t>
        </is>
      </c>
      <c r="E1253" t="inlineStr">
        <is>
          <t>KROKOM</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61337-2023</t>
        </is>
      </c>
      <c r="B1254" s="1" t="n">
        <v>45264</v>
      </c>
      <c r="C1254" s="1" t="n">
        <v>45831</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61329-2023</t>
        </is>
      </c>
      <c r="B1255" s="1" t="n">
        <v>45264</v>
      </c>
      <c r="C1255" s="1" t="n">
        <v>45831</v>
      </c>
      <c r="D1255" t="inlineStr">
        <is>
          <t>JÄMTLANDS LÄN</t>
        </is>
      </c>
      <c r="E1255" t="inlineStr">
        <is>
          <t>KROKOM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61886-2023</t>
        </is>
      </c>
      <c r="B1256" s="1" t="n">
        <v>45264</v>
      </c>
      <c r="C1256" s="1" t="n">
        <v>45831</v>
      </c>
      <c r="D1256" t="inlineStr">
        <is>
          <t>JÄMTLANDS LÄN</t>
        </is>
      </c>
      <c r="E1256" t="inlineStr">
        <is>
          <t>KROKOM</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61615-2023</t>
        </is>
      </c>
      <c r="B1257" s="1" t="n">
        <v>45265</v>
      </c>
      <c r="C1257" s="1" t="n">
        <v>45831</v>
      </c>
      <c r="D1257" t="inlineStr">
        <is>
          <t>JÄMTLANDS LÄN</t>
        </is>
      </c>
      <c r="E1257" t="inlineStr">
        <is>
          <t>KROKOM</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62042-2023</t>
        </is>
      </c>
      <c r="B1258" s="1" t="n">
        <v>45265</v>
      </c>
      <c r="C1258" s="1" t="n">
        <v>45831</v>
      </c>
      <c r="D1258" t="inlineStr">
        <is>
          <t>JÄMTLANDS LÄN</t>
        </is>
      </c>
      <c r="E1258" t="inlineStr">
        <is>
          <t>KROKOM</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62058-2023</t>
        </is>
      </c>
      <c r="B1259" s="1" t="n">
        <v>45265</v>
      </c>
      <c r="C1259" s="1" t="n">
        <v>45831</v>
      </c>
      <c r="D1259" t="inlineStr">
        <is>
          <t>JÄMTLANDS LÄN</t>
        </is>
      </c>
      <c r="E1259" t="inlineStr">
        <is>
          <t>KROKOM</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62117-2023</t>
        </is>
      </c>
      <c r="B1260" s="1" t="n">
        <v>45266</v>
      </c>
      <c r="C1260" s="1" t="n">
        <v>45831</v>
      </c>
      <c r="D1260" t="inlineStr">
        <is>
          <t>JÄMTLANDS LÄN</t>
        </is>
      </c>
      <c r="E1260" t="inlineStr">
        <is>
          <t>KROKOM</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62413-2023</t>
        </is>
      </c>
      <c r="B1261" s="1" t="n">
        <v>45266</v>
      </c>
      <c r="C1261" s="1" t="n">
        <v>45831</v>
      </c>
      <c r="D1261" t="inlineStr">
        <is>
          <t>JÄMTLANDS LÄN</t>
        </is>
      </c>
      <c r="E1261" t="inlineStr">
        <is>
          <t>KROKOM</t>
        </is>
      </c>
      <c r="G1261" t="n">
        <v>12.8</v>
      </c>
      <c r="H1261" t="n">
        <v>0</v>
      </c>
      <c r="I1261" t="n">
        <v>0</v>
      </c>
      <c r="J1261" t="n">
        <v>0</v>
      </c>
      <c r="K1261" t="n">
        <v>0</v>
      </c>
      <c r="L1261" t="n">
        <v>0</v>
      </c>
      <c r="M1261" t="n">
        <v>0</v>
      </c>
      <c r="N1261" t="n">
        <v>0</v>
      </c>
      <c r="O1261" t="n">
        <v>0</v>
      </c>
      <c r="P1261" t="n">
        <v>0</v>
      </c>
      <c r="Q1261" t="n">
        <v>0</v>
      </c>
      <c r="R1261" s="2" t="inlineStr"/>
    </row>
    <row r="1262" ht="15" customHeight="1">
      <c r="A1262" t="inlineStr">
        <is>
          <t>A 62929-2023</t>
        </is>
      </c>
      <c r="B1262" s="1" t="n">
        <v>45271</v>
      </c>
      <c r="C1262" s="1" t="n">
        <v>45831</v>
      </c>
      <c r="D1262" t="inlineStr">
        <is>
          <t>JÄMTLANDS LÄN</t>
        </is>
      </c>
      <c r="E1262" t="inlineStr">
        <is>
          <t>KROKOM</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63165-2023</t>
        </is>
      </c>
      <c r="B1263" s="1" t="n">
        <v>45272</v>
      </c>
      <c r="C1263" s="1" t="n">
        <v>45831</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63533-2023</t>
        </is>
      </c>
      <c r="B1264" s="1" t="n">
        <v>45274</v>
      </c>
      <c r="C1264" s="1" t="n">
        <v>45831</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63313-2023</t>
        </is>
      </c>
      <c r="B1265" s="1" t="n">
        <v>45274</v>
      </c>
      <c r="C1265" s="1" t="n">
        <v>45831</v>
      </c>
      <c r="D1265" t="inlineStr">
        <is>
          <t>JÄMTLANDS LÄN</t>
        </is>
      </c>
      <c r="E1265" t="inlineStr">
        <is>
          <t>KROKOM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63532-2023</t>
        </is>
      </c>
      <c r="B1266" s="1" t="n">
        <v>45274</v>
      </c>
      <c r="C1266" s="1" t="n">
        <v>45831</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63960-2023</t>
        </is>
      </c>
      <c r="B1267" s="1" t="n">
        <v>45278</v>
      </c>
      <c r="C1267" s="1" t="n">
        <v>45831</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64163-2023</t>
        </is>
      </c>
      <c r="B1268" s="1" t="n">
        <v>45279</v>
      </c>
      <c r="C1268" s="1" t="n">
        <v>45831</v>
      </c>
      <c r="D1268" t="inlineStr">
        <is>
          <t>JÄMTLANDS LÄN</t>
        </is>
      </c>
      <c r="E1268" t="inlineStr">
        <is>
          <t>KROKOM</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64174-2023</t>
        </is>
      </c>
      <c r="B1269" s="1" t="n">
        <v>45279</v>
      </c>
      <c r="C1269" s="1" t="n">
        <v>45831</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64273-2023</t>
        </is>
      </c>
      <c r="B1270" s="1" t="n">
        <v>45279</v>
      </c>
      <c r="C1270" s="1" t="n">
        <v>45831</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64662-2023</t>
        </is>
      </c>
      <c r="B1271" s="1" t="n">
        <v>45281</v>
      </c>
      <c r="C1271" s="1" t="n">
        <v>45831</v>
      </c>
      <c r="D1271" t="inlineStr">
        <is>
          <t>JÄMTLANDS LÄN</t>
        </is>
      </c>
      <c r="E1271" t="inlineStr">
        <is>
          <t>KROKOM</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64768-2023</t>
        </is>
      </c>
      <c r="B1272" s="1" t="n">
        <v>45282</v>
      </c>
      <c r="C1272" s="1" t="n">
        <v>45831</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64764-2023</t>
        </is>
      </c>
      <c r="B1273" s="1" t="n">
        <v>45282</v>
      </c>
      <c r="C1273" s="1" t="n">
        <v>45831</v>
      </c>
      <c r="D1273" t="inlineStr">
        <is>
          <t>JÄMTLANDS LÄN</t>
        </is>
      </c>
      <c r="E1273" t="inlineStr">
        <is>
          <t>KROKOM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65236-2023</t>
        </is>
      </c>
      <c r="B1274" s="1" t="n">
        <v>45289</v>
      </c>
      <c r="C1274" s="1" t="n">
        <v>45831</v>
      </c>
      <c r="D1274" t="inlineStr">
        <is>
          <t>JÄMTLANDS LÄN</t>
        </is>
      </c>
      <c r="E1274" t="inlineStr">
        <is>
          <t>KROKOM</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417-2024</t>
        </is>
      </c>
      <c r="B1275" s="1" t="n">
        <v>45296</v>
      </c>
      <c r="C1275" s="1" t="n">
        <v>45831</v>
      </c>
      <c r="D1275" t="inlineStr">
        <is>
          <t>JÄMTLANDS LÄN</t>
        </is>
      </c>
      <c r="E1275" t="inlineStr">
        <is>
          <t>KROKOM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704-2024</t>
        </is>
      </c>
      <c r="B1276" s="1" t="n">
        <v>45300</v>
      </c>
      <c r="C1276" s="1" t="n">
        <v>45831</v>
      </c>
      <c r="D1276" t="inlineStr">
        <is>
          <t>JÄMTLANDS LÄN</t>
        </is>
      </c>
      <c r="E1276" t="inlineStr">
        <is>
          <t>KROKOM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785-2024</t>
        </is>
      </c>
      <c r="B1277" s="1" t="n">
        <v>45300</v>
      </c>
      <c r="C1277" s="1" t="n">
        <v>45831</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773-2024</t>
        </is>
      </c>
      <c r="B1278" s="1" t="n">
        <v>45300</v>
      </c>
      <c r="C1278" s="1" t="n">
        <v>45831</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739-2024</t>
        </is>
      </c>
      <c r="B1279" s="1" t="n">
        <v>45300</v>
      </c>
      <c r="C1279" s="1" t="n">
        <v>45831</v>
      </c>
      <c r="D1279" t="inlineStr">
        <is>
          <t>JÄMTLANDS LÄN</t>
        </is>
      </c>
      <c r="E1279" t="inlineStr">
        <is>
          <t>KROKOM</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715-2024</t>
        </is>
      </c>
      <c r="B1280" s="1" t="n">
        <v>45300</v>
      </c>
      <c r="C1280" s="1" t="n">
        <v>45831</v>
      </c>
      <c r="D1280" t="inlineStr">
        <is>
          <t>JÄMTLANDS LÄN</t>
        </is>
      </c>
      <c r="E1280" t="inlineStr">
        <is>
          <t>KROKOM</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1109-2024</t>
        </is>
      </c>
      <c r="B1281" s="1" t="n">
        <v>45302</v>
      </c>
      <c r="C1281" s="1" t="n">
        <v>45831</v>
      </c>
      <c r="D1281" t="inlineStr">
        <is>
          <t>JÄMTLANDS LÄN</t>
        </is>
      </c>
      <c r="E1281" t="inlineStr">
        <is>
          <t>KROKOM</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1464-2024</t>
        </is>
      </c>
      <c r="B1282" s="1" t="n">
        <v>45304</v>
      </c>
      <c r="C1282" s="1" t="n">
        <v>45831</v>
      </c>
      <c r="D1282" t="inlineStr">
        <is>
          <t>JÄMTLANDS LÄN</t>
        </is>
      </c>
      <c r="E1282" t="inlineStr">
        <is>
          <t>KROKOM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1556-2024</t>
        </is>
      </c>
      <c r="B1283" s="1" t="n">
        <v>45306</v>
      </c>
      <c r="C1283" s="1" t="n">
        <v>45831</v>
      </c>
      <c r="D1283" t="inlineStr">
        <is>
          <t>JÄMTLANDS LÄN</t>
        </is>
      </c>
      <c r="E1283" t="inlineStr">
        <is>
          <t>KROKOM</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2017-2024</t>
        </is>
      </c>
      <c r="B1284" s="1" t="n">
        <v>45308</v>
      </c>
      <c r="C1284" s="1" t="n">
        <v>45831</v>
      </c>
      <c r="D1284" t="inlineStr">
        <is>
          <t>JÄMTLANDS LÄN</t>
        </is>
      </c>
      <c r="E1284" t="inlineStr">
        <is>
          <t>KROKOM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2237-2024</t>
        </is>
      </c>
      <c r="B1285" s="1" t="n">
        <v>45309</v>
      </c>
      <c r="C1285" s="1" t="n">
        <v>45831</v>
      </c>
      <c r="D1285" t="inlineStr">
        <is>
          <t>JÄMTLANDS LÄN</t>
        </is>
      </c>
      <c r="E1285" t="inlineStr">
        <is>
          <t>KROKOM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2238-2024</t>
        </is>
      </c>
      <c r="B1286" s="1" t="n">
        <v>45309</v>
      </c>
      <c r="C1286" s="1" t="n">
        <v>45831</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2236-2024</t>
        </is>
      </c>
      <c r="B1287" s="1" t="n">
        <v>45309</v>
      </c>
      <c r="C1287" s="1" t="n">
        <v>45831</v>
      </c>
      <c r="D1287" t="inlineStr">
        <is>
          <t>JÄMTLANDS LÄN</t>
        </is>
      </c>
      <c r="E1287" t="inlineStr">
        <is>
          <t>KROKOM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2257-2024</t>
        </is>
      </c>
      <c r="B1288" s="1" t="n">
        <v>45310</v>
      </c>
      <c r="C1288" s="1" t="n">
        <v>45831</v>
      </c>
      <c r="D1288" t="inlineStr">
        <is>
          <t>JÄMTLANDS LÄN</t>
        </is>
      </c>
      <c r="E1288" t="inlineStr">
        <is>
          <t>KROKOM</t>
        </is>
      </c>
      <c r="G1288" t="n">
        <v>14.5</v>
      </c>
      <c r="H1288" t="n">
        <v>0</v>
      </c>
      <c r="I1288" t="n">
        <v>0</v>
      </c>
      <c r="J1288" t="n">
        <v>0</v>
      </c>
      <c r="K1288" t="n">
        <v>0</v>
      </c>
      <c r="L1288" t="n">
        <v>0</v>
      </c>
      <c r="M1288" t="n">
        <v>0</v>
      </c>
      <c r="N1288" t="n">
        <v>0</v>
      </c>
      <c r="O1288" t="n">
        <v>0</v>
      </c>
      <c r="P1288" t="n">
        <v>0</v>
      </c>
      <c r="Q1288" t="n">
        <v>0</v>
      </c>
      <c r="R1288" s="2" t="inlineStr"/>
    </row>
    <row r="1289" ht="15" customHeight="1">
      <c r="A1289" t="inlineStr">
        <is>
          <t>A 2628-2024</t>
        </is>
      </c>
      <c r="B1289" s="1" t="n">
        <v>45313</v>
      </c>
      <c r="C1289" s="1" t="n">
        <v>45831</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2775-2024</t>
        </is>
      </c>
      <c r="B1290" s="1" t="n">
        <v>45314</v>
      </c>
      <c r="C1290" s="1" t="n">
        <v>45831</v>
      </c>
      <c r="D1290" t="inlineStr">
        <is>
          <t>JÄMTLANDS LÄN</t>
        </is>
      </c>
      <c r="E1290" t="inlineStr">
        <is>
          <t>KROKOM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3188-2024</t>
        </is>
      </c>
      <c r="B1291" s="1" t="n">
        <v>45316</v>
      </c>
      <c r="C1291" s="1" t="n">
        <v>45831</v>
      </c>
      <c r="D1291" t="inlineStr">
        <is>
          <t>JÄMTLANDS LÄN</t>
        </is>
      </c>
      <c r="E1291" t="inlineStr">
        <is>
          <t>KROKOM</t>
        </is>
      </c>
      <c r="G1291" t="n">
        <v>24.9</v>
      </c>
      <c r="H1291" t="n">
        <v>0</v>
      </c>
      <c r="I1291" t="n">
        <v>0</v>
      </c>
      <c r="J1291" t="n">
        <v>0</v>
      </c>
      <c r="K1291" t="n">
        <v>0</v>
      </c>
      <c r="L1291" t="n">
        <v>0</v>
      </c>
      <c r="M1291" t="n">
        <v>0</v>
      </c>
      <c r="N1291" t="n">
        <v>0</v>
      </c>
      <c r="O1291" t="n">
        <v>0</v>
      </c>
      <c r="P1291" t="n">
        <v>0</v>
      </c>
      <c r="Q1291" t="n">
        <v>0</v>
      </c>
      <c r="R1291" s="2" t="inlineStr"/>
    </row>
    <row r="1292" ht="15" customHeight="1">
      <c r="A1292" t="inlineStr">
        <is>
          <t>A 3214-2024</t>
        </is>
      </c>
      <c r="B1292" s="1" t="n">
        <v>45316</v>
      </c>
      <c r="C1292" s="1" t="n">
        <v>45831</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3257-2024</t>
        </is>
      </c>
      <c r="B1293" s="1" t="n">
        <v>45316</v>
      </c>
      <c r="C1293" s="1" t="n">
        <v>45831</v>
      </c>
      <c r="D1293" t="inlineStr">
        <is>
          <t>JÄMTLANDS LÄN</t>
        </is>
      </c>
      <c r="E1293" t="inlineStr">
        <is>
          <t>KROKOM</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4354-2024</t>
        </is>
      </c>
      <c r="B1294" s="1" t="n">
        <v>45324</v>
      </c>
      <c r="C1294" s="1" t="n">
        <v>45831</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4355-2024</t>
        </is>
      </c>
      <c r="B1295" s="1" t="n">
        <v>45324</v>
      </c>
      <c r="C1295" s="1" t="n">
        <v>45831</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4353-2024</t>
        </is>
      </c>
      <c r="B1296" s="1" t="n">
        <v>45324</v>
      </c>
      <c r="C1296" s="1" t="n">
        <v>45831</v>
      </c>
      <c r="D1296" t="inlineStr">
        <is>
          <t>JÄMTLANDS LÄN</t>
        </is>
      </c>
      <c r="E1296" t="inlineStr">
        <is>
          <t>KROKOM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5438-2024</t>
        </is>
      </c>
      <c r="B1297" s="1" t="n">
        <v>45331</v>
      </c>
      <c r="C1297" s="1" t="n">
        <v>45831</v>
      </c>
      <c r="D1297" t="inlineStr">
        <is>
          <t>JÄMTLANDS LÄN</t>
        </is>
      </c>
      <c r="E1297" t="inlineStr">
        <is>
          <t>KROKOM</t>
        </is>
      </c>
      <c r="F1297" t="inlineStr">
        <is>
          <t>SCA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5437-2024</t>
        </is>
      </c>
      <c r="B1298" s="1" t="n">
        <v>45331</v>
      </c>
      <c r="C1298" s="1" t="n">
        <v>45831</v>
      </c>
      <c r="D1298" t="inlineStr">
        <is>
          <t>JÄMTLANDS LÄN</t>
        </is>
      </c>
      <c r="E1298" t="inlineStr">
        <is>
          <t>KROKOM</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5440-2024</t>
        </is>
      </c>
      <c r="B1299" s="1" t="n">
        <v>45331</v>
      </c>
      <c r="C1299" s="1" t="n">
        <v>45831</v>
      </c>
      <c r="D1299" t="inlineStr">
        <is>
          <t>JÄMTLANDS LÄN</t>
        </is>
      </c>
      <c r="E1299" t="inlineStr">
        <is>
          <t>KROKOM</t>
        </is>
      </c>
      <c r="F1299" t="inlineStr">
        <is>
          <t>SCA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6283-2024</t>
        </is>
      </c>
      <c r="B1300" s="1" t="n">
        <v>45337</v>
      </c>
      <c r="C1300" s="1" t="n">
        <v>45831</v>
      </c>
      <c r="D1300" t="inlineStr">
        <is>
          <t>JÄMTLANDS LÄN</t>
        </is>
      </c>
      <c r="E1300" t="inlineStr">
        <is>
          <t>KROKOM</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6284-2024</t>
        </is>
      </c>
      <c r="B1301" s="1" t="n">
        <v>45337</v>
      </c>
      <c r="C1301" s="1" t="n">
        <v>45831</v>
      </c>
      <c r="D1301" t="inlineStr">
        <is>
          <t>JÄMTLANDS LÄN</t>
        </is>
      </c>
      <c r="E1301" t="inlineStr">
        <is>
          <t>KROKOM</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6403-2024</t>
        </is>
      </c>
      <c r="B1302" s="1" t="n">
        <v>45338</v>
      </c>
      <c r="C1302" s="1" t="n">
        <v>45831</v>
      </c>
      <c r="D1302" t="inlineStr">
        <is>
          <t>JÄMTLANDS LÄN</t>
        </is>
      </c>
      <c r="E1302" t="inlineStr">
        <is>
          <t>KROKOM</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6482-2024</t>
        </is>
      </c>
      <c r="B1303" s="1" t="n">
        <v>45338</v>
      </c>
      <c r="C1303" s="1" t="n">
        <v>45831</v>
      </c>
      <c r="D1303" t="inlineStr">
        <is>
          <t>JÄMTLANDS LÄN</t>
        </is>
      </c>
      <c r="E1303" t="inlineStr">
        <is>
          <t>KROKOM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6483-2024</t>
        </is>
      </c>
      <c r="B1304" s="1" t="n">
        <v>45338</v>
      </c>
      <c r="C1304" s="1" t="n">
        <v>45831</v>
      </c>
      <c r="D1304" t="inlineStr">
        <is>
          <t>JÄMTLANDS LÄN</t>
        </is>
      </c>
      <c r="E1304" t="inlineStr">
        <is>
          <t>KROKOM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6900-2024</t>
        </is>
      </c>
      <c r="B1305" s="1" t="n">
        <v>45342</v>
      </c>
      <c r="C1305" s="1" t="n">
        <v>45831</v>
      </c>
      <c r="D1305" t="inlineStr">
        <is>
          <t>JÄMTLANDS LÄN</t>
        </is>
      </c>
      <c r="E1305" t="inlineStr">
        <is>
          <t>KROKOM</t>
        </is>
      </c>
      <c r="F1305" t="inlineStr">
        <is>
          <t>SCA</t>
        </is>
      </c>
      <c r="G1305" t="n">
        <v>64.59999999999999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6898-2024</t>
        </is>
      </c>
      <c r="B1306" s="1" t="n">
        <v>45342</v>
      </c>
      <c r="C1306" s="1" t="n">
        <v>45831</v>
      </c>
      <c r="D1306" t="inlineStr">
        <is>
          <t>JÄMTLANDS LÄN</t>
        </is>
      </c>
      <c r="E1306" t="inlineStr">
        <is>
          <t>KROKOM</t>
        </is>
      </c>
      <c r="F1306" t="inlineStr">
        <is>
          <t>SCA</t>
        </is>
      </c>
      <c r="G1306" t="n">
        <v>30.7</v>
      </c>
      <c r="H1306" t="n">
        <v>0</v>
      </c>
      <c r="I1306" t="n">
        <v>0</v>
      </c>
      <c r="J1306" t="n">
        <v>0</v>
      </c>
      <c r="K1306" t="n">
        <v>0</v>
      </c>
      <c r="L1306" t="n">
        <v>0</v>
      </c>
      <c r="M1306" t="n">
        <v>0</v>
      </c>
      <c r="N1306" t="n">
        <v>0</v>
      </c>
      <c r="O1306" t="n">
        <v>0</v>
      </c>
      <c r="P1306" t="n">
        <v>0</v>
      </c>
      <c r="Q1306" t="n">
        <v>0</v>
      </c>
      <c r="R1306" s="2" t="inlineStr"/>
    </row>
    <row r="1307" ht="15" customHeight="1">
      <c r="A1307" t="inlineStr">
        <is>
          <t>A 7111-2024</t>
        </is>
      </c>
      <c r="B1307" s="1" t="n">
        <v>45343</v>
      </c>
      <c r="C1307" s="1" t="n">
        <v>45831</v>
      </c>
      <c r="D1307" t="inlineStr">
        <is>
          <t>JÄMTLANDS LÄN</t>
        </is>
      </c>
      <c r="E1307" t="inlineStr">
        <is>
          <t>KROKOM</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7761-2024</t>
        </is>
      </c>
      <c r="B1308" s="1" t="n">
        <v>45348</v>
      </c>
      <c r="C1308" s="1" t="n">
        <v>45831</v>
      </c>
      <c r="D1308" t="inlineStr">
        <is>
          <t>JÄMTLANDS LÄN</t>
        </is>
      </c>
      <c r="E1308" t="inlineStr">
        <is>
          <t>KROKOM</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7763-2024</t>
        </is>
      </c>
      <c r="B1309" s="1" t="n">
        <v>45348</v>
      </c>
      <c r="C1309" s="1" t="n">
        <v>45831</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7863-2024</t>
        </is>
      </c>
      <c r="B1310" s="1" t="n">
        <v>45350</v>
      </c>
      <c r="C1310" s="1" t="n">
        <v>45831</v>
      </c>
      <c r="D1310" t="inlineStr">
        <is>
          <t>JÄMTLANDS LÄN</t>
        </is>
      </c>
      <c r="E1310" t="inlineStr">
        <is>
          <t>KROKOM</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8130-2024</t>
        </is>
      </c>
      <c r="B1311" s="1" t="n">
        <v>45351</v>
      </c>
      <c r="C1311" s="1" t="n">
        <v>45831</v>
      </c>
      <c r="D1311" t="inlineStr">
        <is>
          <t>JÄMTLANDS LÄN</t>
        </is>
      </c>
      <c r="E1311" t="inlineStr">
        <is>
          <t>KROKOM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9750-2024</t>
        </is>
      </c>
      <c r="B1312" s="1" t="n">
        <v>45362</v>
      </c>
      <c r="C1312" s="1" t="n">
        <v>45831</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9755-2024</t>
        </is>
      </c>
      <c r="B1313" s="1" t="n">
        <v>45362</v>
      </c>
      <c r="C1313" s="1" t="n">
        <v>45831</v>
      </c>
      <c r="D1313" t="inlineStr">
        <is>
          <t>JÄMTLANDS LÄN</t>
        </is>
      </c>
      <c r="E1313" t="inlineStr">
        <is>
          <t>KROKOM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10597-2024</t>
        </is>
      </c>
      <c r="B1314" s="1" t="n">
        <v>45366</v>
      </c>
      <c r="C1314" s="1" t="n">
        <v>45831</v>
      </c>
      <c r="D1314" t="inlineStr">
        <is>
          <t>JÄMTLANDS LÄN</t>
        </is>
      </c>
      <c r="E1314" t="inlineStr">
        <is>
          <t>KROKOM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10612-2024</t>
        </is>
      </c>
      <c r="B1315" s="1" t="n">
        <v>45367</v>
      </c>
      <c r="C1315" s="1" t="n">
        <v>45831</v>
      </c>
      <c r="D1315" t="inlineStr">
        <is>
          <t>JÄMTLANDS LÄN</t>
        </is>
      </c>
      <c r="E1315" t="inlineStr">
        <is>
          <t>KROKOM</t>
        </is>
      </c>
      <c r="F1315" t="inlineStr">
        <is>
          <t>SCA</t>
        </is>
      </c>
      <c r="G1315" t="n">
        <v>25.3</v>
      </c>
      <c r="H1315" t="n">
        <v>0</v>
      </c>
      <c r="I1315" t="n">
        <v>0</v>
      </c>
      <c r="J1315" t="n">
        <v>0</v>
      </c>
      <c r="K1315" t="n">
        <v>0</v>
      </c>
      <c r="L1315" t="n">
        <v>0</v>
      </c>
      <c r="M1315" t="n">
        <v>0</v>
      </c>
      <c r="N1315" t="n">
        <v>0</v>
      </c>
      <c r="O1315" t="n">
        <v>0</v>
      </c>
      <c r="P1315" t="n">
        <v>0</v>
      </c>
      <c r="Q1315" t="n">
        <v>0</v>
      </c>
      <c r="R1315" s="2" t="inlineStr"/>
    </row>
    <row r="1316" ht="15" customHeight="1">
      <c r="A1316" t="inlineStr">
        <is>
          <t>A 10842-2024</t>
        </is>
      </c>
      <c r="B1316" s="1" t="n">
        <v>45369</v>
      </c>
      <c r="C1316" s="1" t="n">
        <v>45831</v>
      </c>
      <c r="D1316" t="inlineStr">
        <is>
          <t>JÄMTLANDS LÄN</t>
        </is>
      </c>
      <c r="E1316" t="inlineStr">
        <is>
          <t>KROKOM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10773-2024</t>
        </is>
      </c>
      <c r="B1317" s="1" t="n">
        <v>45369</v>
      </c>
      <c r="C1317" s="1" t="n">
        <v>45831</v>
      </c>
      <c r="D1317" t="inlineStr">
        <is>
          <t>JÄMTLANDS LÄN</t>
        </is>
      </c>
      <c r="E1317" t="inlineStr">
        <is>
          <t>KROKOM</t>
        </is>
      </c>
      <c r="G1317" t="n">
        <v>27.1</v>
      </c>
      <c r="H1317" t="n">
        <v>0</v>
      </c>
      <c r="I1317" t="n">
        <v>0</v>
      </c>
      <c r="J1317" t="n">
        <v>0</v>
      </c>
      <c r="K1317" t="n">
        <v>0</v>
      </c>
      <c r="L1317" t="n">
        <v>0</v>
      </c>
      <c r="M1317" t="n">
        <v>0</v>
      </c>
      <c r="N1317" t="n">
        <v>0</v>
      </c>
      <c r="O1317" t="n">
        <v>0</v>
      </c>
      <c r="P1317" t="n">
        <v>0</v>
      </c>
      <c r="Q1317" t="n">
        <v>0</v>
      </c>
      <c r="R1317" s="2" t="inlineStr"/>
    </row>
    <row r="1318" ht="15" customHeight="1">
      <c r="A1318" t="inlineStr">
        <is>
          <t>A 10961-2024</t>
        </is>
      </c>
      <c r="B1318" s="1" t="n">
        <v>45370</v>
      </c>
      <c r="C1318" s="1" t="n">
        <v>45831</v>
      </c>
      <c r="D1318" t="inlineStr">
        <is>
          <t>JÄMTLANDS LÄN</t>
        </is>
      </c>
      <c r="E1318" t="inlineStr">
        <is>
          <t>KROKOM</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11059-2024</t>
        </is>
      </c>
      <c r="B1319" s="1" t="n">
        <v>45370</v>
      </c>
      <c r="C1319" s="1" t="n">
        <v>45831</v>
      </c>
      <c r="D1319" t="inlineStr">
        <is>
          <t>JÄMTLANDS LÄN</t>
        </is>
      </c>
      <c r="E1319" t="inlineStr">
        <is>
          <t>KROKOM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11045-2024</t>
        </is>
      </c>
      <c r="B1320" s="1" t="n">
        <v>45370</v>
      </c>
      <c r="C1320" s="1" t="n">
        <v>45831</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10976-2024</t>
        </is>
      </c>
      <c r="B1321" s="1" t="n">
        <v>45370</v>
      </c>
      <c r="C1321" s="1" t="n">
        <v>45831</v>
      </c>
      <c r="D1321" t="inlineStr">
        <is>
          <t>JÄMTLANDS LÄN</t>
        </is>
      </c>
      <c r="E1321" t="inlineStr">
        <is>
          <t>KROKOM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11056-2024</t>
        </is>
      </c>
      <c r="B1322" s="1" t="n">
        <v>45370</v>
      </c>
      <c r="C1322" s="1" t="n">
        <v>45831</v>
      </c>
      <c r="D1322" t="inlineStr">
        <is>
          <t>JÄMTLANDS LÄN</t>
        </is>
      </c>
      <c r="E1322" t="inlineStr">
        <is>
          <t>KROKOM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11092-2024</t>
        </is>
      </c>
      <c r="B1323" s="1" t="n">
        <v>45370</v>
      </c>
      <c r="C1323" s="1" t="n">
        <v>45831</v>
      </c>
      <c r="D1323" t="inlineStr">
        <is>
          <t>JÄMTLANDS LÄN</t>
        </is>
      </c>
      <c r="E1323" t="inlineStr">
        <is>
          <t>KROKOM</t>
        </is>
      </c>
      <c r="F1323" t="inlineStr">
        <is>
          <t>SCA</t>
        </is>
      </c>
      <c r="G1323" t="n">
        <v>27.2</v>
      </c>
      <c r="H1323" t="n">
        <v>0</v>
      </c>
      <c r="I1323" t="n">
        <v>0</v>
      </c>
      <c r="J1323" t="n">
        <v>0</v>
      </c>
      <c r="K1323" t="n">
        <v>0</v>
      </c>
      <c r="L1323" t="n">
        <v>0</v>
      </c>
      <c r="M1323" t="n">
        <v>0</v>
      </c>
      <c r="N1323" t="n">
        <v>0</v>
      </c>
      <c r="O1323" t="n">
        <v>0</v>
      </c>
      <c r="P1323" t="n">
        <v>0</v>
      </c>
      <c r="Q1323" t="n">
        <v>0</v>
      </c>
      <c r="R1323" s="2" t="inlineStr"/>
    </row>
    <row r="1324" ht="15" customHeight="1">
      <c r="A1324" t="inlineStr">
        <is>
          <t>A 11193-2024</t>
        </is>
      </c>
      <c r="B1324" s="1" t="n">
        <v>45371</v>
      </c>
      <c r="C1324" s="1" t="n">
        <v>45831</v>
      </c>
      <c r="D1324" t="inlineStr">
        <is>
          <t>JÄMTLANDS LÄN</t>
        </is>
      </c>
      <c r="E1324" t="inlineStr">
        <is>
          <t>KROKOM</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11197-2024</t>
        </is>
      </c>
      <c r="B1325" s="1" t="n">
        <v>45371</v>
      </c>
      <c r="C1325" s="1" t="n">
        <v>45831</v>
      </c>
      <c r="D1325" t="inlineStr">
        <is>
          <t>JÄMTLANDS LÄN</t>
        </is>
      </c>
      <c r="E1325" t="inlineStr">
        <is>
          <t>KROKOM</t>
        </is>
      </c>
      <c r="G1325" t="n">
        <v>15.3</v>
      </c>
      <c r="H1325" t="n">
        <v>0</v>
      </c>
      <c r="I1325" t="n">
        <v>0</v>
      </c>
      <c r="J1325" t="n">
        <v>0</v>
      </c>
      <c r="K1325" t="n">
        <v>0</v>
      </c>
      <c r="L1325" t="n">
        <v>0</v>
      </c>
      <c r="M1325" t="n">
        <v>0</v>
      </c>
      <c r="N1325" t="n">
        <v>0</v>
      </c>
      <c r="O1325" t="n">
        <v>0</v>
      </c>
      <c r="P1325" t="n">
        <v>0</v>
      </c>
      <c r="Q1325" t="n">
        <v>0</v>
      </c>
      <c r="R1325" s="2" t="inlineStr"/>
    </row>
    <row r="1326" ht="15" customHeight="1">
      <c r="A1326" t="inlineStr">
        <is>
          <t>A 11417-2024</t>
        </is>
      </c>
      <c r="B1326" s="1" t="n">
        <v>45371</v>
      </c>
      <c r="C1326" s="1" t="n">
        <v>45831</v>
      </c>
      <c r="D1326" t="inlineStr">
        <is>
          <t>JÄMTLANDS LÄN</t>
        </is>
      </c>
      <c r="E1326" t="inlineStr">
        <is>
          <t>KROKOM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11384-2024</t>
        </is>
      </c>
      <c r="B1327" s="1" t="n">
        <v>45372</v>
      </c>
      <c r="C1327" s="1" t="n">
        <v>45831</v>
      </c>
      <c r="D1327" t="inlineStr">
        <is>
          <t>JÄMTLANDS LÄN</t>
        </is>
      </c>
      <c r="E1327" t="inlineStr">
        <is>
          <t>KROKOM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11412-2024</t>
        </is>
      </c>
      <c r="B1328" s="1" t="n">
        <v>45372</v>
      </c>
      <c r="C1328" s="1" t="n">
        <v>45831</v>
      </c>
      <c r="D1328" t="inlineStr">
        <is>
          <t>JÄMTLANDS LÄN</t>
        </is>
      </c>
      <c r="E1328" t="inlineStr">
        <is>
          <t>KROKOM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11639-2024</t>
        </is>
      </c>
      <c r="B1329" s="1" t="n">
        <v>45373</v>
      </c>
      <c r="C1329" s="1" t="n">
        <v>45831</v>
      </c>
      <c r="D1329" t="inlineStr">
        <is>
          <t>JÄMTLANDS LÄN</t>
        </is>
      </c>
      <c r="E1329" t="inlineStr">
        <is>
          <t>KROKOM</t>
        </is>
      </c>
      <c r="G1329" t="n">
        <v>22.2</v>
      </c>
      <c r="H1329" t="n">
        <v>0</v>
      </c>
      <c r="I1329" t="n">
        <v>0</v>
      </c>
      <c r="J1329" t="n">
        <v>0</v>
      </c>
      <c r="K1329" t="n">
        <v>0</v>
      </c>
      <c r="L1329" t="n">
        <v>0</v>
      </c>
      <c r="M1329" t="n">
        <v>0</v>
      </c>
      <c r="N1329" t="n">
        <v>0</v>
      </c>
      <c r="O1329" t="n">
        <v>0</v>
      </c>
      <c r="P1329" t="n">
        <v>0</v>
      </c>
      <c r="Q1329" t="n">
        <v>0</v>
      </c>
      <c r="R1329" s="2" t="inlineStr"/>
    </row>
    <row r="1330" ht="15" customHeight="1">
      <c r="A1330" t="inlineStr">
        <is>
          <t>A 12188-2024</t>
        </is>
      </c>
      <c r="B1330" s="1" t="n">
        <v>45377</v>
      </c>
      <c r="C1330" s="1" t="n">
        <v>45831</v>
      </c>
      <c r="D1330" t="inlineStr">
        <is>
          <t>JÄMTLANDS LÄN</t>
        </is>
      </c>
      <c r="E1330" t="inlineStr">
        <is>
          <t>KROKOM</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12412-2024</t>
        </is>
      </c>
      <c r="B1331" s="1" t="n">
        <v>45378</v>
      </c>
      <c r="C1331" s="1" t="n">
        <v>45831</v>
      </c>
      <c r="D1331" t="inlineStr">
        <is>
          <t>JÄMTLANDS LÄN</t>
        </is>
      </c>
      <c r="E1331" t="inlineStr">
        <is>
          <t>KROKOM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12471-2024</t>
        </is>
      </c>
      <c r="B1332" s="1" t="n">
        <v>45378</v>
      </c>
      <c r="C1332" s="1" t="n">
        <v>45831</v>
      </c>
      <c r="D1332" t="inlineStr">
        <is>
          <t>JÄMTLANDS LÄN</t>
        </is>
      </c>
      <c r="E1332" t="inlineStr">
        <is>
          <t>KROKOM</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12402-2024</t>
        </is>
      </c>
      <c r="B1333" s="1" t="n">
        <v>45379</v>
      </c>
      <c r="C1333" s="1" t="n">
        <v>45831</v>
      </c>
      <c r="D1333" t="inlineStr">
        <is>
          <t>JÄMTLANDS LÄN</t>
        </is>
      </c>
      <c r="E1333" t="inlineStr">
        <is>
          <t>KROKOM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12407-2024</t>
        </is>
      </c>
      <c r="B1334" s="1" t="n">
        <v>45379</v>
      </c>
      <c r="C1334" s="1" t="n">
        <v>45831</v>
      </c>
      <c r="D1334" t="inlineStr">
        <is>
          <t>JÄMTLANDS LÄN</t>
        </is>
      </c>
      <c r="E1334" t="inlineStr">
        <is>
          <t>KROKOM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12824-2024</t>
        </is>
      </c>
      <c r="B1335" s="1" t="n">
        <v>45384</v>
      </c>
      <c r="C1335" s="1" t="n">
        <v>45831</v>
      </c>
      <c r="D1335" t="inlineStr">
        <is>
          <t>JÄMTLANDS LÄN</t>
        </is>
      </c>
      <c r="E1335" t="inlineStr">
        <is>
          <t>KROKOM</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13249-2024</t>
        </is>
      </c>
      <c r="B1336" s="1" t="n">
        <v>45386</v>
      </c>
      <c r="C1336" s="1" t="n">
        <v>45831</v>
      </c>
      <c r="D1336" t="inlineStr">
        <is>
          <t>JÄMTLANDS LÄN</t>
        </is>
      </c>
      <c r="E1336" t="inlineStr">
        <is>
          <t>KROKOM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14029-2024</t>
        </is>
      </c>
      <c r="B1337" s="1" t="n">
        <v>45392</v>
      </c>
      <c r="C1337" s="1" t="n">
        <v>45831</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14032-2024</t>
        </is>
      </c>
      <c r="B1338" s="1" t="n">
        <v>45392</v>
      </c>
      <c r="C1338" s="1" t="n">
        <v>45831</v>
      </c>
      <c r="D1338" t="inlineStr">
        <is>
          <t>JÄMTLANDS LÄN</t>
        </is>
      </c>
      <c r="E1338" t="inlineStr">
        <is>
          <t>KROKOM</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14170-2024</t>
        </is>
      </c>
      <c r="B1339" s="1" t="n">
        <v>45393</v>
      </c>
      <c r="C1339" s="1" t="n">
        <v>45831</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14026-2024</t>
        </is>
      </c>
      <c r="B1340" s="1" t="n">
        <v>45392</v>
      </c>
      <c r="C1340" s="1" t="n">
        <v>45831</v>
      </c>
      <c r="D1340" t="inlineStr">
        <is>
          <t>JÄMTLANDS LÄN</t>
        </is>
      </c>
      <c r="E1340" t="inlineStr">
        <is>
          <t>KROKOM</t>
        </is>
      </c>
      <c r="F1340" t="inlineStr">
        <is>
          <t>Kyrkan</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14171-2024</t>
        </is>
      </c>
      <c r="B1341" s="1" t="n">
        <v>45392</v>
      </c>
      <c r="C1341" s="1" t="n">
        <v>45831</v>
      </c>
      <c r="D1341" t="inlineStr">
        <is>
          <t>JÄMTLANDS LÄN</t>
        </is>
      </c>
      <c r="E1341" t="inlineStr">
        <is>
          <t>KROKOM</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14184-2024</t>
        </is>
      </c>
      <c r="B1342" s="1" t="n">
        <v>45393</v>
      </c>
      <c r="C1342" s="1" t="n">
        <v>45831</v>
      </c>
      <c r="D1342" t="inlineStr">
        <is>
          <t>JÄMTLANDS LÄN</t>
        </is>
      </c>
      <c r="E1342" t="inlineStr">
        <is>
          <t>KROKOM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14457-2024</t>
        </is>
      </c>
      <c r="B1343" s="1" t="n">
        <v>45394</v>
      </c>
      <c r="C1343" s="1" t="n">
        <v>45831</v>
      </c>
      <c r="D1343" t="inlineStr">
        <is>
          <t>JÄMTLANDS LÄN</t>
        </is>
      </c>
      <c r="E1343" t="inlineStr">
        <is>
          <t>KROKOM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14531-2024</t>
        </is>
      </c>
      <c r="B1344" s="1" t="n">
        <v>45394</v>
      </c>
      <c r="C1344" s="1" t="n">
        <v>45831</v>
      </c>
      <c r="D1344" t="inlineStr">
        <is>
          <t>JÄMTLANDS LÄN</t>
        </is>
      </c>
      <c r="E1344" t="inlineStr">
        <is>
          <t>KROKOM</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14687-2024</t>
        </is>
      </c>
      <c r="B1345" s="1" t="n">
        <v>45397</v>
      </c>
      <c r="C1345" s="1" t="n">
        <v>45831</v>
      </c>
      <c r="D1345" t="inlineStr">
        <is>
          <t>JÄMTLANDS LÄN</t>
        </is>
      </c>
      <c r="E1345" t="inlineStr">
        <is>
          <t>KROKOM</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14827-2024</t>
        </is>
      </c>
      <c r="B1346" s="1" t="n">
        <v>45398</v>
      </c>
      <c r="C1346" s="1" t="n">
        <v>45831</v>
      </c>
      <c r="D1346" t="inlineStr">
        <is>
          <t>JÄMTLANDS LÄN</t>
        </is>
      </c>
      <c r="E1346" t="inlineStr">
        <is>
          <t>KROKOM</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15528-2024</t>
        </is>
      </c>
      <c r="B1347" s="1" t="n">
        <v>45401</v>
      </c>
      <c r="C1347" s="1" t="n">
        <v>45831</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15524-2024</t>
        </is>
      </c>
      <c r="B1348" s="1" t="n">
        <v>45401</v>
      </c>
      <c r="C1348" s="1" t="n">
        <v>45831</v>
      </c>
      <c r="D1348" t="inlineStr">
        <is>
          <t>JÄMTLANDS LÄN</t>
        </is>
      </c>
      <c r="E1348" t="inlineStr">
        <is>
          <t>KROKOM</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15797-2024</t>
        </is>
      </c>
      <c r="B1349" s="1" t="n">
        <v>45404</v>
      </c>
      <c r="C1349" s="1" t="n">
        <v>45831</v>
      </c>
      <c r="D1349" t="inlineStr">
        <is>
          <t>JÄMTLANDS LÄN</t>
        </is>
      </c>
      <c r="E1349" t="inlineStr">
        <is>
          <t>KROKOM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15794-2024</t>
        </is>
      </c>
      <c r="B1350" s="1" t="n">
        <v>45404</v>
      </c>
      <c r="C1350" s="1" t="n">
        <v>45831</v>
      </c>
      <c r="D1350" t="inlineStr">
        <is>
          <t>JÄMTLANDS LÄN</t>
        </is>
      </c>
      <c r="E1350" t="inlineStr">
        <is>
          <t>KROKOM</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15934-2024</t>
        </is>
      </c>
      <c r="B1351" s="1" t="n">
        <v>45405</v>
      </c>
      <c r="C1351" s="1" t="n">
        <v>45831</v>
      </c>
      <c r="D1351" t="inlineStr">
        <is>
          <t>JÄMTLANDS LÄN</t>
        </is>
      </c>
      <c r="E1351" t="inlineStr">
        <is>
          <t>KROKOM</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16064-2024</t>
        </is>
      </c>
      <c r="B1352" s="1" t="n">
        <v>45406</v>
      </c>
      <c r="C1352" s="1" t="n">
        <v>45831</v>
      </c>
      <c r="D1352" t="inlineStr">
        <is>
          <t>JÄMTLANDS LÄN</t>
        </is>
      </c>
      <c r="E1352" t="inlineStr">
        <is>
          <t>KROKOM</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16349-2024</t>
        </is>
      </c>
      <c r="B1353" s="1" t="n">
        <v>45407</v>
      </c>
      <c r="C1353" s="1" t="n">
        <v>45831</v>
      </c>
      <c r="D1353" t="inlineStr">
        <is>
          <t>JÄMTLANDS LÄN</t>
        </is>
      </c>
      <c r="E1353" t="inlineStr">
        <is>
          <t>KROKOM</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16431-2024</t>
        </is>
      </c>
      <c r="B1354" s="1" t="n">
        <v>45407</v>
      </c>
      <c r="C1354" s="1" t="n">
        <v>45831</v>
      </c>
      <c r="D1354" t="inlineStr">
        <is>
          <t>JÄMTLANDS LÄN</t>
        </is>
      </c>
      <c r="E1354" t="inlineStr">
        <is>
          <t>KROKOM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16545-2024</t>
        </is>
      </c>
      <c r="B1355" s="1" t="n">
        <v>45408</v>
      </c>
      <c r="C1355" s="1" t="n">
        <v>45831</v>
      </c>
      <c r="D1355" t="inlineStr">
        <is>
          <t>JÄMTLANDS LÄN</t>
        </is>
      </c>
      <c r="E1355" t="inlineStr">
        <is>
          <t>KROKOM</t>
        </is>
      </c>
      <c r="G1355" t="n">
        <v>46.1</v>
      </c>
      <c r="H1355" t="n">
        <v>0</v>
      </c>
      <c r="I1355" t="n">
        <v>0</v>
      </c>
      <c r="J1355" t="n">
        <v>0</v>
      </c>
      <c r="K1355" t="n">
        <v>0</v>
      </c>
      <c r="L1355" t="n">
        <v>0</v>
      </c>
      <c r="M1355" t="n">
        <v>0</v>
      </c>
      <c r="N1355" t="n">
        <v>0</v>
      </c>
      <c r="O1355" t="n">
        <v>0</v>
      </c>
      <c r="P1355" t="n">
        <v>0</v>
      </c>
      <c r="Q1355" t="n">
        <v>0</v>
      </c>
      <c r="R1355" s="2" t="inlineStr"/>
    </row>
    <row r="1356" ht="15" customHeight="1">
      <c r="A1356" t="inlineStr">
        <is>
          <t>A 16874-2024</t>
        </is>
      </c>
      <c r="B1356" s="1" t="n">
        <v>45411</v>
      </c>
      <c r="C1356" s="1" t="n">
        <v>45831</v>
      </c>
      <c r="D1356" t="inlineStr">
        <is>
          <t>JÄMTLANDS LÄN</t>
        </is>
      </c>
      <c r="E1356" t="inlineStr">
        <is>
          <t>KROKOM</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16817-2024</t>
        </is>
      </c>
      <c r="B1357" s="1" t="n">
        <v>45411</v>
      </c>
      <c r="C1357" s="1" t="n">
        <v>45831</v>
      </c>
      <c r="D1357" t="inlineStr">
        <is>
          <t>JÄMTLANDS LÄN</t>
        </is>
      </c>
      <c r="E1357" t="inlineStr">
        <is>
          <t>KROKOM</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17090-2024</t>
        </is>
      </c>
      <c r="B1358" s="1" t="n">
        <v>45412</v>
      </c>
      <c r="C1358" s="1" t="n">
        <v>45831</v>
      </c>
      <c r="D1358" t="inlineStr">
        <is>
          <t>JÄMTLANDS LÄN</t>
        </is>
      </c>
      <c r="E1358" t="inlineStr">
        <is>
          <t>KROKOM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17298-2024</t>
        </is>
      </c>
      <c r="B1359" s="1" t="n">
        <v>45414</v>
      </c>
      <c r="C1359" s="1" t="n">
        <v>45831</v>
      </c>
      <c r="D1359" t="inlineStr">
        <is>
          <t>JÄMTLANDS LÄN</t>
        </is>
      </c>
      <c r="E1359" t="inlineStr">
        <is>
          <t>KROKOM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17417-2024</t>
        </is>
      </c>
      <c r="B1360" s="1" t="n">
        <v>45415</v>
      </c>
      <c r="C1360" s="1" t="n">
        <v>45831</v>
      </c>
      <c r="D1360" t="inlineStr">
        <is>
          <t>JÄMTLANDS LÄN</t>
        </is>
      </c>
      <c r="E1360" t="inlineStr">
        <is>
          <t>KROKOM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17469-2024</t>
        </is>
      </c>
      <c r="B1361" s="1" t="n">
        <v>45415</v>
      </c>
      <c r="C1361" s="1" t="n">
        <v>45831</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17593-2024</t>
        </is>
      </c>
      <c r="B1362" s="1" t="n">
        <v>45415</v>
      </c>
      <c r="C1362" s="1" t="n">
        <v>45831</v>
      </c>
      <c r="D1362" t="inlineStr">
        <is>
          <t>JÄMTLANDS LÄN</t>
        </is>
      </c>
      <c r="E1362" t="inlineStr">
        <is>
          <t>KROKOM</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17820-2024</t>
        </is>
      </c>
      <c r="B1363" s="1" t="n">
        <v>45419</v>
      </c>
      <c r="C1363" s="1" t="n">
        <v>45831</v>
      </c>
      <c r="D1363" t="inlineStr">
        <is>
          <t>JÄMTLANDS LÄN</t>
        </is>
      </c>
      <c r="E1363" t="inlineStr">
        <is>
          <t>KROKOM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17821-2024</t>
        </is>
      </c>
      <c r="B1364" s="1" t="n">
        <v>45419</v>
      </c>
      <c r="C1364" s="1" t="n">
        <v>45831</v>
      </c>
      <c r="D1364" t="inlineStr">
        <is>
          <t>JÄMTLANDS LÄN</t>
        </is>
      </c>
      <c r="E1364" t="inlineStr">
        <is>
          <t>KROKOM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17853-2024</t>
        </is>
      </c>
      <c r="B1365" s="1" t="n">
        <v>45419</v>
      </c>
      <c r="C1365" s="1" t="n">
        <v>45831</v>
      </c>
      <c r="D1365" t="inlineStr">
        <is>
          <t>JÄMTLANDS LÄN</t>
        </is>
      </c>
      <c r="E1365" t="inlineStr">
        <is>
          <t>KROKOM</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18064-2024</t>
        </is>
      </c>
      <c r="B1366" s="1" t="n">
        <v>45420</v>
      </c>
      <c r="C1366" s="1" t="n">
        <v>45831</v>
      </c>
      <c r="D1366" t="inlineStr">
        <is>
          <t>JÄMTLANDS LÄN</t>
        </is>
      </c>
      <c r="E1366" t="inlineStr">
        <is>
          <t>KROKOM</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18491-2024</t>
        </is>
      </c>
      <c r="B1367" s="1" t="n">
        <v>45425</v>
      </c>
      <c r="C1367" s="1" t="n">
        <v>45831</v>
      </c>
      <c r="D1367" t="inlineStr">
        <is>
          <t>JÄMTLANDS LÄN</t>
        </is>
      </c>
      <c r="E1367" t="inlineStr">
        <is>
          <t>KROKOM</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19248-2024</t>
        </is>
      </c>
      <c r="B1368" s="1" t="n">
        <v>45428</v>
      </c>
      <c r="C1368" s="1" t="n">
        <v>45831</v>
      </c>
      <c r="D1368" t="inlineStr">
        <is>
          <t>JÄMTLANDS LÄN</t>
        </is>
      </c>
      <c r="E1368" t="inlineStr">
        <is>
          <t>KROKOM</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19432-2024</t>
        </is>
      </c>
      <c r="B1369" s="1" t="n">
        <v>45429</v>
      </c>
      <c r="C1369" s="1" t="n">
        <v>45831</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19698-2024</t>
        </is>
      </c>
      <c r="B1370" s="1" t="n">
        <v>45432</v>
      </c>
      <c r="C1370" s="1" t="n">
        <v>45831</v>
      </c>
      <c r="D1370" t="inlineStr">
        <is>
          <t>JÄMTLANDS LÄN</t>
        </is>
      </c>
      <c r="E1370" t="inlineStr">
        <is>
          <t>KROKOM</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19635-2024</t>
        </is>
      </c>
      <c r="B1371" s="1" t="n">
        <v>45432</v>
      </c>
      <c r="C1371" s="1" t="n">
        <v>45831</v>
      </c>
      <c r="D1371" t="inlineStr">
        <is>
          <t>JÄMTLANDS LÄN</t>
        </is>
      </c>
      <c r="E1371" t="inlineStr">
        <is>
          <t>KROKOM</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21261-2024</t>
        </is>
      </c>
      <c r="B1372" s="1" t="n">
        <v>45440</v>
      </c>
      <c r="C1372" s="1" t="n">
        <v>45831</v>
      </c>
      <c r="D1372" t="inlineStr">
        <is>
          <t>JÄMTLANDS LÄN</t>
        </is>
      </c>
      <c r="E1372" t="inlineStr">
        <is>
          <t>KROKOM</t>
        </is>
      </c>
      <c r="F1372" t="inlineStr">
        <is>
          <t>Övriga Aktiebolag</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21304-2024</t>
        </is>
      </c>
      <c r="B1373" s="1" t="n">
        <v>45440</v>
      </c>
      <c r="C1373" s="1" t="n">
        <v>45831</v>
      </c>
      <c r="D1373" t="inlineStr">
        <is>
          <t>JÄMTLANDS LÄN</t>
        </is>
      </c>
      <c r="E1373" t="inlineStr">
        <is>
          <t>KROKOM</t>
        </is>
      </c>
      <c r="F1373" t="inlineStr">
        <is>
          <t>Övriga Aktiebolag</t>
        </is>
      </c>
      <c r="G1373" t="n">
        <v>15.1</v>
      </c>
      <c r="H1373" t="n">
        <v>0</v>
      </c>
      <c r="I1373" t="n">
        <v>0</v>
      </c>
      <c r="J1373" t="n">
        <v>0</v>
      </c>
      <c r="K1373" t="n">
        <v>0</v>
      </c>
      <c r="L1373" t="n">
        <v>0</v>
      </c>
      <c r="M1373" t="n">
        <v>0</v>
      </c>
      <c r="N1373" t="n">
        <v>0</v>
      </c>
      <c r="O1373" t="n">
        <v>0</v>
      </c>
      <c r="P1373" t="n">
        <v>0</v>
      </c>
      <c r="Q1373" t="n">
        <v>0</v>
      </c>
      <c r="R1373" s="2" t="inlineStr"/>
    </row>
    <row r="1374" ht="15" customHeight="1">
      <c r="A1374" t="inlineStr">
        <is>
          <t>A 21579-2024</t>
        </is>
      </c>
      <c r="B1374" s="1" t="n">
        <v>45441</v>
      </c>
      <c r="C1374" s="1" t="n">
        <v>45831</v>
      </c>
      <c r="D1374" t="inlineStr">
        <is>
          <t>JÄMTLANDS LÄN</t>
        </is>
      </c>
      <c r="E1374" t="inlineStr">
        <is>
          <t>KROKOM</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21806-2024</t>
        </is>
      </c>
      <c r="B1375" s="1" t="n">
        <v>45442</v>
      </c>
      <c r="C1375" s="1" t="n">
        <v>45831</v>
      </c>
      <c r="D1375" t="inlineStr">
        <is>
          <t>JÄMTLANDS LÄN</t>
        </is>
      </c>
      <c r="E1375" t="inlineStr">
        <is>
          <t>KROKOM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21801-2024</t>
        </is>
      </c>
      <c r="B1376" s="1" t="n">
        <v>45442</v>
      </c>
      <c r="C1376" s="1" t="n">
        <v>45831</v>
      </c>
      <c r="D1376" t="inlineStr">
        <is>
          <t>JÄMTLANDS LÄN</t>
        </is>
      </c>
      <c r="E1376" t="inlineStr">
        <is>
          <t>KROKOM</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21839-2024</t>
        </is>
      </c>
      <c r="B1377" s="1" t="n">
        <v>45442</v>
      </c>
      <c r="C1377" s="1" t="n">
        <v>45831</v>
      </c>
      <c r="D1377" t="inlineStr">
        <is>
          <t>JÄMTLANDS LÄN</t>
        </is>
      </c>
      <c r="E1377" t="inlineStr">
        <is>
          <t>KROKOM</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22127-2024</t>
        </is>
      </c>
      <c r="B1378" s="1" t="n">
        <v>45443</v>
      </c>
      <c r="C1378" s="1" t="n">
        <v>45831</v>
      </c>
      <c r="D1378" t="inlineStr">
        <is>
          <t>JÄMTLANDS LÄN</t>
        </is>
      </c>
      <c r="E1378" t="inlineStr">
        <is>
          <t>KROKOM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22411-2024</t>
        </is>
      </c>
      <c r="B1379" s="1" t="n">
        <v>45446</v>
      </c>
      <c r="C1379" s="1" t="n">
        <v>45831</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22258-2024</t>
        </is>
      </c>
      <c r="B1380" s="1" t="n">
        <v>45446</v>
      </c>
      <c r="C1380" s="1" t="n">
        <v>45831</v>
      </c>
      <c r="D1380" t="inlineStr">
        <is>
          <t>JÄMTLANDS LÄN</t>
        </is>
      </c>
      <c r="E1380" t="inlineStr">
        <is>
          <t>KROKOM</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22949-2024</t>
        </is>
      </c>
      <c r="B1381" s="1" t="n">
        <v>45448</v>
      </c>
      <c r="C1381" s="1" t="n">
        <v>45831</v>
      </c>
      <c r="D1381" t="inlineStr">
        <is>
          <t>JÄMTLANDS LÄN</t>
        </is>
      </c>
      <c r="E1381" t="inlineStr">
        <is>
          <t>KROKOM</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22850-2024</t>
        </is>
      </c>
      <c r="B1382" s="1" t="n">
        <v>45448</v>
      </c>
      <c r="C1382" s="1" t="n">
        <v>45831</v>
      </c>
      <c r="D1382" t="inlineStr">
        <is>
          <t>JÄMTLANDS LÄN</t>
        </is>
      </c>
      <c r="E1382" t="inlineStr">
        <is>
          <t>KROKOM</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22890-2024</t>
        </is>
      </c>
      <c r="B1383" s="1" t="n">
        <v>45448</v>
      </c>
      <c r="C1383" s="1" t="n">
        <v>45831</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22967-2024</t>
        </is>
      </c>
      <c r="B1384" s="1" t="n">
        <v>45449</v>
      </c>
      <c r="C1384" s="1" t="n">
        <v>45831</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22971-2024</t>
        </is>
      </c>
      <c r="B1385" s="1" t="n">
        <v>45449</v>
      </c>
      <c r="C1385" s="1" t="n">
        <v>45831</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23017-2024</t>
        </is>
      </c>
      <c r="B1386" s="1" t="n">
        <v>45450</v>
      </c>
      <c r="C1386" s="1" t="n">
        <v>45831</v>
      </c>
      <c r="D1386" t="inlineStr">
        <is>
          <t>JÄMTLANDS LÄN</t>
        </is>
      </c>
      <c r="E1386" t="inlineStr">
        <is>
          <t>KROKOM</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23215-2024</t>
        </is>
      </c>
      <c r="B1387" s="1" t="n">
        <v>45452</v>
      </c>
      <c r="C1387" s="1" t="n">
        <v>45831</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23214-2024</t>
        </is>
      </c>
      <c r="B1388" s="1" t="n">
        <v>45452</v>
      </c>
      <c r="C1388" s="1" t="n">
        <v>45831</v>
      </c>
      <c r="D1388" t="inlineStr">
        <is>
          <t>JÄMTLANDS LÄN</t>
        </is>
      </c>
      <c r="E1388" t="inlineStr">
        <is>
          <t>KROKOM</t>
        </is>
      </c>
      <c r="F1388" t="inlineStr">
        <is>
          <t>Övriga Aktiebolag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23210-2024</t>
        </is>
      </c>
      <c r="B1389" s="1" t="n">
        <v>45452</v>
      </c>
      <c r="C1389" s="1" t="n">
        <v>45831</v>
      </c>
      <c r="D1389" t="inlineStr">
        <is>
          <t>JÄMTLANDS LÄN</t>
        </is>
      </c>
      <c r="E1389" t="inlineStr">
        <is>
          <t>KROKOM</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23281-2024</t>
        </is>
      </c>
      <c r="B1390" s="1" t="n">
        <v>45453</v>
      </c>
      <c r="C1390" s="1" t="n">
        <v>45831</v>
      </c>
      <c r="D1390" t="inlineStr">
        <is>
          <t>JÄMTLANDS LÄN</t>
        </is>
      </c>
      <c r="E1390" t="inlineStr">
        <is>
          <t>KROKOM</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23297-2024</t>
        </is>
      </c>
      <c r="B1391" s="1" t="n">
        <v>45453</v>
      </c>
      <c r="C1391" s="1" t="n">
        <v>45831</v>
      </c>
      <c r="D1391" t="inlineStr">
        <is>
          <t>JÄMTLANDS LÄN</t>
        </is>
      </c>
      <c r="E1391" t="inlineStr">
        <is>
          <t>KROKOM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23313-2024</t>
        </is>
      </c>
      <c r="B1392" s="1" t="n">
        <v>45453</v>
      </c>
      <c r="C1392" s="1" t="n">
        <v>45831</v>
      </c>
      <c r="D1392" t="inlineStr">
        <is>
          <t>JÄMTLANDS LÄN</t>
        </is>
      </c>
      <c r="E1392" t="inlineStr">
        <is>
          <t>KROKOM</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23319-2024</t>
        </is>
      </c>
      <c r="B1393" s="1" t="n">
        <v>45453</v>
      </c>
      <c r="C1393" s="1" t="n">
        <v>45831</v>
      </c>
      <c r="D1393" t="inlineStr">
        <is>
          <t>JÄMTLANDS LÄN</t>
        </is>
      </c>
      <c r="E1393" t="inlineStr">
        <is>
          <t>KROKOM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23554-2024</t>
        </is>
      </c>
      <c r="B1394" s="1" t="n">
        <v>45454</v>
      </c>
      <c r="C1394" s="1" t="n">
        <v>45831</v>
      </c>
      <c r="D1394" t="inlineStr">
        <is>
          <t>JÄMTLANDS LÄN</t>
        </is>
      </c>
      <c r="E1394" t="inlineStr">
        <is>
          <t>KROKOM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23316-2024</t>
        </is>
      </c>
      <c r="B1395" s="1" t="n">
        <v>45453</v>
      </c>
      <c r="C1395" s="1" t="n">
        <v>45831</v>
      </c>
      <c r="D1395" t="inlineStr">
        <is>
          <t>JÄMTLANDS LÄN</t>
        </is>
      </c>
      <c r="E1395" t="inlineStr">
        <is>
          <t>KROKOM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23507-2024</t>
        </is>
      </c>
      <c r="B1396" s="1" t="n">
        <v>45453</v>
      </c>
      <c r="C1396" s="1" t="n">
        <v>45831</v>
      </c>
      <c r="D1396" t="inlineStr">
        <is>
          <t>JÄMTLANDS LÄN</t>
        </is>
      </c>
      <c r="E1396" t="inlineStr">
        <is>
          <t>KROKOM</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23539-2024</t>
        </is>
      </c>
      <c r="B1397" s="1" t="n">
        <v>45454</v>
      </c>
      <c r="C1397" s="1" t="n">
        <v>45831</v>
      </c>
      <c r="D1397" t="inlineStr">
        <is>
          <t>JÄMTLANDS LÄN</t>
        </is>
      </c>
      <c r="E1397" t="inlineStr">
        <is>
          <t>KROKOM</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23379-2024</t>
        </is>
      </c>
      <c r="B1398" s="1" t="n">
        <v>45453</v>
      </c>
      <c r="C1398" s="1" t="n">
        <v>45831</v>
      </c>
      <c r="D1398" t="inlineStr">
        <is>
          <t>JÄMTLANDS LÄN</t>
        </is>
      </c>
      <c r="E1398" t="inlineStr">
        <is>
          <t>KROKOM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23635-2024</t>
        </is>
      </c>
      <c r="B1399" s="1" t="n">
        <v>45454</v>
      </c>
      <c r="C1399" s="1" t="n">
        <v>45831</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23665-2024</t>
        </is>
      </c>
      <c r="B1400" s="1" t="n">
        <v>45454</v>
      </c>
      <c r="C1400" s="1" t="n">
        <v>45831</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23948-2024</t>
        </is>
      </c>
      <c r="B1401" s="1" t="n">
        <v>45456</v>
      </c>
      <c r="C1401" s="1" t="n">
        <v>45831</v>
      </c>
      <c r="D1401" t="inlineStr">
        <is>
          <t>JÄMTLANDS LÄN</t>
        </is>
      </c>
      <c r="E1401" t="inlineStr">
        <is>
          <t>KROKOM</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23988-2024</t>
        </is>
      </c>
      <c r="B1402" s="1" t="n">
        <v>45456</v>
      </c>
      <c r="C1402" s="1" t="n">
        <v>45831</v>
      </c>
      <c r="D1402" t="inlineStr">
        <is>
          <t>JÄMTLANDS LÄN</t>
        </is>
      </c>
      <c r="E1402" t="inlineStr">
        <is>
          <t>KROKOM</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24198-2024</t>
        </is>
      </c>
      <c r="B1403" s="1" t="n">
        <v>45457</v>
      </c>
      <c r="C1403" s="1" t="n">
        <v>45831</v>
      </c>
      <c r="D1403" t="inlineStr">
        <is>
          <t>JÄMTLANDS LÄN</t>
        </is>
      </c>
      <c r="E1403" t="inlineStr">
        <is>
          <t>KROKOM</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24234-2024</t>
        </is>
      </c>
      <c r="B1404" s="1" t="n">
        <v>45457</v>
      </c>
      <c r="C1404" s="1" t="n">
        <v>45831</v>
      </c>
      <c r="D1404" t="inlineStr">
        <is>
          <t>JÄMTLANDS LÄN</t>
        </is>
      </c>
      <c r="E1404" t="inlineStr">
        <is>
          <t>KROKOM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24241-2024</t>
        </is>
      </c>
      <c r="B1405" s="1" t="n">
        <v>45457</v>
      </c>
      <c r="C1405" s="1" t="n">
        <v>45831</v>
      </c>
      <c r="D1405" t="inlineStr">
        <is>
          <t>JÄMTLANDS LÄN</t>
        </is>
      </c>
      <c r="E1405" t="inlineStr">
        <is>
          <t>KROKOM</t>
        </is>
      </c>
      <c r="F1405" t="inlineStr">
        <is>
          <t>Övriga Aktiebolag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24333-2024</t>
        </is>
      </c>
      <c r="B1406" s="1" t="n">
        <v>45457</v>
      </c>
      <c r="C1406" s="1" t="n">
        <v>45831</v>
      </c>
      <c r="D1406" t="inlineStr">
        <is>
          <t>JÄMTLANDS LÄN</t>
        </is>
      </c>
      <c r="E1406" t="inlineStr">
        <is>
          <t>KROKOM</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24252-2024</t>
        </is>
      </c>
      <c r="B1407" s="1" t="n">
        <v>45457</v>
      </c>
      <c r="C1407" s="1" t="n">
        <v>45831</v>
      </c>
      <c r="D1407" t="inlineStr">
        <is>
          <t>JÄMTLANDS LÄN</t>
        </is>
      </c>
      <c r="E1407" t="inlineStr">
        <is>
          <t>KROKOM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24484-2024</t>
        </is>
      </c>
      <c r="B1408" s="1" t="n">
        <v>45459</v>
      </c>
      <c r="C1408" s="1" t="n">
        <v>45831</v>
      </c>
      <c r="D1408" t="inlineStr">
        <is>
          <t>JÄMTLANDS LÄN</t>
        </is>
      </c>
      <c r="E1408" t="inlineStr">
        <is>
          <t>KROKOM</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24559-2024</t>
        </is>
      </c>
      <c r="B1409" s="1" t="n">
        <v>45460</v>
      </c>
      <c r="C1409" s="1" t="n">
        <v>45831</v>
      </c>
      <c r="D1409" t="inlineStr">
        <is>
          <t>JÄMTLANDS LÄN</t>
        </is>
      </c>
      <c r="E1409" t="inlineStr">
        <is>
          <t>KROKOM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24877-2024</t>
        </is>
      </c>
      <c r="B1410" s="1" t="n">
        <v>45461</v>
      </c>
      <c r="C1410" s="1" t="n">
        <v>45831</v>
      </c>
      <c r="D1410" t="inlineStr">
        <is>
          <t>JÄMTLANDS LÄN</t>
        </is>
      </c>
      <c r="E1410" t="inlineStr">
        <is>
          <t>KROKOM</t>
        </is>
      </c>
      <c r="F1410" t="inlineStr">
        <is>
          <t>Övriga Aktiebolag</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25532-2024</t>
        </is>
      </c>
      <c r="B1411" s="1" t="n">
        <v>45463</v>
      </c>
      <c r="C1411" s="1" t="n">
        <v>45831</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25775-2024</t>
        </is>
      </c>
      <c r="B1412" s="1" t="n">
        <v>45466</v>
      </c>
      <c r="C1412" s="1" t="n">
        <v>45831</v>
      </c>
      <c r="D1412" t="inlineStr">
        <is>
          <t>JÄMTLANDS LÄN</t>
        </is>
      </c>
      <c r="E1412" t="inlineStr">
        <is>
          <t>KROKOM</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25906-2024</t>
        </is>
      </c>
      <c r="B1413" s="1" t="n">
        <v>45467</v>
      </c>
      <c r="C1413" s="1" t="n">
        <v>45831</v>
      </c>
      <c r="D1413" t="inlineStr">
        <is>
          <t>JÄMTLANDS LÄN</t>
        </is>
      </c>
      <c r="E1413" t="inlineStr">
        <is>
          <t>KROKOM</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25956-2024</t>
        </is>
      </c>
      <c r="B1414" s="1" t="n">
        <v>45467</v>
      </c>
      <c r="C1414" s="1" t="n">
        <v>45831</v>
      </c>
      <c r="D1414" t="inlineStr">
        <is>
          <t>JÄMTLANDS LÄN</t>
        </is>
      </c>
      <c r="E1414" t="inlineStr">
        <is>
          <t>KROKOM</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26207-2024</t>
        </is>
      </c>
      <c r="B1415" s="1" t="n">
        <v>45467</v>
      </c>
      <c r="C1415" s="1" t="n">
        <v>45831</v>
      </c>
      <c r="D1415" t="inlineStr">
        <is>
          <t>JÄMTLANDS LÄN</t>
        </is>
      </c>
      <c r="E1415" t="inlineStr">
        <is>
          <t>KROKOM</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26231-2024</t>
        </is>
      </c>
      <c r="B1416" s="1" t="n">
        <v>45467</v>
      </c>
      <c r="C1416" s="1" t="n">
        <v>45831</v>
      </c>
      <c r="D1416" t="inlineStr">
        <is>
          <t>JÄMTLANDS LÄN</t>
        </is>
      </c>
      <c r="E1416" t="inlineStr">
        <is>
          <t>KROKOM</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26228-2024</t>
        </is>
      </c>
      <c r="B1417" s="1" t="n">
        <v>45467</v>
      </c>
      <c r="C1417" s="1" t="n">
        <v>45831</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26235-2024</t>
        </is>
      </c>
      <c r="B1418" s="1" t="n">
        <v>45467</v>
      </c>
      <c r="C1418" s="1" t="n">
        <v>45831</v>
      </c>
      <c r="D1418" t="inlineStr">
        <is>
          <t>JÄMTLANDS LÄN</t>
        </is>
      </c>
      <c r="E1418" t="inlineStr">
        <is>
          <t>KROKOM</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26310-2024</t>
        </is>
      </c>
      <c r="B1419" s="1" t="n">
        <v>45469</v>
      </c>
      <c r="C1419" s="1" t="n">
        <v>45831</v>
      </c>
      <c r="D1419" t="inlineStr">
        <is>
          <t>JÄMTLANDS LÄN</t>
        </is>
      </c>
      <c r="E1419" t="inlineStr">
        <is>
          <t>KROKOM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26311-2024</t>
        </is>
      </c>
      <c r="B1420" s="1" t="n">
        <v>45469</v>
      </c>
      <c r="C1420" s="1" t="n">
        <v>45831</v>
      </c>
      <c r="D1420" t="inlineStr">
        <is>
          <t>JÄMTLANDS LÄN</t>
        </is>
      </c>
      <c r="E1420" t="inlineStr">
        <is>
          <t>KROKOM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26375-2024</t>
        </is>
      </c>
      <c r="B1421" s="1" t="n">
        <v>45469</v>
      </c>
      <c r="C1421" s="1" t="n">
        <v>45831</v>
      </c>
      <c r="D1421" t="inlineStr">
        <is>
          <t>JÄMTLANDS LÄN</t>
        </is>
      </c>
      <c r="E1421" t="inlineStr">
        <is>
          <t>KROKOM</t>
        </is>
      </c>
      <c r="G1421" t="n">
        <v>23.7</v>
      </c>
      <c r="H1421" t="n">
        <v>0</v>
      </c>
      <c r="I1421" t="n">
        <v>0</v>
      </c>
      <c r="J1421" t="n">
        <v>0</v>
      </c>
      <c r="K1421" t="n">
        <v>0</v>
      </c>
      <c r="L1421" t="n">
        <v>0</v>
      </c>
      <c r="M1421" t="n">
        <v>0</v>
      </c>
      <c r="N1421" t="n">
        <v>0</v>
      </c>
      <c r="O1421" t="n">
        <v>0</v>
      </c>
      <c r="P1421" t="n">
        <v>0</v>
      </c>
      <c r="Q1421" t="n">
        <v>0</v>
      </c>
      <c r="R1421" s="2" t="inlineStr"/>
    </row>
    <row r="1422" ht="15" customHeight="1">
      <c r="A1422" t="inlineStr">
        <is>
          <t>A 26414-2024</t>
        </is>
      </c>
      <c r="B1422" s="1" t="n">
        <v>45469</v>
      </c>
      <c r="C1422" s="1" t="n">
        <v>45831</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26881-2024</t>
        </is>
      </c>
      <c r="B1423" s="1" t="n">
        <v>45470</v>
      </c>
      <c r="C1423" s="1" t="n">
        <v>45831</v>
      </c>
      <c r="D1423" t="inlineStr">
        <is>
          <t>JÄMTLANDS LÄN</t>
        </is>
      </c>
      <c r="E1423" t="inlineStr">
        <is>
          <t>KROKOM</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27224-2024</t>
        </is>
      </c>
      <c r="B1424" s="1" t="n">
        <v>45471</v>
      </c>
      <c r="C1424" s="1" t="n">
        <v>45831</v>
      </c>
      <c r="D1424" t="inlineStr">
        <is>
          <t>JÄMTLANDS LÄN</t>
        </is>
      </c>
      <c r="E1424" t="inlineStr">
        <is>
          <t>KROKOM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27431-2024</t>
        </is>
      </c>
      <c r="B1425" s="1" t="n">
        <v>45474</v>
      </c>
      <c r="C1425" s="1" t="n">
        <v>45831</v>
      </c>
      <c r="D1425" t="inlineStr">
        <is>
          <t>JÄMTLANDS LÄN</t>
        </is>
      </c>
      <c r="E1425" t="inlineStr">
        <is>
          <t>KROKOM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27416-2024</t>
        </is>
      </c>
      <c r="B1426" s="1" t="n">
        <v>45474</v>
      </c>
      <c r="C1426" s="1" t="n">
        <v>45831</v>
      </c>
      <c r="D1426" t="inlineStr">
        <is>
          <t>JÄMTLANDS LÄN</t>
        </is>
      </c>
      <c r="E1426" t="inlineStr">
        <is>
          <t>KROKOM</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27440-2024</t>
        </is>
      </c>
      <c r="B1427" s="1" t="n">
        <v>45474</v>
      </c>
      <c r="C1427" s="1" t="n">
        <v>45831</v>
      </c>
      <c r="D1427" t="inlineStr">
        <is>
          <t>JÄMTLANDS LÄN</t>
        </is>
      </c>
      <c r="E1427" t="inlineStr">
        <is>
          <t>KROKOM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27434-2024</t>
        </is>
      </c>
      <c r="B1428" s="1" t="n">
        <v>45474</v>
      </c>
      <c r="C1428" s="1" t="n">
        <v>45831</v>
      </c>
      <c r="D1428" t="inlineStr">
        <is>
          <t>JÄMTLANDS LÄN</t>
        </is>
      </c>
      <c r="E1428" t="inlineStr">
        <is>
          <t>KROKOM</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27596-2024</t>
        </is>
      </c>
      <c r="B1429" s="1" t="n">
        <v>45474</v>
      </c>
      <c r="C1429" s="1" t="n">
        <v>45831</v>
      </c>
      <c r="D1429" t="inlineStr">
        <is>
          <t>JÄMTLANDS LÄN</t>
        </is>
      </c>
      <c r="E1429" t="inlineStr">
        <is>
          <t>KROKOM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27600-2024</t>
        </is>
      </c>
      <c r="B1430" s="1" t="n">
        <v>45474</v>
      </c>
      <c r="C1430" s="1" t="n">
        <v>45831</v>
      </c>
      <c r="D1430" t="inlineStr">
        <is>
          <t>JÄMTLANDS LÄN</t>
        </is>
      </c>
      <c r="E1430" t="inlineStr">
        <is>
          <t>KROKOM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27597-2024</t>
        </is>
      </c>
      <c r="B1431" s="1" t="n">
        <v>45474</v>
      </c>
      <c r="C1431" s="1" t="n">
        <v>45831</v>
      </c>
      <c r="D1431" t="inlineStr">
        <is>
          <t>JÄMTLANDS LÄN</t>
        </is>
      </c>
      <c r="E1431" t="inlineStr">
        <is>
          <t>KROKOM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27695-2024</t>
        </is>
      </c>
      <c r="B1432" s="1" t="n">
        <v>45475</v>
      </c>
      <c r="C1432" s="1" t="n">
        <v>45831</v>
      </c>
      <c r="D1432" t="inlineStr">
        <is>
          <t>JÄMTLANDS LÄN</t>
        </is>
      </c>
      <c r="E1432" t="inlineStr">
        <is>
          <t>KROKOM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27730-2024</t>
        </is>
      </c>
      <c r="B1433" s="1" t="n">
        <v>45475</v>
      </c>
      <c r="C1433" s="1" t="n">
        <v>45831</v>
      </c>
      <c r="D1433" t="inlineStr">
        <is>
          <t>JÄMTLANDS LÄN</t>
        </is>
      </c>
      <c r="E1433" t="inlineStr">
        <is>
          <t>KROKOM</t>
        </is>
      </c>
      <c r="F1433" t="inlineStr">
        <is>
          <t>Övriga Aktiebolag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27716-2024</t>
        </is>
      </c>
      <c r="B1434" s="1" t="n">
        <v>45475</v>
      </c>
      <c r="C1434" s="1" t="n">
        <v>45831</v>
      </c>
      <c r="D1434" t="inlineStr">
        <is>
          <t>JÄMTLANDS LÄN</t>
        </is>
      </c>
      <c r="E1434" t="inlineStr">
        <is>
          <t>KROKOM</t>
        </is>
      </c>
      <c r="F1434" t="inlineStr">
        <is>
          <t>Övriga Aktiebolag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27729-2024</t>
        </is>
      </c>
      <c r="B1435" s="1" t="n">
        <v>45475</v>
      </c>
      <c r="C1435" s="1" t="n">
        <v>45831</v>
      </c>
      <c r="D1435" t="inlineStr">
        <is>
          <t>JÄMTLANDS LÄN</t>
        </is>
      </c>
      <c r="E1435" t="inlineStr">
        <is>
          <t>KROKOM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27954-2024</t>
        </is>
      </c>
      <c r="B1436" s="1" t="n">
        <v>45476</v>
      </c>
      <c r="C1436" s="1" t="n">
        <v>45831</v>
      </c>
      <c r="D1436" t="inlineStr">
        <is>
          <t>JÄMTLANDS LÄN</t>
        </is>
      </c>
      <c r="E1436" t="inlineStr">
        <is>
          <t>KROKOM</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28191-2024</t>
        </is>
      </c>
      <c r="B1437" s="1" t="n">
        <v>45477</v>
      </c>
      <c r="C1437" s="1" t="n">
        <v>45831</v>
      </c>
      <c r="D1437" t="inlineStr">
        <is>
          <t>JÄMTLANDS LÄN</t>
        </is>
      </c>
      <c r="E1437" t="inlineStr">
        <is>
          <t>KROKOM</t>
        </is>
      </c>
      <c r="F1437" t="inlineStr">
        <is>
          <t>Övriga Aktiebolag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28210-2024</t>
        </is>
      </c>
      <c r="B1438" s="1" t="n">
        <v>45477</v>
      </c>
      <c r="C1438" s="1" t="n">
        <v>45831</v>
      </c>
      <c r="D1438" t="inlineStr">
        <is>
          <t>JÄMTLANDS LÄN</t>
        </is>
      </c>
      <c r="E1438" t="inlineStr">
        <is>
          <t>KROKOM</t>
        </is>
      </c>
      <c r="F1438" t="inlineStr">
        <is>
          <t>Övriga Aktiebolag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28185-2024</t>
        </is>
      </c>
      <c r="B1439" s="1" t="n">
        <v>45477</v>
      </c>
      <c r="C1439" s="1" t="n">
        <v>45831</v>
      </c>
      <c r="D1439" t="inlineStr">
        <is>
          <t>JÄMTLANDS LÄN</t>
        </is>
      </c>
      <c r="E1439" t="inlineStr">
        <is>
          <t>KROKOM</t>
        </is>
      </c>
      <c r="F1439" t="inlineStr">
        <is>
          <t>Övriga Aktiebolag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28595-2024</t>
        </is>
      </c>
      <c r="B1440" s="1" t="n">
        <v>45478</v>
      </c>
      <c r="C1440" s="1" t="n">
        <v>45831</v>
      </c>
      <c r="D1440" t="inlineStr">
        <is>
          <t>JÄMTLANDS LÄN</t>
        </is>
      </c>
      <c r="E1440" t="inlineStr">
        <is>
          <t>KROKOM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28533-2024</t>
        </is>
      </c>
      <c r="B1441" s="1" t="n">
        <v>45478</v>
      </c>
      <c r="C1441" s="1" t="n">
        <v>45831</v>
      </c>
      <c r="D1441" t="inlineStr">
        <is>
          <t>JÄMTLANDS LÄN</t>
        </is>
      </c>
      <c r="E1441" t="inlineStr">
        <is>
          <t>KROKOM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28780-2024</t>
        </is>
      </c>
      <c r="B1442" s="1" t="n">
        <v>45478</v>
      </c>
      <c r="C1442" s="1" t="n">
        <v>45831</v>
      </c>
      <c r="D1442" t="inlineStr">
        <is>
          <t>JÄMTLANDS LÄN</t>
        </is>
      </c>
      <c r="E1442" t="inlineStr">
        <is>
          <t>KROKOM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28568-2024</t>
        </is>
      </c>
      <c r="B1443" s="1" t="n">
        <v>45478</v>
      </c>
      <c r="C1443" s="1" t="n">
        <v>45831</v>
      </c>
      <c r="D1443" t="inlineStr">
        <is>
          <t>JÄMTLANDS LÄN</t>
        </is>
      </c>
      <c r="E1443" t="inlineStr">
        <is>
          <t>KROKOM</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29276-2024</t>
        </is>
      </c>
      <c r="B1444" s="1" t="n">
        <v>45483</v>
      </c>
      <c r="C1444" s="1" t="n">
        <v>45831</v>
      </c>
      <c r="D1444" t="inlineStr">
        <is>
          <t>JÄMTLANDS LÄN</t>
        </is>
      </c>
      <c r="E1444" t="inlineStr">
        <is>
          <t>KROKOM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29275-2024</t>
        </is>
      </c>
      <c r="B1445" s="1" t="n">
        <v>45483</v>
      </c>
      <c r="C1445" s="1" t="n">
        <v>45831</v>
      </c>
      <c r="D1445" t="inlineStr">
        <is>
          <t>JÄMTLANDS LÄN</t>
        </is>
      </c>
      <c r="E1445" t="inlineStr">
        <is>
          <t>KROKOM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29524-2024</t>
        </is>
      </c>
      <c r="B1446" s="1" t="n">
        <v>45484</v>
      </c>
      <c r="C1446" s="1" t="n">
        <v>45831</v>
      </c>
      <c r="D1446" t="inlineStr">
        <is>
          <t>JÄMTLANDS LÄN</t>
        </is>
      </c>
      <c r="E1446" t="inlineStr">
        <is>
          <t>KROKOM</t>
        </is>
      </c>
      <c r="F1446" t="inlineStr">
        <is>
          <t>Övriga Aktiebolag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29484-2024</t>
        </is>
      </c>
      <c r="B1447" s="1" t="n">
        <v>45484</v>
      </c>
      <c r="C1447" s="1" t="n">
        <v>45831</v>
      </c>
      <c r="D1447" t="inlineStr">
        <is>
          <t>JÄMTLANDS LÄN</t>
        </is>
      </c>
      <c r="E1447" t="inlineStr">
        <is>
          <t>KROKOM</t>
        </is>
      </c>
      <c r="F1447" t="inlineStr">
        <is>
          <t>Övriga Aktiebolag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29477-2024</t>
        </is>
      </c>
      <c r="B1448" s="1" t="n">
        <v>45484</v>
      </c>
      <c r="C1448" s="1" t="n">
        <v>45831</v>
      </c>
      <c r="D1448" t="inlineStr">
        <is>
          <t>JÄMTLANDS LÄN</t>
        </is>
      </c>
      <c r="E1448" t="inlineStr">
        <is>
          <t>KROKOM</t>
        </is>
      </c>
      <c r="F1448" t="inlineStr">
        <is>
          <t>Övriga Aktiebolag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30065-2024</t>
        </is>
      </c>
      <c r="B1449" s="1" t="n">
        <v>45489</v>
      </c>
      <c r="C1449" s="1" t="n">
        <v>45831</v>
      </c>
      <c r="D1449" t="inlineStr">
        <is>
          <t>JÄMTLANDS LÄN</t>
        </is>
      </c>
      <c r="E1449" t="inlineStr">
        <is>
          <t>KROKOM</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30383-2024</t>
        </is>
      </c>
      <c r="B1450" s="1" t="n">
        <v>45491</v>
      </c>
      <c r="C1450" s="1" t="n">
        <v>45831</v>
      </c>
      <c r="D1450" t="inlineStr">
        <is>
          <t>JÄMTLANDS LÄN</t>
        </is>
      </c>
      <c r="E1450" t="inlineStr">
        <is>
          <t>KROKOM</t>
        </is>
      </c>
      <c r="G1450" t="n">
        <v>22.9</v>
      </c>
      <c r="H1450" t="n">
        <v>0</v>
      </c>
      <c r="I1450" t="n">
        <v>0</v>
      </c>
      <c r="J1450" t="n">
        <v>0</v>
      </c>
      <c r="K1450" t="n">
        <v>0</v>
      </c>
      <c r="L1450" t="n">
        <v>0</v>
      </c>
      <c r="M1450" t="n">
        <v>0</v>
      </c>
      <c r="N1450" t="n">
        <v>0</v>
      </c>
      <c r="O1450" t="n">
        <v>0</v>
      </c>
      <c r="P1450" t="n">
        <v>0</v>
      </c>
      <c r="Q1450" t="n">
        <v>0</v>
      </c>
      <c r="R1450" s="2" t="inlineStr"/>
    </row>
    <row r="1451" ht="15" customHeight="1">
      <c r="A1451" t="inlineStr">
        <is>
          <t>A 30494-2024</t>
        </is>
      </c>
      <c r="B1451" s="1" t="n">
        <v>45491</v>
      </c>
      <c r="C1451" s="1" t="n">
        <v>45831</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30709-2024</t>
        </is>
      </c>
      <c r="B1452" s="1" t="n">
        <v>45496</v>
      </c>
      <c r="C1452" s="1" t="n">
        <v>45831</v>
      </c>
      <c r="D1452" t="inlineStr">
        <is>
          <t>JÄMTLANDS LÄN</t>
        </is>
      </c>
      <c r="E1452" t="inlineStr">
        <is>
          <t>KROKOM</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30979-2024</t>
        </is>
      </c>
      <c r="B1453" s="1" t="n">
        <v>45499</v>
      </c>
      <c r="C1453" s="1" t="n">
        <v>45831</v>
      </c>
      <c r="D1453" t="inlineStr">
        <is>
          <t>JÄMTLANDS LÄN</t>
        </is>
      </c>
      <c r="E1453" t="inlineStr">
        <is>
          <t>KROKOM</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31478-2024</t>
        </is>
      </c>
      <c r="B1454" s="1" t="n">
        <v>45506</v>
      </c>
      <c r="C1454" s="1" t="n">
        <v>45831</v>
      </c>
      <c r="D1454" t="inlineStr">
        <is>
          <t>JÄMTLANDS LÄN</t>
        </is>
      </c>
      <c r="E1454" t="inlineStr">
        <is>
          <t>KROKOM</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31988-2024</t>
        </is>
      </c>
      <c r="B1455" s="1" t="n">
        <v>45510</v>
      </c>
      <c r="C1455" s="1" t="n">
        <v>45831</v>
      </c>
      <c r="D1455" t="inlineStr">
        <is>
          <t>JÄMTLANDS LÄN</t>
        </is>
      </c>
      <c r="E1455" t="inlineStr">
        <is>
          <t>KROKOM</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32244-2024</t>
        </is>
      </c>
      <c r="B1456" s="1" t="n">
        <v>45512</v>
      </c>
      <c r="C1456" s="1" t="n">
        <v>45831</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32243-2024</t>
        </is>
      </c>
      <c r="B1457" s="1" t="n">
        <v>45512</v>
      </c>
      <c r="C1457" s="1" t="n">
        <v>45831</v>
      </c>
      <c r="D1457" t="inlineStr">
        <is>
          <t>JÄMTLANDS LÄN</t>
        </is>
      </c>
      <c r="E1457" t="inlineStr">
        <is>
          <t>KROKOM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33480-2024</t>
        </is>
      </c>
      <c r="B1458" s="1" t="n">
        <v>45519</v>
      </c>
      <c r="C1458" s="1" t="n">
        <v>45831</v>
      </c>
      <c r="D1458" t="inlineStr">
        <is>
          <t>JÄMTLANDS LÄN</t>
        </is>
      </c>
      <c r="E1458" t="inlineStr">
        <is>
          <t>KROKOM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34517-2024</t>
        </is>
      </c>
      <c r="B1459" s="1" t="n">
        <v>45525</v>
      </c>
      <c r="C1459" s="1" t="n">
        <v>45831</v>
      </c>
      <c r="D1459" t="inlineStr">
        <is>
          <t>JÄMTLANDS LÄN</t>
        </is>
      </c>
      <c r="E1459" t="inlineStr">
        <is>
          <t>KROKOM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34902-2024</t>
        </is>
      </c>
      <c r="B1460" s="1" t="n">
        <v>45527</v>
      </c>
      <c r="C1460" s="1" t="n">
        <v>45831</v>
      </c>
      <c r="D1460" t="inlineStr">
        <is>
          <t>JÄMTLANDS LÄN</t>
        </is>
      </c>
      <c r="E1460" t="inlineStr">
        <is>
          <t>KROKOM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34912-2024</t>
        </is>
      </c>
      <c r="B1461" s="1" t="n">
        <v>45527</v>
      </c>
      <c r="C1461" s="1" t="n">
        <v>45831</v>
      </c>
      <c r="D1461" t="inlineStr">
        <is>
          <t>JÄMTLANDS LÄN</t>
        </is>
      </c>
      <c r="E1461" t="inlineStr">
        <is>
          <t>KROKOM</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35542-2024</t>
        </is>
      </c>
      <c r="B1462" s="1" t="n">
        <v>45531</v>
      </c>
      <c r="C1462" s="1" t="n">
        <v>45831</v>
      </c>
      <c r="D1462" t="inlineStr">
        <is>
          <t>JÄMTLANDS LÄN</t>
        </is>
      </c>
      <c r="E1462" t="inlineStr">
        <is>
          <t>KROKOM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35559-2024</t>
        </is>
      </c>
      <c r="B1463" s="1" t="n">
        <v>45531</v>
      </c>
      <c r="C1463" s="1" t="n">
        <v>45831</v>
      </c>
      <c r="D1463" t="inlineStr">
        <is>
          <t>JÄMTLANDS LÄN</t>
        </is>
      </c>
      <c r="E1463" t="inlineStr">
        <is>
          <t>KROKOM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35667-2024</t>
        </is>
      </c>
      <c r="B1464" s="1" t="n">
        <v>45532</v>
      </c>
      <c r="C1464" s="1" t="n">
        <v>45831</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35767-2024</t>
        </is>
      </c>
      <c r="B1465" s="1" t="n">
        <v>45532</v>
      </c>
      <c r="C1465" s="1" t="n">
        <v>45831</v>
      </c>
      <c r="D1465" t="inlineStr">
        <is>
          <t>JÄMTLANDS LÄN</t>
        </is>
      </c>
      <c r="E1465" t="inlineStr">
        <is>
          <t>KROKOM</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35651-2024</t>
        </is>
      </c>
      <c r="B1466" s="1" t="n">
        <v>45532</v>
      </c>
      <c r="C1466" s="1" t="n">
        <v>45831</v>
      </c>
      <c r="D1466" t="inlineStr">
        <is>
          <t>JÄMTLANDS LÄN</t>
        </is>
      </c>
      <c r="E1466" t="inlineStr">
        <is>
          <t>KROKOM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35720-2024</t>
        </is>
      </c>
      <c r="B1467" s="1" t="n">
        <v>45532</v>
      </c>
      <c r="C1467" s="1" t="n">
        <v>45831</v>
      </c>
      <c r="D1467" t="inlineStr">
        <is>
          <t>JÄMTLANDS LÄN</t>
        </is>
      </c>
      <c r="E1467" t="inlineStr">
        <is>
          <t>KROKOM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35753-2024</t>
        </is>
      </c>
      <c r="B1468" s="1" t="n">
        <v>45532</v>
      </c>
      <c r="C1468" s="1" t="n">
        <v>45831</v>
      </c>
      <c r="D1468" t="inlineStr">
        <is>
          <t>JÄMTLANDS LÄN</t>
        </is>
      </c>
      <c r="E1468" t="inlineStr">
        <is>
          <t>KROKOM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36272-2024</t>
        </is>
      </c>
      <c r="B1469" s="1" t="n">
        <v>45534</v>
      </c>
      <c r="C1469" s="1" t="n">
        <v>45831</v>
      </c>
      <c r="D1469" t="inlineStr">
        <is>
          <t>JÄMTLANDS LÄN</t>
        </is>
      </c>
      <c r="E1469" t="inlineStr">
        <is>
          <t>KROKOM</t>
        </is>
      </c>
      <c r="F1469" t="inlineStr">
        <is>
          <t>Övriga Aktiebolag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36504-2024</t>
        </is>
      </c>
      <c r="B1470" s="1" t="n">
        <v>45537</v>
      </c>
      <c r="C1470" s="1" t="n">
        <v>45831</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36531-2024</t>
        </is>
      </c>
      <c r="B1471" s="1" t="n">
        <v>45537</v>
      </c>
      <c r="C1471" s="1" t="n">
        <v>45831</v>
      </c>
      <c r="D1471" t="inlineStr">
        <is>
          <t>JÄMTLANDS LÄN</t>
        </is>
      </c>
      <c r="E1471" t="inlineStr">
        <is>
          <t>KROKOM</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36615-2024</t>
        </is>
      </c>
      <c r="B1472" s="1" t="n">
        <v>45537</v>
      </c>
      <c r="C1472" s="1" t="n">
        <v>45831</v>
      </c>
      <c r="D1472" t="inlineStr">
        <is>
          <t>JÄMTLANDS LÄN</t>
        </is>
      </c>
      <c r="E1472" t="inlineStr">
        <is>
          <t>KROKOM</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36929-2024</t>
        </is>
      </c>
      <c r="B1473" s="1" t="n">
        <v>45538</v>
      </c>
      <c r="C1473" s="1" t="n">
        <v>45831</v>
      </c>
      <c r="D1473" t="inlineStr">
        <is>
          <t>JÄMTLANDS LÄN</t>
        </is>
      </c>
      <c r="E1473" t="inlineStr">
        <is>
          <t>KROKOM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37230-2024</t>
        </is>
      </c>
      <c r="B1474" s="1" t="n">
        <v>45539</v>
      </c>
      <c r="C1474" s="1" t="n">
        <v>45831</v>
      </c>
      <c r="D1474" t="inlineStr">
        <is>
          <t>JÄMTLANDS LÄN</t>
        </is>
      </c>
      <c r="E1474" t="inlineStr">
        <is>
          <t>KROKOM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37293-2024</t>
        </is>
      </c>
      <c r="B1475" s="1" t="n">
        <v>45540</v>
      </c>
      <c r="C1475" s="1" t="n">
        <v>45831</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38535-2024</t>
        </is>
      </c>
      <c r="B1476" s="1" t="n">
        <v>45546</v>
      </c>
      <c r="C1476" s="1" t="n">
        <v>45831</v>
      </c>
      <c r="D1476" t="inlineStr">
        <is>
          <t>JÄMTLANDS LÄN</t>
        </is>
      </c>
      <c r="E1476" t="inlineStr">
        <is>
          <t>KROKOM</t>
        </is>
      </c>
      <c r="G1476" t="n">
        <v>27.6</v>
      </c>
      <c r="H1476" t="n">
        <v>0</v>
      </c>
      <c r="I1476" t="n">
        <v>0</v>
      </c>
      <c r="J1476" t="n">
        <v>0</v>
      </c>
      <c r="K1476" t="n">
        <v>0</v>
      </c>
      <c r="L1476" t="n">
        <v>0</v>
      </c>
      <c r="M1476" t="n">
        <v>0</v>
      </c>
      <c r="N1476" t="n">
        <v>0</v>
      </c>
      <c r="O1476" t="n">
        <v>0</v>
      </c>
      <c r="P1476" t="n">
        <v>0</v>
      </c>
      <c r="Q1476" t="n">
        <v>0</v>
      </c>
      <c r="R1476" s="2" t="inlineStr"/>
    </row>
    <row r="1477" ht="15" customHeight="1">
      <c r="A1477" t="inlineStr">
        <is>
          <t>A 38748-2024</t>
        </is>
      </c>
      <c r="B1477" s="1" t="n">
        <v>45547</v>
      </c>
      <c r="C1477" s="1" t="n">
        <v>45831</v>
      </c>
      <c r="D1477" t="inlineStr">
        <is>
          <t>JÄMTLANDS LÄN</t>
        </is>
      </c>
      <c r="E1477" t="inlineStr">
        <is>
          <t>KROKOM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38723-2024</t>
        </is>
      </c>
      <c r="B1478" s="1" t="n">
        <v>45547</v>
      </c>
      <c r="C1478" s="1" t="n">
        <v>45831</v>
      </c>
      <c r="D1478" t="inlineStr">
        <is>
          <t>JÄMTLANDS LÄN</t>
        </is>
      </c>
      <c r="E1478" t="inlineStr">
        <is>
          <t>KROKOM</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38747-2024</t>
        </is>
      </c>
      <c r="B1479" s="1" t="n">
        <v>45547</v>
      </c>
      <c r="C1479" s="1" t="n">
        <v>45831</v>
      </c>
      <c r="D1479" t="inlineStr">
        <is>
          <t>JÄMTLANDS LÄN</t>
        </is>
      </c>
      <c r="E1479" t="inlineStr">
        <is>
          <t>KROKOM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39056-2024</t>
        </is>
      </c>
      <c r="B1480" s="1" t="n">
        <v>45548</v>
      </c>
      <c r="C1480" s="1" t="n">
        <v>45831</v>
      </c>
      <c r="D1480" t="inlineStr">
        <is>
          <t>JÄMTLANDS LÄN</t>
        </is>
      </c>
      <c r="E1480" t="inlineStr">
        <is>
          <t>KROKOM</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39230-2024</t>
        </is>
      </c>
      <c r="B1481" s="1" t="n">
        <v>45550</v>
      </c>
      <c r="C1481" s="1" t="n">
        <v>45831</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39263-2024</t>
        </is>
      </c>
      <c r="B1482" s="1" t="n">
        <v>45551</v>
      </c>
      <c r="C1482" s="1" t="n">
        <v>45831</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39368-2024</t>
        </is>
      </c>
      <c r="B1483" s="1" t="n">
        <v>45551</v>
      </c>
      <c r="C1483" s="1" t="n">
        <v>45831</v>
      </c>
      <c r="D1483" t="inlineStr">
        <is>
          <t>JÄMTLANDS LÄN</t>
        </is>
      </c>
      <c r="E1483" t="inlineStr">
        <is>
          <t>KROKOM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39546-2024</t>
        </is>
      </c>
      <c r="B1484" s="1" t="n">
        <v>45552</v>
      </c>
      <c r="C1484" s="1" t="n">
        <v>45831</v>
      </c>
      <c r="D1484" t="inlineStr">
        <is>
          <t>JÄMTLANDS LÄN</t>
        </is>
      </c>
      <c r="E1484" t="inlineStr">
        <is>
          <t>KROKOM</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39696-2024</t>
        </is>
      </c>
      <c r="B1485" s="1" t="n">
        <v>45552</v>
      </c>
      <c r="C1485" s="1" t="n">
        <v>45831</v>
      </c>
      <c r="D1485" t="inlineStr">
        <is>
          <t>JÄMTLANDS LÄN</t>
        </is>
      </c>
      <c r="E1485" t="inlineStr">
        <is>
          <t>KROKOM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39701-2024</t>
        </is>
      </c>
      <c r="B1486" s="1" t="n">
        <v>45552</v>
      </c>
      <c r="C1486" s="1" t="n">
        <v>45831</v>
      </c>
      <c r="D1486" t="inlineStr">
        <is>
          <t>JÄMTLANDS LÄN</t>
        </is>
      </c>
      <c r="E1486" t="inlineStr">
        <is>
          <t>KROKOM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39753-2024</t>
        </is>
      </c>
      <c r="B1487" s="1" t="n">
        <v>45552</v>
      </c>
      <c r="C1487" s="1" t="n">
        <v>45831</v>
      </c>
      <c r="D1487" t="inlineStr">
        <is>
          <t>JÄMTLANDS LÄN</t>
        </is>
      </c>
      <c r="E1487" t="inlineStr">
        <is>
          <t>KROKOM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39751-2024</t>
        </is>
      </c>
      <c r="B1488" s="1" t="n">
        <v>45552</v>
      </c>
      <c r="C1488" s="1" t="n">
        <v>45831</v>
      </c>
      <c r="D1488" t="inlineStr">
        <is>
          <t>JÄMTLANDS LÄN</t>
        </is>
      </c>
      <c r="E1488" t="inlineStr">
        <is>
          <t>KROKOM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39843-2024</t>
        </is>
      </c>
      <c r="B1489" s="1" t="n">
        <v>45553</v>
      </c>
      <c r="C1489" s="1" t="n">
        <v>45831</v>
      </c>
      <c r="D1489" t="inlineStr">
        <is>
          <t>JÄMTLANDS LÄN</t>
        </is>
      </c>
      <c r="E1489" t="inlineStr">
        <is>
          <t>KROKOM</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39847-2024</t>
        </is>
      </c>
      <c r="B1490" s="1" t="n">
        <v>45553</v>
      </c>
      <c r="C1490" s="1" t="n">
        <v>45831</v>
      </c>
      <c r="D1490" t="inlineStr">
        <is>
          <t>JÄMTLANDS LÄN</t>
        </is>
      </c>
      <c r="E1490" t="inlineStr">
        <is>
          <t>KROKOM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39896-2024</t>
        </is>
      </c>
      <c r="B1491" s="1" t="n">
        <v>45553</v>
      </c>
      <c r="C1491" s="1" t="n">
        <v>45831</v>
      </c>
      <c r="D1491" t="inlineStr">
        <is>
          <t>JÄMTLANDS LÄN</t>
        </is>
      </c>
      <c r="E1491" t="inlineStr">
        <is>
          <t>KROKOM</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40213-2024</t>
        </is>
      </c>
      <c r="B1492" s="1" t="n">
        <v>45554</v>
      </c>
      <c r="C1492" s="1" t="n">
        <v>45831</v>
      </c>
      <c r="D1492" t="inlineStr">
        <is>
          <t>JÄMTLANDS LÄN</t>
        </is>
      </c>
      <c r="E1492" t="inlineStr">
        <is>
          <t>KROKOM</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40221-2024</t>
        </is>
      </c>
      <c r="B1493" s="1" t="n">
        <v>45554</v>
      </c>
      <c r="C1493" s="1" t="n">
        <v>45831</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40219-2024</t>
        </is>
      </c>
      <c r="B1494" s="1" t="n">
        <v>45554</v>
      </c>
      <c r="C1494" s="1" t="n">
        <v>45831</v>
      </c>
      <c r="D1494" t="inlineStr">
        <is>
          <t>JÄMTLANDS LÄN</t>
        </is>
      </c>
      <c r="E1494" t="inlineStr">
        <is>
          <t>KROKOM</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40271-2024</t>
        </is>
      </c>
      <c r="B1495" s="1" t="n">
        <v>45554</v>
      </c>
      <c r="C1495" s="1" t="n">
        <v>45831</v>
      </c>
      <c r="D1495" t="inlineStr">
        <is>
          <t>JÄMTLANDS LÄN</t>
        </is>
      </c>
      <c r="E1495" t="inlineStr">
        <is>
          <t>KROKOM</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40394-2024</t>
        </is>
      </c>
      <c r="B1496" s="1" t="n">
        <v>45555</v>
      </c>
      <c r="C1496" s="1" t="n">
        <v>45831</v>
      </c>
      <c r="D1496" t="inlineStr">
        <is>
          <t>JÄMTLANDS LÄN</t>
        </is>
      </c>
      <c r="E1496" t="inlineStr">
        <is>
          <t>KROKOM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40862-2024</t>
        </is>
      </c>
      <c r="B1497" s="1" t="n">
        <v>45558</v>
      </c>
      <c r="C1497" s="1" t="n">
        <v>45831</v>
      </c>
      <c r="D1497" t="inlineStr">
        <is>
          <t>JÄMTLANDS LÄN</t>
        </is>
      </c>
      <c r="E1497" t="inlineStr">
        <is>
          <t>KROKOM</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41439-2024</t>
        </is>
      </c>
      <c r="B1498" s="1" t="n">
        <v>45560</v>
      </c>
      <c r="C1498" s="1" t="n">
        <v>45831</v>
      </c>
      <c r="D1498" t="inlineStr">
        <is>
          <t>JÄMTLANDS LÄN</t>
        </is>
      </c>
      <c r="E1498" t="inlineStr">
        <is>
          <t>KROKOM</t>
        </is>
      </c>
      <c r="F1498" t="inlineStr">
        <is>
          <t>Övriga Aktiebolag</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41675-2024</t>
        </is>
      </c>
      <c r="B1499" s="1" t="n">
        <v>45560</v>
      </c>
      <c r="C1499" s="1" t="n">
        <v>45831</v>
      </c>
      <c r="D1499" t="inlineStr">
        <is>
          <t>JÄMTLANDS LÄN</t>
        </is>
      </c>
      <c r="E1499" t="inlineStr">
        <is>
          <t>KROKOM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41628-2024</t>
        </is>
      </c>
      <c r="B1500" s="1" t="n">
        <v>45560</v>
      </c>
      <c r="C1500" s="1" t="n">
        <v>45831</v>
      </c>
      <c r="D1500" t="inlineStr">
        <is>
          <t>JÄMTLANDS LÄN</t>
        </is>
      </c>
      <c r="E1500" t="inlineStr">
        <is>
          <t>KROKOM</t>
        </is>
      </c>
      <c r="F1500" t="inlineStr">
        <is>
          <t>Övriga Aktiebolag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41497-2024</t>
        </is>
      </c>
      <c r="B1501" s="1" t="n">
        <v>45560</v>
      </c>
      <c r="C1501" s="1" t="n">
        <v>45831</v>
      </c>
      <c r="D1501" t="inlineStr">
        <is>
          <t>JÄMTLANDS LÄN</t>
        </is>
      </c>
      <c r="E1501" t="inlineStr">
        <is>
          <t>KROKOM</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41700-2024</t>
        </is>
      </c>
      <c r="B1502" s="1" t="n">
        <v>45560</v>
      </c>
      <c r="C1502" s="1" t="n">
        <v>45831</v>
      </c>
      <c r="D1502" t="inlineStr">
        <is>
          <t>JÄMTLANDS LÄN</t>
        </is>
      </c>
      <c r="E1502" t="inlineStr">
        <is>
          <t>KROKOM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41852-2024</t>
        </is>
      </c>
      <c r="B1503" s="1" t="n">
        <v>45561</v>
      </c>
      <c r="C1503" s="1" t="n">
        <v>45831</v>
      </c>
      <c r="D1503" t="inlineStr">
        <is>
          <t>JÄMTLANDS LÄN</t>
        </is>
      </c>
      <c r="E1503" t="inlineStr">
        <is>
          <t>KROKOM</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41971-2024</t>
        </is>
      </c>
      <c r="B1504" s="1" t="n">
        <v>45561</v>
      </c>
      <c r="C1504" s="1" t="n">
        <v>45831</v>
      </c>
      <c r="D1504" t="inlineStr">
        <is>
          <t>JÄMTLANDS LÄN</t>
        </is>
      </c>
      <c r="E1504" t="inlineStr">
        <is>
          <t>KROKOM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41838-2024</t>
        </is>
      </c>
      <c r="B1505" s="1" t="n">
        <v>45561</v>
      </c>
      <c r="C1505" s="1" t="n">
        <v>45831</v>
      </c>
      <c r="D1505" t="inlineStr">
        <is>
          <t>JÄMTLANDS LÄN</t>
        </is>
      </c>
      <c r="E1505" t="inlineStr">
        <is>
          <t>KROKOM</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41858-2024</t>
        </is>
      </c>
      <c r="B1506" s="1" t="n">
        <v>45561</v>
      </c>
      <c r="C1506" s="1" t="n">
        <v>45831</v>
      </c>
      <c r="D1506" t="inlineStr">
        <is>
          <t>JÄMTLANDS LÄN</t>
        </is>
      </c>
      <c r="E1506" t="inlineStr">
        <is>
          <t>KROKOM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41972-2024</t>
        </is>
      </c>
      <c r="B1507" s="1" t="n">
        <v>45561</v>
      </c>
      <c r="C1507" s="1" t="n">
        <v>45831</v>
      </c>
      <c r="D1507" t="inlineStr">
        <is>
          <t>JÄMTLANDS LÄN</t>
        </is>
      </c>
      <c r="E1507" t="inlineStr">
        <is>
          <t>KROKOM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42092-2024</t>
        </is>
      </c>
      <c r="B1508" s="1" t="n">
        <v>45562</v>
      </c>
      <c r="C1508" s="1" t="n">
        <v>45831</v>
      </c>
      <c r="D1508" t="inlineStr">
        <is>
          <t>JÄMTLANDS LÄN</t>
        </is>
      </c>
      <c r="E1508" t="inlineStr">
        <is>
          <t>KROKOM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42097-2024</t>
        </is>
      </c>
      <c r="B1509" s="1" t="n">
        <v>45562</v>
      </c>
      <c r="C1509" s="1" t="n">
        <v>45831</v>
      </c>
      <c r="D1509" t="inlineStr">
        <is>
          <t>JÄMTLANDS LÄN</t>
        </is>
      </c>
      <c r="E1509" t="inlineStr">
        <is>
          <t>KROKOM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42398-2024</t>
        </is>
      </c>
      <c r="B1510" s="1" t="n">
        <v>45565</v>
      </c>
      <c r="C1510" s="1" t="n">
        <v>45831</v>
      </c>
      <c r="D1510" t="inlineStr">
        <is>
          <t>JÄMTLANDS LÄN</t>
        </is>
      </c>
      <c r="E1510" t="inlineStr">
        <is>
          <t>KROKOM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42393-2024</t>
        </is>
      </c>
      <c r="B1511" s="1" t="n">
        <v>45565</v>
      </c>
      <c r="C1511" s="1" t="n">
        <v>45831</v>
      </c>
      <c r="D1511" t="inlineStr">
        <is>
          <t>JÄMTLANDS LÄN</t>
        </is>
      </c>
      <c r="E1511" t="inlineStr">
        <is>
          <t>KROKOM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42774-2024</t>
        </is>
      </c>
      <c r="B1512" s="1" t="n">
        <v>45566</v>
      </c>
      <c r="C1512" s="1" t="n">
        <v>45831</v>
      </c>
      <c r="D1512" t="inlineStr">
        <is>
          <t>JÄMTLANDS LÄN</t>
        </is>
      </c>
      <c r="E1512" t="inlineStr">
        <is>
          <t>KROKOM</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43415-2024</t>
        </is>
      </c>
      <c r="B1513" s="1" t="n">
        <v>45568</v>
      </c>
      <c r="C1513" s="1" t="n">
        <v>45831</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43536-2024</t>
        </is>
      </c>
      <c r="B1514" s="1" t="n">
        <v>45569</v>
      </c>
      <c r="C1514" s="1" t="n">
        <v>45831</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43932-2024</t>
        </is>
      </c>
      <c r="B1515" s="1" t="n">
        <v>45572</v>
      </c>
      <c r="C1515" s="1" t="n">
        <v>45831</v>
      </c>
      <c r="D1515" t="inlineStr">
        <is>
          <t>JÄMTLANDS LÄN</t>
        </is>
      </c>
      <c r="E1515" t="inlineStr">
        <is>
          <t>KROKOM</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44296-2024</t>
        </is>
      </c>
      <c r="B1516" s="1" t="n">
        <v>45573</v>
      </c>
      <c r="C1516" s="1" t="n">
        <v>45831</v>
      </c>
      <c r="D1516" t="inlineStr">
        <is>
          <t>JÄMTLANDS LÄN</t>
        </is>
      </c>
      <c r="E1516" t="inlineStr">
        <is>
          <t>KROKOM</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44221-2024</t>
        </is>
      </c>
      <c r="B1517" s="1" t="n">
        <v>45573</v>
      </c>
      <c r="C1517" s="1" t="n">
        <v>45831</v>
      </c>
      <c r="D1517" t="inlineStr">
        <is>
          <t>JÄMTLANDS LÄN</t>
        </is>
      </c>
      <c r="E1517" t="inlineStr">
        <is>
          <t>KROKOM</t>
        </is>
      </c>
      <c r="F1517" t="inlineStr">
        <is>
          <t>Övriga Aktiebolag</t>
        </is>
      </c>
      <c r="G1517" t="n">
        <v>19.3</v>
      </c>
      <c r="H1517" t="n">
        <v>0</v>
      </c>
      <c r="I1517" t="n">
        <v>0</v>
      </c>
      <c r="J1517" t="n">
        <v>0</v>
      </c>
      <c r="K1517" t="n">
        <v>0</v>
      </c>
      <c r="L1517" t="n">
        <v>0</v>
      </c>
      <c r="M1517" t="n">
        <v>0</v>
      </c>
      <c r="N1517" t="n">
        <v>0</v>
      </c>
      <c r="O1517" t="n">
        <v>0</v>
      </c>
      <c r="P1517" t="n">
        <v>0</v>
      </c>
      <c r="Q1517" t="n">
        <v>0</v>
      </c>
      <c r="R1517" s="2" t="inlineStr"/>
    </row>
    <row r="1518" ht="15" customHeight="1">
      <c r="A1518" t="inlineStr">
        <is>
          <t>A 44519-2024</t>
        </is>
      </c>
      <c r="B1518" s="1" t="n">
        <v>45574</v>
      </c>
      <c r="C1518" s="1" t="n">
        <v>45831</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45336-2024</t>
        </is>
      </c>
      <c r="B1519" s="1" t="n">
        <v>45576</v>
      </c>
      <c r="C1519" s="1" t="n">
        <v>45831</v>
      </c>
      <c r="D1519" t="inlineStr">
        <is>
          <t>JÄMTLANDS LÄN</t>
        </is>
      </c>
      <c r="E1519" t="inlineStr">
        <is>
          <t>KROKOM</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45777-2024</t>
        </is>
      </c>
      <c r="B1520" s="1" t="n">
        <v>45579</v>
      </c>
      <c r="C1520" s="1" t="n">
        <v>45831</v>
      </c>
      <c r="D1520" t="inlineStr">
        <is>
          <t>JÄMTLANDS LÄN</t>
        </is>
      </c>
      <c r="E1520" t="inlineStr">
        <is>
          <t>KROKOM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45753-2024</t>
        </is>
      </c>
      <c r="B1521" s="1" t="n">
        <v>45579</v>
      </c>
      <c r="C1521" s="1" t="n">
        <v>45831</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45869-2024</t>
        </is>
      </c>
      <c r="B1522" s="1" t="n">
        <v>45580</v>
      </c>
      <c r="C1522" s="1" t="n">
        <v>45831</v>
      </c>
      <c r="D1522" t="inlineStr">
        <is>
          <t>JÄMTLANDS LÄN</t>
        </is>
      </c>
      <c r="E1522" t="inlineStr">
        <is>
          <t>KROKOM</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45866-2024</t>
        </is>
      </c>
      <c r="B1523" s="1" t="n">
        <v>45580</v>
      </c>
      <c r="C1523" s="1" t="n">
        <v>45831</v>
      </c>
      <c r="D1523" t="inlineStr">
        <is>
          <t>JÄMTLANDS LÄN</t>
        </is>
      </c>
      <c r="E1523" t="inlineStr">
        <is>
          <t>KROKOM</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45936-2024</t>
        </is>
      </c>
      <c r="B1524" s="1" t="n">
        <v>45580</v>
      </c>
      <c r="C1524" s="1" t="n">
        <v>45831</v>
      </c>
      <c r="D1524" t="inlineStr">
        <is>
          <t>JÄMTLANDS LÄN</t>
        </is>
      </c>
      <c r="E1524" t="inlineStr">
        <is>
          <t>KROKOM</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46507-2024</t>
        </is>
      </c>
      <c r="B1525" s="1" t="n">
        <v>45582</v>
      </c>
      <c r="C1525" s="1" t="n">
        <v>45831</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46785-2024</t>
        </is>
      </c>
      <c r="B1526" s="1" t="n">
        <v>45583</v>
      </c>
      <c r="C1526" s="1" t="n">
        <v>45831</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46881-2024</t>
        </is>
      </c>
      <c r="B1527" s="1" t="n">
        <v>45583</v>
      </c>
      <c r="C1527" s="1" t="n">
        <v>45831</v>
      </c>
      <c r="D1527" t="inlineStr">
        <is>
          <t>JÄMTLANDS LÄN</t>
        </is>
      </c>
      <c r="E1527" t="inlineStr">
        <is>
          <t>KROKOM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47098-2024</t>
        </is>
      </c>
      <c r="B1528" s="1" t="n">
        <v>45586</v>
      </c>
      <c r="C1528" s="1" t="n">
        <v>45831</v>
      </c>
      <c r="D1528" t="inlineStr">
        <is>
          <t>JÄMTLANDS LÄN</t>
        </is>
      </c>
      <c r="E1528" t="inlineStr">
        <is>
          <t>KROKOM</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47039-2024</t>
        </is>
      </c>
      <c r="B1529" s="1" t="n">
        <v>45586</v>
      </c>
      <c r="C1529" s="1" t="n">
        <v>45831</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47060-2024</t>
        </is>
      </c>
      <c r="B1530" s="1" t="n">
        <v>45586</v>
      </c>
      <c r="C1530" s="1" t="n">
        <v>45831</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47218-2024</t>
        </is>
      </c>
      <c r="B1531" s="1" t="n">
        <v>45586</v>
      </c>
      <c r="C1531" s="1" t="n">
        <v>45831</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47723-2024</t>
        </is>
      </c>
      <c r="B1532" s="1" t="n">
        <v>45588</v>
      </c>
      <c r="C1532" s="1" t="n">
        <v>45831</v>
      </c>
      <c r="D1532" t="inlineStr">
        <is>
          <t>JÄMTLANDS LÄN</t>
        </is>
      </c>
      <c r="E1532" t="inlineStr">
        <is>
          <t>KROKOM</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47721-2024</t>
        </is>
      </c>
      <c r="B1533" s="1" t="n">
        <v>45588</v>
      </c>
      <c r="C1533" s="1" t="n">
        <v>45831</v>
      </c>
      <c r="D1533" t="inlineStr">
        <is>
          <t>JÄMTLANDS LÄN</t>
        </is>
      </c>
      <c r="E1533" t="inlineStr">
        <is>
          <t>KROKOM</t>
        </is>
      </c>
      <c r="G1533" t="n">
        <v>19.2</v>
      </c>
      <c r="H1533" t="n">
        <v>0</v>
      </c>
      <c r="I1533" t="n">
        <v>0</v>
      </c>
      <c r="J1533" t="n">
        <v>0</v>
      </c>
      <c r="K1533" t="n">
        <v>0</v>
      </c>
      <c r="L1533" t="n">
        <v>0</v>
      </c>
      <c r="M1533" t="n">
        <v>0</v>
      </c>
      <c r="N1533" t="n">
        <v>0</v>
      </c>
      <c r="O1533" t="n">
        <v>0</v>
      </c>
      <c r="P1533" t="n">
        <v>0</v>
      </c>
      <c r="Q1533" t="n">
        <v>0</v>
      </c>
      <c r="R1533" s="2" t="inlineStr"/>
    </row>
    <row r="1534" ht="15" customHeight="1">
      <c r="A1534" t="inlineStr">
        <is>
          <t>A 47722-2024</t>
        </is>
      </c>
      <c r="B1534" s="1" t="n">
        <v>45588</v>
      </c>
      <c r="C1534" s="1" t="n">
        <v>45831</v>
      </c>
      <c r="D1534" t="inlineStr">
        <is>
          <t>JÄMTLANDS LÄN</t>
        </is>
      </c>
      <c r="E1534" t="inlineStr">
        <is>
          <t>KROKOM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48119-2024</t>
        </is>
      </c>
      <c r="B1535" s="1" t="n">
        <v>45589</v>
      </c>
      <c r="C1535" s="1" t="n">
        <v>45831</v>
      </c>
      <c r="D1535" t="inlineStr">
        <is>
          <t>JÄMTLANDS LÄN</t>
        </is>
      </c>
      <c r="E1535" t="inlineStr">
        <is>
          <t>KROKOM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48337-2024</t>
        </is>
      </c>
      <c r="B1536" s="1" t="n">
        <v>45590</v>
      </c>
      <c r="C1536" s="1" t="n">
        <v>45831</v>
      </c>
      <c r="D1536" t="inlineStr">
        <is>
          <t>JÄMTLANDS LÄN</t>
        </is>
      </c>
      <c r="E1536" t="inlineStr">
        <is>
          <t>KROKOM</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48568-2024</t>
        </is>
      </c>
      <c r="B1537" s="1" t="n">
        <v>45593</v>
      </c>
      <c r="C1537" s="1" t="n">
        <v>45831</v>
      </c>
      <c r="D1537" t="inlineStr">
        <is>
          <t>JÄMTLANDS LÄN</t>
        </is>
      </c>
      <c r="E1537" t="inlineStr">
        <is>
          <t>KROKOM</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48560-2024</t>
        </is>
      </c>
      <c r="B1538" s="1" t="n">
        <v>45593</v>
      </c>
      <c r="C1538" s="1" t="n">
        <v>45831</v>
      </c>
      <c r="D1538" t="inlineStr">
        <is>
          <t>JÄMTLANDS LÄN</t>
        </is>
      </c>
      <c r="E1538" t="inlineStr">
        <is>
          <t>KROKOM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48752-2024</t>
        </is>
      </c>
      <c r="B1539" s="1" t="n">
        <v>45593</v>
      </c>
      <c r="C1539" s="1" t="n">
        <v>45831</v>
      </c>
      <c r="D1539" t="inlineStr">
        <is>
          <t>JÄMTLANDS LÄN</t>
        </is>
      </c>
      <c r="E1539" t="inlineStr">
        <is>
          <t>KROKOM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48539-2024</t>
        </is>
      </c>
      <c r="B1540" s="1" t="n">
        <v>45593</v>
      </c>
      <c r="C1540" s="1" t="n">
        <v>45831</v>
      </c>
      <c r="D1540" t="inlineStr">
        <is>
          <t>JÄMTLANDS LÄN</t>
        </is>
      </c>
      <c r="E1540" t="inlineStr">
        <is>
          <t>KROKOM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48971-2024</t>
        </is>
      </c>
      <c r="B1541" s="1" t="n">
        <v>45594</v>
      </c>
      <c r="C1541" s="1" t="n">
        <v>45831</v>
      </c>
      <c r="D1541" t="inlineStr">
        <is>
          <t>JÄMTLANDS LÄN</t>
        </is>
      </c>
      <c r="E1541" t="inlineStr">
        <is>
          <t>KROKOM</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49214-2024</t>
        </is>
      </c>
      <c r="B1542" s="1" t="n">
        <v>45595</v>
      </c>
      <c r="C1542" s="1" t="n">
        <v>45831</v>
      </c>
      <c r="D1542" t="inlineStr">
        <is>
          <t>JÄMTLANDS LÄN</t>
        </is>
      </c>
      <c r="E1542" t="inlineStr">
        <is>
          <t>KROKOM</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49203-2024</t>
        </is>
      </c>
      <c r="B1543" s="1" t="n">
        <v>45595</v>
      </c>
      <c r="C1543" s="1" t="n">
        <v>45831</v>
      </c>
      <c r="D1543" t="inlineStr">
        <is>
          <t>JÄMTLANDS LÄN</t>
        </is>
      </c>
      <c r="E1543" t="inlineStr">
        <is>
          <t>KROKOM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49875-2024</t>
        </is>
      </c>
      <c r="B1544" s="1" t="n">
        <v>45597</v>
      </c>
      <c r="C1544" s="1" t="n">
        <v>45831</v>
      </c>
      <c r="D1544" t="inlineStr">
        <is>
          <t>JÄMTLANDS LÄN</t>
        </is>
      </c>
      <c r="E1544" t="inlineStr">
        <is>
          <t>KROKOM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50129-2024</t>
        </is>
      </c>
      <c r="B1545" s="1" t="n">
        <v>45600</v>
      </c>
      <c r="C1545" s="1" t="n">
        <v>45831</v>
      </c>
      <c r="D1545" t="inlineStr">
        <is>
          <t>JÄMTLANDS LÄN</t>
        </is>
      </c>
      <c r="E1545" t="inlineStr">
        <is>
          <t>KROKOM</t>
        </is>
      </c>
      <c r="F1545" t="inlineStr">
        <is>
          <t>Övriga Aktiebolag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50206-2024</t>
        </is>
      </c>
      <c r="B1546" s="1" t="n">
        <v>45600</v>
      </c>
      <c r="C1546" s="1" t="n">
        <v>45831</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50255-2024</t>
        </is>
      </c>
      <c r="B1547" s="1" t="n">
        <v>45600</v>
      </c>
      <c r="C1547" s="1" t="n">
        <v>45831</v>
      </c>
      <c r="D1547" t="inlineStr">
        <is>
          <t>JÄMTLANDS LÄN</t>
        </is>
      </c>
      <c r="E1547" t="inlineStr">
        <is>
          <t>KROKOM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50391-2024</t>
        </is>
      </c>
      <c r="B1548" s="1" t="n">
        <v>45601</v>
      </c>
      <c r="C1548" s="1" t="n">
        <v>45831</v>
      </c>
      <c r="D1548" t="inlineStr">
        <is>
          <t>JÄMTLANDS LÄN</t>
        </is>
      </c>
      <c r="E1548" t="inlineStr">
        <is>
          <t>KROKOM</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50417-2024</t>
        </is>
      </c>
      <c r="B1549" s="1" t="n">
        <v>45601</v>
      </c>
      <c r="C1549" s="1" t="n">
        <v>45831</v>
      </c>
      <c r="D1549" t="inlineStr">
        <is>
          <t>JÄMTLANDS LÄN</t>
        </is>
      </c>
      <c r="E1549" t="inlineStr">
        <is>
          <t>KROKOM</t>
        </is>
      </c>
      <c r="F1549" t="inlineStr">
        <is>
          <t>SCA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50433-2024</t>
        </is>
      </c>
      <c r="B1550" s="1" t="n">
        <v>45601</v>
      </c>
      <c r="C1550" s="1" t="n">
        <v>45831</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50718-2024</t>
        </is>
      </c>
      <c r="B1551" s="1" t="n">
        <v>45602</v>
      </c>
      <c r="C1551" s="1" t="n">
        <v>45831</v>
      </c>
      <c r="D1551" t="inlineStr">
        <is>
          <t>JÄMTLANDS LÄN</t>
        </is>
      </c>
      <c r="E1551" t="inlineStr">
        <is>
          <t>KROKOM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50719-2024</t>
        </is>
      </c>
      <c r="B1552" s="1" t="n">
        <v>45602</v>
      </c>
      <c r="C1552" s="1" t="n">
        <v>45831</v>
      </c>
      <c r="D1552" t="inlineStr">
        <is>
          <t>JÄMTLANDS LÄN</t>
        </is>
      </c>
      <c r="E1552" t="inlineStr">
        <is>
          <t>KROKOM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50821-2024</t>
        </is>
      </c>
      <c r="B1553" s="1" t="n">
        <v>45602</v>
      </c>
      <c r="C1553" s="1" t="n">
        <v>45831</v>
      </c>
      <c r="D1553" t="inlineStr">
        <is>
          <t>JÄMTLANDS LÄN</t>
        </is>
      </c>
      <c r="E1553" t="inlineStr">
        <is>
          <t>KROKOM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50919-2024</t>
        </is>
      </c>
      <c r="B1554" s="1" t="n">
        <v>45602</v>
      </c>
      <c r="C1554" s="1" t="n">
        <v>45831</v>
      </c>
      <c r="D1554" t="inlineStr">
        <is>
          <t>JÄMTLANDS LÄN</t>
        </is>
      </c>
      <c r="E1554" t="inlineStr">
        <is>
          <t>KROKOM</t>
        </is>
      </c>
      <c r="G1554" t="n">
        <v>33.7</v>
      </c>
      <c r="H1554" t="n">
        <v>0</v>
      </c>
      <c r="I1554" t="n">
        <v>0</v>
      </c>
      <c r="J1554" t="n">
        <v>0</v>
      </c>
      <c r="K1554" t="n">
        <v>0</v>
      </c>
      <c r="L1554" t="n">
        <v>0</v>
      </c>
      <c r="M1554" t="n">
        <v>0</v>
      </c>
      <c r="N1554" t="n">
        <v>0</v>
      </c>
      <c r="O1554" t="n">
        <v>0</v>
      </c>
      <c r="P1554" t="n">
        <v>0</v>
      </c>
      <c r="Q1554" t="n">
        <v>0</v>
      </c>
      <c r="R1554" s="2" t="inlineStr"/>
    </row>
    <row r="1555" ht="15" customHeight="1">
      <c r="A1555" t="inlineStr">
        <is>
          <t>A 50755-2024</t>
        </is>
      </c>
      <c r="B1555" s="1" t="n">
        <v>45602</v>
      </c>
      <c r="C1555" s="1" t="n">
        <v>45831</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50738-2024</t>
        </is>
      </c>
      <c r="B1556" s="1" t="n">
        <v>45602</v>
      </c>
      <c r="C1556" s="1" t="n">
        <v>45831</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50822-2024</t>
        </is>
      </c>
      <c r="B1557" s="1" t="n">
        <v>45602</v>
      </c>
      <c r="C1557" s="1" t="n">
        <v>45831</v>
      </c>
      <c r="D1557" t="inlineStr">
        <is>
          <t>JÄMTLANDS LÄN</t>
        </is>
      </c>
      <c r="E1557" t="inlineStr">
        <is>
          <t>KROKOM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50881-2024</t>
        </is>
      </c>
      <c r="B1558" s="1" t="n">
        <v>45602</v>
      </c>
      <c r="C1558" s="1" t="n">
        <v>45831</v>
      </c>
      <c r="D1558" t="inlineStr">
        <is>
          <t>JÄMTLANDS LÄN</t>
        </is>
      </c>
      <c r="E1558" t="inlineStr">
        <is>
          <t>KROKOM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51060-2024</t>
        </is>
      </c>
      <c r="B1559" s="1" t="n">
        <v>45603</v>
      </c>
      <c r="C1559" s="1" t="n">
        <v>45831</v>
      </c>
      <c r="D1559" t="inlineStr">
        <is>
          <t>JÄMTLANDS LÄN</t>
        </is>
      </c>
      <c r="E1559" t="inlineStr">
        <is>
          <t>KROKOM</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50951-2024</t>
        </is>
      </c>
      <c r="B1560" s="1" t="n">
        <v>45603</v>
      </c>
      <c r="C1560" s="1" t="n">
        <v>45831</v>
      </c>
      <c r="D1560" t="inlineStr">
        <is>
          <t>JÄMTLANDS LÄN</t>
        </is>
      </c>
      <c r="E1560" t="inlineStr">
        <is>
          <t>KROKOM</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51580-2024</t>
        </is>
      </c>
      <c r="B1561" s="1" t="n">
        <v>45604</v>
      </c>
      <c r="C1561" s="1" t="n">
        <v>45831</v>
      </c>
      <c r="D1561" t="inlineStr">
        <is>
          <t>JÄMTLANDS LÄN</t>
        </is>
      </c>
      <c r="E1561" t="inlineStr">
        <is>
          <t>KROKOM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51581-2024</t>
        </is>
      </c>
      <c r="B1562" s="1" t="n">
        <v>45604</v>
      </c>
      <c r="C1562" s="1" t="n">
        <v>45831</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51939-2024</t>
        </is>
      </c>
      <c r="B1563" s="1" t="n">
        <v>45607</v>
      </c>
      <c r="C1563" s="1" t="n">
        <v>45831</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52213-2024</t>
        </is>
      </c>
      <c r="B1564" s="1" t="n">
        <v>45607</v>
      </c>
      <c r="C1564" s="1" t="n">
        <v>45831</v>
      </c>
      <c r="D1564" t="inlineStr">
        <is>
          <t>JÄMTLANDS LÄN</t>
        </is>
      </c>
      <c r="E1564" t="inlineStr">
        <is>
          <t>KROKOM</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52217-2024</t>
        </is>
      </c>
      <c r="B1565" s="1" t="n">
        <v>45607</v>
      </c>
      <c r="C1565" s="1" t="n">
        <v>45831</v>
      </c>
      <c r="D1565" t="inlineStr">
        <is>
          <t>JÄMTLANDS LÄN</t>
        </is>
      </c>
      <c r="E1565" t="inlineStr">
        <is>
          <t>KROKOM</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52313-2024</t>
        </is>
      </c>
      <c r="B1566" s="1" t="n">
        <v>45608</v>
      </c>
      <c r="C1566" s="1" t="n">
        <v>45831</v>
      </c>
      <c r="D1566" t="inlineStr">
        <is>
          <t>JÄMTLANDS LÄN</t>
        </is>
      </c>
      <c r="E1566" t="inlineStr">
        <is>
          <t>KROKOM</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52086-2024</t>
        </is>
      </c>
      <c r="B1567" s="1" t="n">
        <v>45608</v>
      </c>
      <c r="C1567" s="1" t="n">
        <v>45831</v>
      </c>
      <c r="D1567" t="inlineStr">
        <is>
          <t>JÄMTLANDS LÄN</t>
        </is>
      </c>
      <c r="E1567" t="inlineStr">
        <is>
          <t>KROKOM</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52111-2024</t>
        </is>
      </c>
      <c r="B1568" s="1" t="n">
        <v>45608</v>
      </c>
      <c r="C1568" s="1" t="n">
        <v>45831</v>
      </c>
      <c r="D1568" t="inlineStr">
        <is>
          <t>JÄMTLANDS LÄN</t>
        </is>
      </c>
      <c r="E1568" t="inlineStr">
        <is>
          <t>KROKOM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52240-2024</t>
        </is>
      </c>
      <c r="B1569" s="1" t="n">
        <v>45608</v>
      </c>
      <c r="C1569" s="1" t="n">
        <v>45831</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52237-2024</t>
        </is>
      </c>
      <c r="B1570" s="1" t="n">
        <v>45608</v>
      </c>
      <c r="C1570" s="1" t="n">
        <v>45831</v>
      </c>
      <c r="D1570" t="inlineStr">
        <is>
          <t>JÄMTLANDS LÄN</t>
        </is>
      </c>
      <c r="E1570" t="inlineStr">
        <is>
          <t>KROKOM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52540-2024</t>
        </is>
      </c>
      <c r="B1571" s="1" t="n">
        <v>45609</v>
      </c>
      <c r="C1571" s="1" t="n">
        <v>45831</v>
      </c>
      <c r="D1571" t="inlineStr">
        <is>
          <t>JÄMTLANDS LÄN</t>
        </is>
      </c>
      <c r="E1571" t="inlineStr">
        <is>
          <t>KROKOM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52589-2024</t>
        </is>
      </c>
      <c r="B1572" s="1" t="n">
        <v>45609</v>
      </c>
      <c r="C1572" s="1" t="n">
        <v>45831</v>
      </c>
      <c r="D1572" t="inlineStr">
        <is>
          <t>JÄMTLANDS LÄN</t>
        </is>
      </c>
      <c r="E1572" t="inlineStr">
        <is>
          <t>KROKOM</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52666-2024</t>
        </is>
      </c>
      <c r="B1573" s="1" t="n">
        <v>45610</v>
      </c>
      <c r="C1573" s="1" t="n">
        <v>45831</v>
      </c>
      <c r="D1573" t="inlineStr">
        <is>
          <t>JÄMTLANDS LÄN</t>
        </is>
      </c>
      <c r="E1573" t="inlineStr">
        <is>
          <t>KROKOM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53543-2024</t>
        </is>
      </c>
      <c r="B1574" s="1" t="n">
        <v>45614</v>
      </c>
      <c r="C1574" s="1" t="n">
        <v>45831</v>
      </c>
      <c r="D1574" t="inlineStr">
        <is>
          <t>JÄMTLANDS LÄN</t>
        </is>
      </c>
      <c r="E1574" t="inlineStr">
        <is>
          <t>KROKOM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53568-2024</t>
        </is>
      </c>
      <c r="B1575" s="1" t="n">
        <v>45614</v>
      </c>
      <c r="C1575" s="1" t="n">
        <v>45831</v>
      </c>
      <c r="D1575" t="inlineStr">
        <is>
          <t>JÄMTLANDS LÄN</t>
        </is>
      </c>
      <c r="E1575" t="inlineStr">
        <is>
          <t>KROKOM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53436-2024</t>
        </is>
      </c>
      <c r="B1576" s="1" t="n">
        <v>45614</v>
      </c>
      <c r="C1576" s="1" t="n">
        <v>45831</v>
      </c>
      <c r="D1576" t="inlineStr">
        <is>
          <t>JÄMTLANDS LÄN</t>
        </is>
      </c>
      <c r="E1576" t="inlineStr">
        <is>
          <t>KROKOM</t>
        </is>
      </c>
      <c r="G1576" t="n">
        <v>19.1</v>
      </c>
      <c r="H1576" t="n">
        <v>0</v>
      </c>
      <c r="I1576" t="n">
        <v>0</v>
      </c>
      <c r="J1576" t="n">
        <v>0</v>
      </c>
      <c r="K1576" t="n">
        <v>0</v>
      </c>
      <c r="L1576" t="n">
        <v>0</v>
      </c>
      <c r="M1576" t="n">
        <v>0</v>
      </c>
      <c r="N1576" t="n">
        <v>0</v>
      </c>
      <c r="O1576" t="n">
        <v>0</v>
      </c>
      <c r="P1576" t="n">
        <v>0</v>
      </c>
      <c r="Q1576" t="n">
        <v>0</v>
      </c>
      <c r="R1576" s="2" t="inlineStr"/>
    </row>
    <row r="1577" ht="15" customHeight="1">
      <c r="A1577" t="inlineStr">
        <is>
          <t>A 53544-2024</t>
        </is>
      </c>
      <c r="B1577" s="1" t="n">
        <v>45614</v>
      </c>
      <c r="C1577" s="1" t="n">
        <v>45831</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53540-2024</t>
        </is>
      </c>
      <c r="B1578" s="1" t="n">
        <v>45614</v>
      </c>
      <c r="C1578" s="1" t="n">
        <v>45831</v>
      </c>
      <c r="D1578" t="inlineStr">
        <is>
          <t>JÄMTLANDS LÄN</t>
        </is>
      </c>
      <c r="E1578" t="inlineStr">
        <is>
          <t>KROKOM</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53601-2024</t>
        </is>
      </c>
      <c r="B1579" s="1" t="n">
        <v>45614</v>
      </c>
      <c r="C1579" s="1" t="n">
        <v>45831</v>
      </c>
      <c r="D1579" t="inlineStr">
        <is>
          <t>JÄMTLANDS LÄN</t>
        </is>
      </c>
      <c r="E1579" t="inlineStr">
        <is>
          <t>KROKOM</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53541-2024</t>
        </is>
      </c>
      <c r="B1580" s="1" t="n">
        <v>45614</v>
      </c>
      <c r="C1580" s="1" t="n">
        <v>45831</v>
      </c>
      <c r="D1580" t="inlineStr">
        <is>
          <t>JÄMTLANDS LÄN</t>
        </is>
      </c>
      <c r="E1580" t="inlineStr">
        <is>
          <t>KROKOM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53389-2024</t>
        </is>
      </c>
      <c r="B1581" s="1" t="n">
        <v>45614</v>
      </c>
      <c r="C1581" s="1" t="n">
        <v>45831</v>
      </c>
      <c r="D1581" t="inlineStr">
        <is>
          <t>JÄMTLANDS LÄN</t>
        </is>
      </c>
      <c r="E1581" t="inlineStr">
        <is>
          <t>KROKOM</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53808-2024</t>
        </is>
      </c>
      <c r="B1582" s="1" t="n">
        <v>45615</v>
      </c>
      <c r="C1582" s="1" t="n">
        <v>45831</v>
      </c>
      <c r="D1582" t="inlineStr">
        <is>
          <t>JÄMTLANDS LÄN</t>
        </is>
      </c>
      <c r="E1582" t="inlineStr">
        <is>
          <t>KROKOM</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53825-2024</t>
        </is>
      </c>
      <c r="B1583" s="1" t="n">
        <v>45615</v>
      </c>
      <c r="C1583" s="1" t="n">
        <v>45831</v>
      </c>
      <c r="D1583" t="inlineStr">
        <is>
          <t>JÄMTLANDS LÄN</t>
        </is>
      </c>
      <c r="E1583" t="inlineStr">
        <is>
          <t>KROKOM</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53827-2024</t>
        </is>
      </c>
      <c r="B1584" s="1" t="n">
        <v>45615</v>
      </c>
      <c r="C1584" s="1" t="n">
        <v>45831</v>
      </c>
      <c r="D1584" t="inlineStr">
        <is>
          <t>JÄMTLANDS LÄN</t>
        </is>
      </c>
      <c r="E1584" t="inlineStr">
        <is>
          <t>KROKOM</t>
        </is>
      </c>
      <c r="F1584" t="inlineStr">
        <is>
          <t>Övriga Aktiebolag</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53776-2024</t>
        </is>
      </c>
      <c r="B1585" s="1" t="n">
        <v>45615</v>
      </c>
      <c r="C1585" s="1" t="n">
        <v>45831</v>
      </c>
      <c r="D1585" t="inlineStr">
        <is>
          <t>JÄMTLANDS LÄN</t>
        </is>
      </c>
      <c r="E1585" t="inlineStr">
        <is>
          <t>KROKOM</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53807-2024</t>
        </is>
      </c>
      <c r="B1586" s="1" t="n">
        <v>45615</v>
      </c>
      <c r="C1586" s="1" t="n">
        <v>45831</v>
      </c>
      <c r="D1586" t="inlineStr">
        <is>
          <t>JÄMTLANDS LÄN</t>
        </is>
      </c>
      <c r="E1586" t="inlineStr">
        <is>
          <t>KROKOM</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53904-2024</t>
        </is>
      </c>
      <c r="B1587" s="1" t="n">
        <v>45615</v>
      </c>
      <c r="C1587" s="1" t="n">
        <v>45831</v>
      </c>
      <c r="D1587" t="inlineStr">
        <is>
          <t>JÄMTLANDS LÄN</t>
        </is>
      </c>
      <c r="E1587" t="inlineStr">
        <is>
          <t>KROKOM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54121-2024</t>
        </is>
      </c>
      <c r="B1588" s="1" t="n">
        <v>45616</v>
      </c>
      <c r="C1588" s="1" t="n">
        <v>45831</v>
      </c>
      <c r="D1588" t="inlineStr">
        <is>
          <t>JÄMTLANDS LÄN</t>
        </is>
      </c>
      <c r="E1588" t="inlineStr">
        <is>
          <t>KROKOM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53998-2024</t>
        </is>
      </c>
      <c r="B1589" s="1" t="n">
        <v>45616</v>
      </c>
      <c r="C1589" s="1" t="n">
        <v>45831</v>
      </c>
      <c r="D1589" t="inlineStr">
        <is>
          <t>JÄMTLANDS LÄN</t>
        </is>
      </c>
      <c r="E1589" t="inlineStr">
        <is>
          <t>KROKOM</t>
        </is>
      </c>
      <c r="G1589" t="n">
        <v>16.4</v>
      </c>
      <c r="H1589" t="n">
        <v>0</v>
      </c>
      <c r="I1589" t="n">
        <v>0</v>
      </c>
      <c r="J1589" t="n">
        <v>0</v>
      </c>
      <c r="K1589" t="n">
        <v>0</v>
      </c>
      <c r="L1589" t="n">
        <v>0</v>
      </c>
      <c r="M1589" t="n">
        <v>0</v>
      </c>
      <c r="N1589" t="n">
        <v>0</v>
      </c>
      <c r="O1589" t="n">
        <v>0</v>
      </c>
      <c r="P1589" t="n">
        <v>0</v>
      </c>
      <c r="Q1589" t="n">
        <v>0</v>
      </c>
      <c r="R1589" s="2" t="inlineStr"/>
    </row>
    <row r="1590" ht="15" customHeight="1">
      <c r="A1590" t="inlineStr">
        <is>
          <t>A 54140-2024</t>
        </is>
      </c>
      <c r="B1590" s="1" t="n">
        <v>45616</v>
      </c>
      <c r="C1590" s="1" t="n">
        <v>45831</v>
      </c>
      <c r="D1590" t="inlineStr">
        <is>
          <t>JÄMTLANDS LÄN</t>
        </is>
      </c>
      <c r="E1590" t="inlineStr">
        <is>
          <t>KROKOM</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54823-2024</t>
        </is>
      </c>
      <c r="B1591" s="1" t="n">
        <v>45618</v>
      </c>
      <c r="C1591" s="1" t="n">
        <v>45831</v>
      </c>
      <c r="D1591" t="inlineStr">
        <is>
          <t>JÄMTLANDS LÄN</t>
        </is>
      </c>
      <c r="E1591" t="inlineStr">
        <is>
          <t>KROKOM</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54828-2024</t>
        </is>
      </c>
      <c r="B1592" s="1" t="n">
        <v>45618</v>
      </c>
      <c r="C1592" s="1" t="n">
        <v>45831</v>
      </c>
      <c r="D1592" t="inlineStr">
        <is>
          <t>JÄMTLANDS LÄN</t>
        </is>
      </c>
      <c r="E1592" t="inlineStr">
        <is>
          <t>KROKOM</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54817-2024</t>
        </is>
      </c>
      <c r="B1593" s="1" t="n">
        <v>45618</v>
      </c>
      <c r="C1593" s="1" t="n">
        <v>45831</v>
      </c>
      <c r="D1593" t="inlineStr">
        <is>
          <t>JÄMTLANDS LÄN</t>
        </is>
      </c>
      <c r="E1593" t="inlineStr">
        <is>
          <t>KROKOM</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54975-2024</t>
        </is>
      </c>
      <c r="B1594" s="1" t="n">
        <v>45620</v>
      </c>
      <c r="C1594" s="1" t="n">
        <v>45831</v>
      </c>
      <c r="D1594" t="inlineStr">
        <is>
          <t>JÄMTLANDS LÄN</t>
        </is>
      </c>
      <c r="E1594" t="inlineStr">
        <is>
          <t>KROKOM</t>
        </is>
      </c>
      <c r="G1594" t="n">
        <v>24.1</v>
      </c>
      <c r="H1594" t="n">
        <v>0</v>
      </c>
      <c r="I1594" t="n">
        <v>0</v>
      </c>
      <c r="J1594" t="n">
        <v>0</v>
      </c>
      <c r="K1594" t="n">
        <v>0</v>
      </c>
      <c r="L1594" t="n">
        <v>0</v>
      </c>
      <c r="M1594" t="n">
        <v>0</v>
      </c>
      <c r="N1594" t="n">
        <v>0</v>
      </c>
      <c r="O1594" t="n">
        <v>0</v>
      </c>
      <c r="P1594" t="n">
        <v>0</v>
      </c>
      <c r="Q1594" t="n">
        <v>0</v>
      </c>
      <c r="R1594" s="2" t="inlineStr"/>
    </row>
    <row r="1595" ht="15" customHeight="1">
      <c r="A1595" t="inlineStr">
        <is>
          <t>A 55337-2024</t>
        </is>
      </c>
      <c r="B1595" s="1" t="n">
        <v>45621</v>
      </c>
      <c r="C1595" s="1" t="n">
        <v>45831</v>
      </c>
      <c r="D1595" t="inlineStr">
        <is>
          <t>JÄMTLANDS LÄN</t>
        </is>
      </c>
      <c r="E1595" t="inlineStr">
        <is>
          <t>KROKOM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55043-2024</t>
        </is>
      </c>
      <c r="B1596" s="1" t="n">
        <v>45621</v>
      </c>
      <c r="C1596" s="1" t="n">
        <v>45831</v>
      </c>
      <c r="D1596" t="inlineStr">
        <is>
          <t>JÄMTLANDS LÄN</t>
        </is>
      </c>
      <c r="E1596" t="inlineStr">
        <is>
          <t>KROKOM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55338-2024</t>
        </is>
      </c>
      <c r="B1597" s="1" t="n">
        <v>45621</v>
      </c>
      <c r="C1597" s="1" t="n">
        <v>45831</v>
      </c>
      <c r="D1597" t="inlineStr">
        <is>
          <t>JÄMTLANDS LÄN</t>
        </is>
      </c>
      <c r="E1597" t="inlineStr">
        <is>
          <t>KROKOM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55339-2024</t>
        </is>
      </c>
      <c r="B1598" s="1" t="n">
        <v>45621</v>
      </c>
      <c r="C1598" s="1" t="n">
        <v>45831</v>
      </c>
      <c r="D1598" t="inlineStr">
        <is>
          <t>JÄMTLANDS LÄN</t>
        </is>
      </c>
      <c r="E1598" t="inlineStr">
        <is>
          <t>KROKOM</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55831-2024</t>
        </is>
      </c>
      <c r="B1599" s="1" t="n">
        <v>45623</v>
      </c>
      <c r="C1599" s="1" t="n">
        <v>45831</v>
      </c>
      <c r="D1599" t="inlineStr">
        <is>
          <t>JÄMTLANDS LÄN</t>
        </is>
      </c>
      <c r="E1599" t="inlineStr">
        <is>
          <t>KROKOM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55849-2024</t>
        </is>
      </c>
      <c r="B1600" s="1" t="n">
        <v>45623</v>
      </c>
      <c r="C1600" s="1" t="n">
        <v>45831</v>
      </c>
      <c r="D1600" t="inlineStr">
        <is>
          <t>JÄMTLANDS LÄN</t>
        </is>
      </c>
      <c r="E1600" t="inlineStr">
        <is>
          <t>KROKOM</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56640-2024</t>
        </is>
      </c>
      <c r="B1601" s="1" t="n">
        <v>45625</v>
      </c>
      <c r="C1601" s="1" t="n">
        <v>45831</v>
      </c>
      <c r="D1601" t="inlineStr">
        <is>
          <t>JÄMTLANDS LÄN</t>
        </is>
      </c>
      <c r="E1601" t="inlineStr">
        <is>
          <t>KROKOM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56981-2024</t>
        </is>
      </c>
      <c r="B1602" s="1" t="n">
        <v>45628</v>
      </c>
      <c r="C1602" s="1" t="n">
        <v>45831</v>
      </c>
      <c r="D1602" t="inlineStr">
        <is>
          <t>JÄMTLANDS LÄN</t>
        </is>
      </c>
      <c r="E1602" t="inlineStr">
        <is>
          <t>KROKOM</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57136-2024</t>
        </is>
      </c>
      <c r="B1603" s="1" t="n">
        <v>45629</v>
      </c>
      <c r="C1603" s="1" t="n">
        <v>45831</v>
      </c>
      <c r="D1603" t="inlineStr">
        <is>
          <t>JÄMTLANDS LÄN</t>
        </is>
      </c>
      <c r="E1603" t="inlineStr">
        <is>
          <t>KROKOM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57134-2024</t>
        </is>
      </c>
      <c r="B1604" s="1" t="n">
        <v>45629</v>
      </c>
      <c r="C1604" s="1" t="n">
        <v>45831</v>
      </c>
      <c r="D1604" t="inlineStr">
        <is>
          <t>JÄMTLANDS LÄN</t>
        </is>
      </c>
      <c r="E1604" t="inlineStr">
        <is>
          <t>KROKOM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57135-2024</t>
        </is>
      </c>
      <c r="B1605" s="1" t="n">
        <v>45629</v>
      </c>
      <c r="C1605" s="1" t="n">
        <v>45831</v>
      </c>
      <c r="D1605" t="inlineStr">
        <is>
          <t>JÄMTLANDS LÄN</t>
        </is>
      </c>
      <c r="E1605" t="inlineStr">
        <is>
          <t>KROKOM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57459-2024</t>
        </is>
      </c>
      <c r="B1606" s="1" t="n">
        <v>45630</v>
      </c>
      <c r="C1606" s="1" t="n">
        <v>45831</v>
      </c>
      <c r="D1606" t="inlineStr">
        <is>
          <t>JÄMTLANDS LÄN</t>
        </is>
      </c>
      <c r="E1606" t="inlineStr">
        <is>
          <t>KROKOM</t>
        </is>
      </c>
      <c r="G1606" t="n">
        <v>19.2</v>
      </c>
      <c r="H1606" t="n">
        <v>0</v>
      </c>
      <c r="I1606" t="n">
        <v>0</v>
      </c>
      <c r="J1606" t="n">
        <v>0</v>
      </c>
      <c r="K1606" t="n">
        <v>0</v>
      </c>
      <c r="L1606" t="n">
        <v>0</v>
      </c>
      <c r="M1606" t="n">
        <v>0</v>
      </c>
      <c r="N1606" t="n">
        <v>0</v>
      </c>
      <c r="O1606" t="n">
        <v>0</v>
      </c>
      <c r="P1606" t="n">
        <v>0</v>
      </c>
      <c r="Q1606" t="n">
        <v>0</v>
      </c>
      <c r="R1606" s="2" t="inlineStr"/>
    </row>
    <row r="1607" ht="15" customHeight="1">
      <c r="A1607" t="inlineStr">
        <is>
          <t>A 57718-2024</t>
        </is>
      </c>
      <c r="B1607" s="1" t="n">
        <v>45630</v>
      </c>
      <c r="C1607" s="1" t="n">
        <v>45831</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57575-2024</t>
        </is>
      </c>
      <c r="B1608" s="1" t="n">
        <v>45630</v>
      </c>
      <c r="C1608" s="1" t="n">
        <v>45831</v>
      </c>
      <c r="D1608" t="inlineStr">
        <is>
          <t>JÄMTLANDS LÄN</t>
        </is>
      </c>
      <c r="E1608" t="inlineStr">
        <is>
          <t>KROKOM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57985-2024</t>
        </is>
      </c>
      <c r="B1609" s="1" t="n">
        <v>45631</v>
      </c>
      <c r="C1609" s="1" t="n">
        <v>45831</v>
      </c>
      <c r="D1609" t="inlineStr">
        <is>
          <t>JÄMTLANDS LÄN</t>
        </is>
      </c>
      <c r="E1609" t="inlineStr">
        <is>
          <t>KROKOM</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57984-2024</t>
        </is>
      </c>
      <c r="B1610" s="1" t="n">
        <v>45631</v>
      </c>
      <c r="C1610" s="1" t="n">
        <v>45831</v>
      </c>
      <c r="D1610" t="inlineStr">
        <is>
          <t>JÄMTLANDS LÄN</t>
        </is>
      </c>
      <c r="E1610" t="inlineStr">
        <is>
          <t>KROKOM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57986-2024</t>
        </is>
      </c>
      <c r="B1611" s="1" t="n">
        <v>45631</v>
      </c>
      <c r="C1611" s="1" t="n">
        <v>45831</v>
      </c>
      <c r="D1611" t="inlineStr">
        <is>
          <t>JÄMTLANDS LÄN</t>
        </is>
      </c>
      <c r="E1611" t="inlineStr">
        <is>
          <t>KROKOM</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58207-2024</t>
        </is>
      </c>
      <c r="B1612" s="1" t="n">
        <v>45632</v>
      </c>
      <c r="C1612" s="1" t="n">
        <v>45831</v>
      </c>
      <c r="D1612" t="inlineStr">
        <is>
          <t>JÄMTLANDS LÄN</t>
        </is>
      </c>
      <c r="E1612" t="inlineStr">
        <is>
          <t>KROKOM</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58136-2024</t>
        </is>
      </c>
      <c r="B1613" s="1" t="n">
        <v>45632</v>
      </c>
      <c r="C1613" s="1" t="n">
        <v>45831</v>
      </c>
      <c r="D1613" t="inlineStr">
        <is>
          <t>JÄMTLANDS LÄN</t>
        </is>
      </c>
      <c r="E1613" t="inlineStr">
        <is>
          <t>KROKOM</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58189-2024</t>
        </is>
      </c>
      <c r="B1614" s="1" t="n">
        <v>45632</v>
      </c>
      <c r="C1614" s="1" t="n">
        <v>45831</v>
      </c>
      <c r="D1614" t="inlineStr">
        <is>
          <t>JÄMTLANDS LÄN</t>
        </is>
      </c>
      <c r="E1614" t="inlineStr">
        <is>
          <t>KROKOM</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58416-2024</t>
        </is>
      </c>
      <c r="B1615" s="1" t="n">
        <v>45634</v>
      </c>
      <c r="C1615" s="1" t="n">
        <v>45831</v>
      </c>
      <c r="D1615" t="inlineStr">
        <is>
          <t>JÄMTLANDS LÄN</t>
        </is>
      </c>
      <c r="E1615" t="inlineStr">
        <is>
          <t>KROKOM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58415-2024</t>
        </is>
      </c>
      <c r="B1616" s="1" t="n">
        <v>45634</v>
      </c>
      <c r="C1616" s="1" t="n">
        <v>45831</v>
      </c>
      <c r="D1616" t="inlineStr">
        <is>
          <t>JÄMTLANDS LÄN</t>
        </is>
      </c>
      <c r="E1616" t="inlineStr">
        <is>
          <t>KROKOM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58482-2024</t>
        </is>
      </c>
      <c r="B1617" s="1" t="n">
        <v>45635</v>
      </c>
      <c r="C1617" s="1" t="n">
        <v>45831</v>
      </c>
      <c r="D1617" t="inlineStr">
        <is>
          <t>JÄMTLANDS LÄN</t>
        </is>
      </c>
      <c r="E1617" t="inlineStr">
        <is>
          <t>KROKOM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58487-2024</t>
        </is>
      </c>
      <c r="B1618" s="1" t="n">
        <v>45635</v>
      </c>
      <c r="C1618" s="1" t="n">
        <v>45831</v>
      </c>
      <c r="D1618" t="inlineStr">
        <is>
          <t>JÄMTLANDS LÄN</t>
        </is>
      </c>
      <c r="E1618" t="inlineStr">
        <is>
          <t>KROKOM</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58734-2024</t>
        </is>
      </c>
      <c r="B1619" s="1" t="n">
        <v>45635</v>
      </c>
      <c r="C1619" s="1" t="n">
        <v>45831</v>
      </c>
      <c r="D1619" t="inlineStr">
        <is>
          <t>JÄMTLANDS LÄN</t>
        </is>
      </c>
      <c r="E1619" t="inlineStr">
        <is>
          <t>KROKOM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58897-2024</t>
        </is>
      </c>
      <c r="B1620" s="1" t="n">
        <v>45636</v>
      </c>
      <c r="C1620" s="1" t="n">
        <v>45831</v>
      </c>
      <c r="D1620" t="inlineStr">
        <is>
          <t>JÄMTLANDS LÄN</t>
        </is>
      </c>
      <c r="E1620" t="inlineStr">
        <is>
          <t>KROKOM</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59620-2024</t>
        </is>
      </c>
      <c r="B1621" s="1" t="n">
        <v>45638</v>
      </c>
      <c r="C1621" s="1" t="n">
        <v>45831</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59619-2024</t>
        </is>
      </c>
      <c r="B1622" s="1" t="n">
        <v>45638</v>
      </c>
      <c r="C1622" s="1" t="n">
        <v>45831</v>
      </c>
      <c r="D1622" t="inlineStr">
        <is>
          <t>JÄMTLANDS LÄN</t>
        </is>
      </c>
      <c r="E1622" t="inlineStr">
        <is>
          <t>KROKOM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60122-2024</t>
        </is>
      </c>
      <c r="B1623" s="1" t="n">
        <v>45639</v>
      </c>
      <c r="C1623" s="1" t="n">
        <v>45831</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60195-2024</t>
        </is>
      </c>
      <c r="B1624" s="1" t="n">
        <v>45642</v>
      </c>
      <c r="C1624" s="1" t="n">
        <v>45831</v>
      </c>
      <c r="D1624" t="inlineStr">
        <is>
          <t>JÄMTLANDS LÄN</t>
        </is>
      </c>
      <c r="E1624" t="inlineStr">
        <is>
          <t>KROKOM</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60172-2024</t>
        </is>
      </c>
      <c r="B1625" s="1" t="n">
        <v>45642</v>
      </c>
      <c r="C1625" s="1" t="n">
        <v>45831</v>
      </c>
      <c r="D1625" t="inlineStr">
        <is>
          <t>JÄMTLANDS LÄN</t>
        </is>
      </c>
      <c r="E1625" t="inlineStr">
        <is>
          <t>KROKOM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60173-2024</t>
        </is>
      </c>
      <c r="B1626" s="1" t="n">
        <v>45642</v>
      </c>
      <c r="C1626" s="1" t="n">
        <v>45831</v>
      </c>
      <c r="D1626" t="inlineStr">
        <is>
          <t>JÄMTLANDS LÄN</t>
        </is>
      </c>
      <c r="E1626" t="inlineStr">
        <is>
          <t>KROKOM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60447-2024</t>
        </is>
      </c>
      <c r="B1627" s="1" t="n">
        <v>45643</v>
      </c>
      <c r="C1627" s="1" t="n">
        <v>45831</v>
      </c>
      <c r="D1627" t="inlineStr">
        <is>
          <t>JÄMTLANDS LÄN</t>
        </is>
      </c>
      <c r="E1627" t="inlineStr">
        <is>
          <t>KROKOM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60416-2024</t>
        </is>
      </c>
      <c r="B1628" s="1" t="n">
        <v>45643</v>
      </c>
      <c r="C1628" s="1" t="n">
        <v>45831</v>
      </c>
      <c r="D1628" t="inlineStr">
        <is>
          <t>JÄMTLANDS LÄN</t>
        </is>
      </c>
      <c r="E1628" t="inlineStr">
        <is>
          <t>KROKOM</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60420-2024</t>
        </is>
      </c>
      <c r="B1629" s="1" t="n">
        <v>45643</v>
      </c>
      <c r="C1629" s="1" t="n">
        <v>45831</v>
      </c>
      <c r="D1629" t="inlineStr">
        <is>
          <t>JÄMTLANDS LÄN</t>
        </is>
      </c>
      <c r="E1629" t="inlineStr">
        <is>
          <t>KROKOM</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60313-2024</t>
        </is>
      </c>
      <c r="B1630" s="1" t="n">
        <v>45643</v>
      </c>
      <c r="C1630" s="1" t="n">
        <v>45831</v>
      </c>
      <c r="D1630" t="inlineStr">
        <is>
          <t>JÄMTLANDS LÄN</t>
        </is>
      </c>
      <c r="E1630" t="inlineStr">
        <is>
          <t>KROKOM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60450-2024</t>
        </is>
      </c>
      <c r="B1631" s="1" t="n">
        <v>45643</v>
      </c>
      <c r="C1631" s="1" t="n">
        <v>45831</v>
      </c>
      <c r="D1631" t="inlineStr">
        <is>
          <t>JÄMTLANDS LÄN</t>
        </is>
      </c>
      <c r="E1631" t="inlineStr">
        <is>
          <t>KROKOM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60487-2024</t>
        </is>
      </c>
      <c r="B1632" s="1" t="n">
        <v>45643</v>
      </c>
      <c r="C1632" s="1" t="n">
        <v>45831</v>
      </c>
      <c r="D1632" t="inlineStr">
        <is>
          <t>JÄMTLANDS LÄN</t>
        </is>
      </c>
      <c r="E1632" t="inlineStr">
        <is>
          <t>KROKOM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60491-2024</t>
        </is>
      </c>
      <c r="B1633" s="1" t="n">
        <v>45643</v>
      </c>
      <c r="C1633" s="1" t="n">
        <v>45831</v>
      </c>
      <c r="D1633" t="inlineStr">
        <is>
          <t>JÄMTLANDS LÄN</t>
        </is>
      </c>
      <c r="E1633" t="inlineStr">
        <is>
          <t>KROKOM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60873-2024</t>
        </is>
      </c>
      <c r="B1634" s="1" t="n">
        <v>45644</v>
      </c>
      <c r="C1634" s="1" t="n">
        <v>45831</v>
      </c>
      <c r="D1634" t="inlineStr">
        <is>
          <t>JÄMTLANDS LÄN</t>
        </is>
      </c>
      <c r="E1634" t="inlineStr">
        <is>
          <t>KROKOM</t>
        </is>
      </c>
      <c r="G1634" t="n">
        <v>83.8</v>
      </c>
      <c r="H1634" t="n">
        <v>0</v>
      </c>
      <c r="I1634" t="n">
        <v>0</v>
      </c>
      <c r="J1634" t="n">
        <v>0</v>
      </c>
      <c r="K1634" t="n">
        <v>0</v>
      </c>
      <c r="L1634" t="n">
        <v>0</v>
      </c>
      <c r="M1634" t="n">
        <v>0</v>
      </c>
      <c r="N1634" t="n">
        <v>0</v>
      </c>
      <c r="O1634" t="n">
        <v>0</v>
      </c>
      <c r="P1634" t="n">
        <v>0</v>
      </c>
      <c r="Q1634" t="n">
        <v>0</v>
      </c>
      <c r="R1634" s="2" t="inlineStr"/>
    </row>
    <row r="1635" ht="15" customHeight="1">
      <c r="A1635" t="inlineStr">
        <is>
          <t>A 61388-2024</t>
        </is>
      </c>
      <c r="B1635" s="1" t="n">
        <v>45646</v>
      </c>
      <c r="C1635" s="1" t="n">
        <v>45831</v>
      </c>
      <c r="D1635" t="inlineStr">
        <is>
          <t>JÄMTLANDS LÄN</t>
        </is>
      </c>
      <c r="E1635" t="inlineStr">
        <is>
          <t>KROKOM</t>
        </is>
      </c>
      <c r="G1635" t="n">
        <v>44.1</v>
      </c>
      <c r="H1635" t="n">
        <v>0</v>
      </c>
      <c r="I1635" t="n">
        <v>0</v>
      </c>
      <c r="J1635" t="n">
        <v>0</v>
      </c>
      <c r="K1635" t="n">
        <v>0</v>
      </c>
      <c r="L1635" t="n">
        <v>0</v>
      </c>
      <c r="M1635" t="n">
        <v>0</v>
      </c>
      <c r="N1635" t="n">
        <v>0</v>
      </c>
      <c r="O1635" t="n">
        <v>0</v>
      </c>
      <c r="P1635" t="n">
        <v>0</v>
      </c>
      <c r="Q1635" t="n">
        <v>0</v>
      </c>
      <c r="R1635" s="2" t="inlineStr"/>
    </row>
    <row r="1636" ht="15" customHeight="1">
      <c r="A1636" t="inlineStr">
        <is>
          <t>A 61434-2024</t>
        </is>
      </c>
      <c r="B1636" s="1" t="n">
        <v>45646</v>
      </c>
      <c r="C1636" s="1" t="n">
        <v>45831</v>
      </c>
      <c r="D1636" t="inlineStr">
        <is>
          <t>JÄMTLANDS LÄN</t>
        </is>
      </c>
      <c r="E1636" t="inlineStr">
        <is>
          <t>KROKOM</t>
        </is>
      </c>
      <c r="G1636" t="n">
        <v>33.7</v>
      </c>
      <c r="H1636" t="n">
        <v>0</v>
      </c>
      <c r="I1636" t="n">
        <v>0</v>
      </c>
      <c r="J1636" t="n">
        <v>0</v>
      </c>
      <c r="K1636" t="n">
        <v>0</v>
      </c>
      <c r="L1636" t="n">
        <v>0</v>
      </c>
      <c r="M1636" t="n">
        <v>0</v>
      </c>
      <c r="N1636" t="n">
        <v>0</v>
      </c>
      <c r="O1636" t="n">
        <v>0</v>
      </c>
      <c r="P1636" t="n">
        <v>0</v>
      </c>
      <c r="Q1636" t="n">
        <v>0</v>
      </c>
      <c r="R1636" s="2" t="inlineStr"/>
    </row>
    <row r="1637" ht="15" customHeight="1">
      <c r="A1637" t="inlineStr">
        <is>
          <t>A 62121-2024</t>
        </is>
      </c>
      <c r="B1637" s="1" t="n">
        <v>45646</v>
      </c>
      <c r="C1637" s="1" t="n">
        <v>45831</v>
      </c>
      <c r="D1637" t="inlineStr">
        <is>
          <t>JÄMTLANDS LÄN</t>
        </is>
      </c>
      <c r="E1637" t="inlineStr">
        <is>
          <t>KROKOM</t>
        </is>
      </c>
      <c r="F1637" t="inlineStr">
        <is>
          <t>Kommuner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61767-2024</t>
        </is>
      </c>
      <c r="B1638" s="1" t="n">
        <v>45649</v>
      </c>
      <c r="C1638" s="1" t="n">
        <v>45831</v>
      </c>
      <c r="D1638" t="inlineStr">
        <is>
          <t>JÄMTLANDS LÄN</t>
        </is>
      </c>
      <c r="E1638" t="inlineStr">
        <is>
          <t>KROKOM</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186-2025</t>
        </is>
      </c>
      <c r="B1639" s="1" t="n">
        <v>45649</v>
      </c>
      <c r="C1639" s="1" t="n">
        <v>45831</v>
      </c>
      <c r="D1639" t="inlineStr">
        <is>
          <t>JÄMTLANDS LÄN</t>
        </is>
      </c>
      <c r="E1639" t="inlineStr">
        <is>
          <t>KROKOM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61776-2024</t>
        </is>
      </c>
      <c r="B1640" s="1" t="n">
        <v>45649</v>
      </c>
      <c r="C1640" s="1" t="n">
        <v>45831</v>
      </c>
      <c r="D1640" t="inlineStr">
        <is>
          <t>JÄMTLANDS LÄN</t>
        </is>
      </c>
      <c r="E1640" t="inlineStr">
        <is>
          <t>KROKOM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61742-2024</t>
        </is>
      </c>
      <c r="B1641" s="1" t="n">
        <v>45649</v>
      </c>
      <c r="C1641" s="1" t="n">
        <v>45831</v>
      </c>
      <c r="D1641" t="inlineStr">
        <is>
          <t>JÄMTLANDS LÄN</t>
        </is>
      </c>
      <c r="E1641" t="inlineStr">
        <is>
          <t>KROKOM</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61966-2024</t>
        </is>
      </c>
      <c r="B1642" s="1" t="n">
        <v>45653</v>
      </c>
      <c r="C1642" s="1" t="n">
        <v>45831</v>
      </c>
      <c r="D1642" t="inlineStr">
        <is>
          <t>JÄMTLANDS LÄN</t>
        </is>
      </c>
      <c r="E1642" t="inlineStr">
        <is>
          <t>KROKOM</t>
        </is>
      </c>
      <c r="F1642" t="inlineStr">
        <is>
          <t>Övriga Aktiebolag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62131-2024</t>
        </is>
      </c>
      <c r="B1643" s="1" t="n">
        <v>45656</v>
      </c>
      <c r="C1643" s="1" t="n">
        <v>45831</v>
      </c>
      <c r="D1643" t="inlineStr">
        <is>
          <t>JÄMTLANDS LÄN</t>
        </is>
      </c>
      <c r="E1643" t="inlineStr">
        <is>
          <t>KROKOM</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280-2025</t>
        </is>
      </c>
      <c r="B1644" s="1" t="n">
        <v>45660</v>
      </c>
      <c r="C1644" s="1" t="n">
        <v>45831</v>
      </c>
      <c r="D1644" t="inlineStr">
        <is>
          <t>JÄMTLANDS LÄN</t>
        </is>
      </c>
      <c r="E1644" t="inlineStr">
        <is>
          <t>KROKOM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692-2025</t>
        </is>
      </c>
      <c r="B1645" s="1" t="n">
        <v>45662</v>
      </c>
      <c r="C1645" s="1" t="n">
        <v>45831</v>
      </c>
      <c r="D1645" t="inlineStr">
        <is>
          <t>JÄMTLANDS LÄN</t>
        </is>
      </c>
      <c r="E1645" t="inlineStr">
        <is>
          <t>KROKOM</t>
        </is>
      </c>
      <c r="G1645" t="n">
        <v>20</v>
      </c>
      <c r="H1645" t="n">
        <v>0</v>
      </c>
      <c r="I1645" t="n">
        <v>0</v>
      </c>
      <c r="J1645" t="n">
        <v>0</v>
      </c>
      <c r="K1645" t="n">
        <v>0</v>
      </c>
      <c r="L1645" t="n">
        <v>0</v>
      </c>
      <c r="M1645" t="n">
        <v>0</v>
      </c>
      <c r="N1645" t="n">
        <v>0</v>
      </c>
      <c r="O1645" t="n">
        <v>0</v>
      </c>
      <c r="P1645" t="n">
        <v>0</v>
      </c>
      <c r="Q1645" t="n">
        <v>0</v>
      </c>
      <c r="R1645" s="2" t="inlineStr"/>
    </row>
    <row r="1646" ht="15" customHeight="1">
      <c r="A1646" t="inlineStr">
        <is>
          <t>A 599-2025</t>
        </is>
      </c>
      <c r="B1646" s="1" t="n">
        <v>45664</v>
      </c>
      <c r="C1646" s="1" t="n">
        <v>45831</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826-2025</t>
        </is>
      </c>
      <c r="B1647" s="1" t="n">
        <v>45665</v>
      </c>
      <c r="C1647" s="1" t="n">
        <v>45831</v>
      </c>
      <c r="D1647" t="inlineStr">
        <is>
          <t>JÄMTLANDS LÄN</t>
        </is>
      </c>
      <c r="E1647" t="inlineStr">
        <is>
          <t>KROKOM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1093-2025</t>
        </is>
      </c>
      <c r="B1648" s="1" t="n">
        <v>45666</v>
      </c>
      <c r="C1648" s="1" t="n">
        <v>45831</v>
      </c>
      <c r="D1648" t="inlineStr">
        <is>
          <t>JÄMTLANDS LÄN</t>
        </is>
      </c>
      <c r="E1648" t="inlineStr">
        <is>
          <t>KROKOM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1119-2025</t>
        </is>
      </c>
      <c r="B1649" s="1" t="n">
        <v>45666</v>
      </c>
      <c r="C1649" s="1" t="n">
        <v>45831</v>
      </c>
      <c r="D1649" t="inlineStr">
        <is>
          <t>JÄMTLANDS LÄN</t>
        </is>
      </c>
      <c r="E1649" t="inlineStr">
        <is>
          <t>KROKOM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1323-2025</t>
        </is>
      </c>
      <c r="B1650" s="1" t="n">
        <v>45667</v>
      </c>
      <c r="C1650" s="1" t="n">
        <v>45831</v>
      </c>
      <c r="D1650" t="inlineStr">
        <is>
          <t>JÄMTLANDS LÄN</t>
        </is>
      </c>
      <c r="E1650" t="inlineStr">
        <is>
          <t>KROKOM</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1473-2025</t>
        </is>
      </c>
      <c r="B1651" s="1" t="n">
        <v>45670</v>
      </c>
      <c r="C1651" s="1" t="n">
        <v>45831</v>
      </c>
      <c r="D1651" t="inlineStr">
        <is>
          <t>JÄMTLANDS LÄN</t>
        </is>
      </c>
      <c r="E1651" t="inlineStr">
        <is>
          <t>KROKOM</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1477-2025</t>
        </is>
      </c>
      <c r="B1652" s="1" t="n">
        <v>45670</v>
      </c>
      <c r="C1652" s="1" t="n">
        <v>45831</v>
      </c>
      <c r="D1652" t="inlineStr">
        <is>
          <t>JÄMTLANDS LÄN</t>
        </is>
      </c>
      <c r="E1652" t="inlineStr">
        <is>
          <t>KROKOM</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1852-2025</t>
        </is>
      </c>
      <c r="B1653" s="1" t="n">
        <v>45671</v>
      </c>
      <c r="C1653" s="1" t="n">
        <v>45831</v>
      </c>
      <c r="D1653" t="inlineStr">
        <is>
          <t>JÄMTLANDS LÄN</t>
        </is>
      </c>
      <c r="E1653" t="inlineStr">
        <is>
          <t>KROKOM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2051-2025</t>
        </is>
      </c>
      <c r="B1654" s="1" t="n">
        <v>45672</v>
      </c>
      <c r="C1654" s="1" t="n">
        <v>45831</v>
      </c>
      <c r="D1654" t="inlineStr">
        <is>
          <t>JÄMTLANDS LÄN</t>
        </is>
      </c>
      <c r="E1654" t="inlineStr">
        <is>
          <t>KROKOM</t>
        </is>
      </c>
      <c r="F1654" t="inlineStr">
        <is>
          <t>Kyrkan</t>
        </is>
      </c>
      <c r="G1654" t="n">
        <v>87.90000000000001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2480-2025</t>
        </is>
      </c>
      <c r="B1655" s="1" t="n">
        <v>45674</v>
      </c>
      <c r="C1655" s="1" t="n">
        <v>45831</v>
      </c>
      <c r="D1655" t="inlineStr">
        <is>
          <t>JÄMTLANDS LÄN</t>
        </is>
      </c>
      <c r="E1655" t="inlineStr">
        <is>
          <t>KROKOM</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2782-2025</t>
        </is>
      </c>
      <c r="B1656" s="1" t="n">
        <v>45676</v>
      </c>
      <c r="C1656" s="1" t="n">
        <v>45831</v>
      </c>
      <c r="D1656" t="inlineStr">
        <is>
          <t>JÄMTLANDS LÄN</t>
        </is>
      </c>
      <c r="E1656" t="inlineStr">
        <is>
          <t>KROKOM</t>
        </is>
      </c>
      <c r="G1656" t="n">
        <v>18.6</v>
      </c>
      <c r="H1656" t="n">
        <v>0</v>
      </c>
      <c r="I1656" t="n">
        <v>0</v>
      </c>
      <c r="J1656" t="n">
        <v>0</v>
      </c>
      <c r="K1656" t="n">
        <v>0</v>
      </c>
      <c r="L1656" t="n">
        <v>0</v>
      </c>
      <c r="M1656" t="n">
        <v>0</v>
      </c>
      <c r="N1656" t="n">
        <v>0</v>
      </c>
      <c r="O1656" t="n">
        <v>0</v>
      </c>
      <c r="P1656" t="n">
        <v>0</v>
      </c>
      <c r="Q1656" t="n">
        <v>0</v>
      </c>
      <c r="R1656" s="2" t="inlineStr"/>
    </row>
    <row r="1657" ht="15" customHeight="1">
      <c r="A1657" t="inlineStr">
        <is>
          <t>A 3329-2025</t>
        </is>
      </c>
      <c r="B1657" s="1" t="n">
        <v>45679</v>
      </c>
      <c r="C1657" s="1" t="n">
        <v>45831</v>
      </c>
      <c r="D1657" t="inlineStr">
        <is>
          <t>JÄMTLANDS LÄN</t>
        </is>
      </c>
      <c r="E1657" t="inlineStr">
        <is>
          <t>KROKOM</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3263-2025</t>
        </is>
      </c>
      <c r="B1658" s="1" t="n">
        <v>45679</v>
      </c>
      <c r="C1658" s="1" t="n">
        <v>45831</v>
      </c>
      <c r="D1658" t="inlineStr">
        <is>
          <t>JÄMTLANDS LÄN</t>
        </is>
      </c>
      <c r="E1658" t="inlineStr">
        <is>
          <t>KROKOM</t>
        </is>
      </c>
      <c r="F1658" t="inlineStr">
        <is>
          <t>Kyrkan</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3192-2025</t>
        </is>
      </c>
      <c r="B1659" s="1" t="n">
        <v>45679</v>
      </c>
      <c r="C1659" s="1" t="n">
        <v>45831</v>
      </c>
      <c r="D1659" t="inlineStr">
        <is>
          <t>JÄMTLANDS LÄN</t>
        </is>
      </c>
      <c r="E1659" t="inlineStr">
        <is>
          <t>KROKOM</t>
        </is>
      </c>
      <c r="F1659" t="inlineStr">
        <is>
          <t>Kyrkan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4055-2025</t>
        </is>
      </c>
      <c r="B1660" s="1" t="n">
        <v>45684</v>
      </c>
      <c r="C1660" s="1" t="n">
        <v>45831</v>
      </c>
      <c r="D1660" t="inlineStr">
        <is>
          <t>JÄMTLANDS LÄN</t>
        </is>
      </c>
      <c r="E1660" t="inlineStr">
        <is>
          <t>KROKOM</t>
        </is>
      </c>
      <c r="F1660" t="inlineStr">
        <is>
          <t>Kyrkan</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4046-2025</t>
        </is>
      </c>
      <c r="B1661" s="1" t="n">
        <v>45684</v>
      </c>
      <c r="C1661" s="1" t="n">
        <v>45831</v>
      </c>
      <c r="D1661" t="inlineStr">
        <is>
          <t>JÄMTLANDS LÄN</t>
        </is>
      </c>
      <c r="E1661" t="inlineStr">
        <is>
          <t>KROKOM</t>
        </is>
      </c>
      <c r="F1661" t="inlineStr">
        <is>
          <t>Kyrkan</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4050-2025</t>
        </is>
      </c>
      <c r="B1662" s="1" t="n">
        <v>45684</v>
      </c>
      <c r="C1662" s="1" t="n">
        <v>45831</v>
      </c>
      <c r="D1662" t="inlineStr">
        <is>
          <t>JÄMTLANDS LÄN</t>
        </is>
      </c>
      <c r="E1662" t="inlineStr">
        <is>
          <t>KROKOM</t>
        </is>
      </c>
      <c r="F1662" t="inlineStr">
        <is>
          <t>Kyrkan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4058-2025</t>
        </is>
      </c>
      <c r="B1663" s="1" t="n">
        <v>45684</v>
      </c>
      <c r="C1663" s="1" t="n">
        <v>45831</v>
      </c>
      <c r="D1663" t="inlineStr">
        <is>
          <t>JÄMTLANDS LÄN</t>
        </is>
      </c>
      <c r="E1663" t="inlineStr">
        <is>
          <t>KROKOM</t>
        </is>
      </c>
      <c r="F1663" t="inlineStr">
        <is>
          <t>Kyrkan</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4320-2025</t>
        </is>
      </c>
      <c r="B1664" s="1" t="n">
        <v>45685</v>
      </c>
      <c r="C1664" s="1" t="n">
        <v>45831</v>
      </c>
      <c r="D1664" t="inlineStr">
        <is>
          <t>JÄMTLANDS LÄN</t>
        </is>
      </c>
      <c r="E1664" t="inlineStr">
        <is>
          <t>KROKOM</t>
        </is>
      </c>
      <c r="F1664" t="inlineStr">
        <is>
          <t>Kyrkan</t>
        </is>
      </c>
      <c r="G1664" t="n">
        <v>33.3</v>
      </c>
      <c r="H1664" t="n">
        <v>0</v>
      </c>
      <c r="I1664" t="n">
        <v>0</v>
      </c>
      <c r="J1664" t="n">
        <v>0</v>
      </c>
      <c r="K1664" t="n">
        <v>0</v>
      </c>
      <c r="L1664" t="n">
        <v>0</v>
      </c>
      <c r="M1664" t="n">
        <v>0</v>
      </c>
      <c r="N1664" t="n">
        <v>0</v>
      </c>
      <c r="O1664" t="n">
        <v>0</v>
      </c>
      <c r="P1664" t="n">
        <v>0</v>
      </c>
      <c r="Q1664" t="n">
        <v>0</v>
      </c>
      <c r="R1664" s="2" t="inlineStr"/>
    </row>
    <row r="1665" ht="15" customHeight="1">
      <c r="A1665" t="inlineStr">
        <is>
          <t>A 4332-2025</t>
        </is>
      </c>
      <c r="B1665" s="1" t="n">
        <v>45685</v>
      </c>
      <c r="C1665" s="1" t="n">
        <v>45831</v>
      </c>
      <c r="D1665" t="inlineStr">
        <is>
          <t>JÄMTLANDS LÄN</t>
        </is>
      </c>
      <c r="E1665" t="inlineStr">
        <is>
          <t>KROKOM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4423-2025</t>
        </is>
      </c>
      <c r="B1666" s="1" t="n">
        <v>45686</v>
      </c>
      <c r="C1666" s="1" t="n">
        <v>45831</v>
      </c>
      <c r="D1666" t="inlineStr">
        <is>
          <t>JÄMTLANDS LÄN</t>
        </is>
      </c>
      <c r="E1666" t="inlineStr">
        <is>
          <t>KROKOM</t>
        </is>
      </c>
      <c r="G1666" t="n">
        <v>17.3</v>
      </c>
      <c r="H1666" t="n">
        <v>0</v>
      </c>
      <c r="I1666" t="n">
        <v>0</v>
      </c>
      <c r="J1666" t="n">
        <v>0</v>
      </c>
      <c r="K1666" t="n">
        <v>0</v>
      </c>
      <c r="L1666" t="n">
        <v>0</v>
      </c>
      <c r="M1666" t="n">
        <v>0</v>
      </c>
      <c r="N1666" t="n">
        <v>0</v>
      </c>
      <c r="O1666" t="n">
        <v>0</v>
      </c>
      <c r="P1666" t="n">
        <v>0</v>
      </c>
      <c r="Q1666" t="n">
        <v>0</v>
      </c>
      <c r="R1666" s="2" t="inlineStr"/>
    </row>
    <row r="1667" ht="15" customHeight="1">
      <c r="A1667" t="inlineStr">
        <is>
          <t>A 4377-2025</t>
        </is>
      </c>
      <c r="B1667" s="1" t="n">
        <v>45686</v>
      </c>
      <c r="C1667" s="1" t="n">
        <v>45831</v>
      </c>
      <c r="D1667" t="inlineStr">
        <is>
          <t>JÄMTLANDS LÄN</t>
        </is>
      </c>
      <c r="E1667" t="inlineStr">
        <is>
          <t>KROKOM</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4369-2025</t>
        </is>
      </c>
      <c r="B1668" s="1" t="n">
        <v>45686</v>
      </c>
      <c r="C1668" s="1" t="n">
        <v>45831</v>
      </c>
      <c r="D1668" t="inlineStr">
        <is>
          <t>JÄMTLANDS LÄN</t>
        </is>
      </c>
      <c r="E1668" t="inlineStr">
        <is>
          <t>KROKOM</t>
        </is>
      </c>
      <c r="F1668" t="inlineStr">
        <is>
          <t>SCA</t>
        </is>
      </c>
      <c r="G1668" t="n">
        <v>45.4</v>
      </c>
      <c r="H1668" t="n">
        <v>0</v>
      </c>
      <c r="I1668" t="n">
        <v>0</v>
      </c>
      <c r="J1668" t="n">
        <v>0</v>
      </c>
      <c r="K1668" t="n">
        <v>0</v>
      </c>
      <c r="L1668" t="n">
        <v>0</v>
      </c>
      <c r="M1668" t="n">
        <v>0</v>
      </c>
      <c r="N1668" t="n">
        <v>0</v>
      </c>
      <c r="O1668" t="n">
        <v>0</v>
      </c>
      <c r="P1668" t="n">
        <v>0</v>
      </c>
      <c r="Q1668" t="n">
        <v>0</v>
      </c>
      <c r="R1668" s="2" t="inlineStr"/>
    </row>
    <row r="1669" ht="15" customHeight="1">
      <c r="A1669" t="inlineStr">
        <is>
          <t>A 4364-2025</t>
        </is>
      </c>
      <c r="B1669" s="1" t="n">
        <v>45686</v>
      </c>
      <c r="C1669" s="1" t="n">
        <v>45831</v>
      </c>
      <c r="D1669" t="inlineStr">
        <is>
          <t>JÄMTLANDS LÄN</t>
        </is>
      </c>
      <c r="E1669" t="inlineStr">
        <is>
          <t>KROKOM</t>
        </is>
      </c>
      <c r="F1669" t="inlineStr">
        <is>
          <t>SCA</t>
        </is>
      </c>
      <c r="G1669" t="n">
        <v>27.9</v>
      </c>
      <c r="H1669" t="n">
        <v>0</v>
      </c>
      <c r="I1669" t="n">
        <v>0</v>
      </c>
      <c r="J1669" t="n">
        <v>0</v>
      </c>
      <c r="K1669" t="n">
        <v>0</v>
      </c>
      <c r="L1669" t="n">
        <v>0</v>
      </c>
      <c r="M1669" t="n">
        <v>0</v>
      </c>
      <c r="N1669" t="n">
        <v>0</v>
      </c>
      <c r="O1669" t="n">
        <v>0</v>
      </c>
      <c r="P1669" t="n">
        <v>0</v>
      </c>
      <c r="Q1669" t="n">
        <v>0</v>
      </c>
      <c r="R1669" s="2" t="inlineStr"/>
    </row>
    <row r="1670" ht="15" customHeight="1">
      <c r="A1670" t="inlineStr">
        <is>
          <t>A 4383-2025</t>
        </is>
      </c>
      <c r="B1670" s="1" t="n">
        <v>45686</v>
      </c>
      <c r="C1670" s="1" t="n">
        <v>45831</v>
      </c>
      <c r="D1670" t="inlineStr">
        <is>
          <t>JÄMTLANDS LÄN</t>
        </is>
      </c>
      <c r="E1670" t="inlineStr">
        <is>
          <t>KROKOM</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4354-2025</t>
        </is>
      </c>
      <c r="B1671" s="1" t="n">
        <v>45686</v>
      </c>
      <c r="C1671" s="1" t="n">
        <v>45831</v>
      </c>
      <c r="D1671" t="inlineStr">
        <is>
          <t>JÄMTLANDS LÄN</t>
        </is>
      </c>
      <c r="E1671" t="inlineStr">
        <is>
          <t>KROKOM</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4361-2025</t>
        </is>
      </c>
      <c r="B1672" s="1" t="n">
        <v>45686</v>
      </c>
      <c r="C1672" s="1" t="n">
        <v>45831</v>
      </c>
      <c r="D1672" t="inlineStr">
        <is>
          <t>JÄMTLANDS LÄN</t>
        </is>
      </c>
      <c r="E1672" t="inlineStr">
        <is>
          <t>KROKOM</t>
        </is>
      </c>
      <c r="F1672" t="inlineStr">
        <is>
          <t>SCA</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4608-2025</t>
        </is>
      </c>
      <c r="B1673" s="1" t="n">
        <v>45687</v>
      </c>
      <c r="C1673" s="1" t="n">
        <v>45831</v>
      </c>
      <c r="D1673" t="inlineStr">
        <is>
          <t>JÄMTLANDS LÄN</t>
        </is>
      </c>
      <c r="E1673" t="inlineStr">
        <is>
          <t>KROKOM</t>
        </is>
      </c>
      <c r="F1673" t="inlineStr">
        <is>
          <t>SCA</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4609-2025</t>
        </is>
      </c>
      <c r="B1674" s="1" t="n">
        <v>45687</v>
      </c>
      <c r="C1674" s="1" t="n">
        <v>45831</v>
      </c>
      <c r="D1674" t="inlineStr">
        <is>
          <t>JÄMTLANDS LÄN</t>
        </is>
      </c>
      <c r="E1674" t="inlineStr">
        <is>
          <t>KROKOM</t>
        </is>
      </c>
      <c r="F1674" t="inlineStr">
        <is>
          <t>SCA</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4570-2025</t>
        </is>
      </c>
      <c r="B1675" s="1" t="n">
        <v>45687</v>
      </c>
      <c r="C1675" s="1" t="n">
        <v>45831</v>
      </c>
      <c r="D1675" t="inlineStr">
        <is>
          <t>JÄMTLANDS LÄN</t>
        </is>
      </c>
      <c r="E1675" t="inlineStr">
        <is>
          <t>KROKOM</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4575-2025</t>
        </is>
      </c>
      <c r="B1676" s="1" t="n">
        <v>45687</v>
      </c>
      <c r="C1676" s="1" t="n">
        <v>45831</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4883-2025</t>
        </is>
      </c>
      <c r="B1677" s="1" t="n">
        <v>45688</v>
      </c>
      <c r="C1677" s="1" t="n">
        <v>45831</v>
      </c>
      <c r="D1677" t="inlineStr">
        <is>
          <t>JÄMTLANDS LÄN</t>
        </is>
      </c>
      <c r="E1677" t="inlineStr">
        <is>
          <t>KROKOM</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4707-2025</t>
        </is>
      </c>
      <c r="B1678" s="1" t="n">
        <v>45688</v>
      </c>
      <c r="C1678" s="1" t="n">
        <v>45831</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5092-2025</t>
        </is>
      </c>
      <c r="B1679" s="1" t="n">
        <v>45691</v>
      </c>
      <c r="C1679" s="1" t="n">
        <v>45831</v>
      </c>
      <c r="D1679" t="inlineStr">
        <is>
          <t>JÄMTLANDS LÄN</t>
        </is>
      </c>
      <c r="E1679" t="inlineStr">
        <is>
          <t>KROKOM</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5085-2025</t>
        </is>
      </c>
      <c r="B1680" s="1" t="n">
        <v>45691</v>
      </c>
      <c r="C1680" s="1" t="n">
        <v>45831</v>
      </c>
      <c r="D1680" t="inlineStr">
        <is>
          <t>JÄMTLANDS LÄN</t>
        </is>
      </c>
      <c r="E1680" t="inlineStr">
        <is>
          <t>KROKOM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5054-2025</t>
        </is>
      </c>
      <c r="B1681" s="1" t="n">
        <v>45691</v>
      </c>
      <c r="C1681" s="1" t="n">
        <v>45831</v>
      </c>
      <c r="D1681" t="inlineStr">
        <is>
          <t>JÄMTLANDS LÄN</t>
        </is>
      </c>
      <c r="E1681" t="inlineStr">
        <is>
          <t>KROKOM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5173-2025</t>
        </is>
      </c>
      <c r="B1682" s="1" t="n">
        <v>45691</v>
      </c>
      <c r="C1682" s="1" t="n">
        <v>45831</v>
      </c>
      <c r="D1682" t="inlineStr">
        <is>
          <t>JÄMTLANDS LÄN</t>
        </is>
      </c>
      <c r="E1682" t="inlineStr">
        <is>
          <t>KROKOM</t>
        </is>
      </c>
      <c r="F1682" t="inlineStr">
        <is>
          <t>Kyrkan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5105-2025</t>
        </is>
      </c>
      <c r="B1683" s="1" t="n">
        <v>45691</v>
      </c>
      <c r="C1683" s="1" t="n">
        <v>45831</v>
      </c>
      <c r="D1683" t="inlineStr">
        <is>
          <t>JÄMTLANDS LÄN</t>
        </is>
      </c>
      <c r="E1683" t="inlineStr">
        <is>
          <t>KROKOM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5291-2025</t>
        </is>
      </c>
      <c r="B1684" s="1" t="n">
        <v>45692</v>
      </c>
      <c r="C1684" s="1" t="n">
        <v>45831</v>
      </c>
      <c r="D1684" t="inlineStr">
        <is>
          <t>JÄMTLANDS LÄN</t>
        </is>
      </c>
      <c r="E1684" t="inlineStr">
        <is>
          <t>KROKOM</t>
        </is>
      </c>
      <c r="G1684" t="n">
        <v>29.1</v>
      </c>
      <c r="H1684" t="n">
        <v>0</v>
      </c>
      <c r="I1684" t="n">
        <v>0</v>
      </c>
      <c r="J1684" t="n">
        <v>0</v>
      </c>
      <c r="K1684" t="n">
        <v>0</v>
      </c>
      <c r="L1684" t="n">
        <v>0</v>
      </c>
      <c r="M1684" t="n">
        <v>0</v>
      </c>
      <c r="N1684" t="n">
        <v>0</v>
      </c>
      <c r="O1684" t="n">
        <v>0</v>
      </c>
      <c r="P1684" t="n">
        <v>0</v>
      </c>
      <c r="Q1684" t="n">
        <v>0</v>
      </c>
      <c r="R1684" s="2" t="inlineStr"/>
    </row>
    <row r="1685" ht="15" customHeight="1">
      <c r="A1685" t="inlineStr">
        <is>
          <t>A 5356-2025</t>
        </is>
      </c>
      <c r="B1685" s="1" t="n">
        <v>45692</v>
      </c>
      <c r="C1685" s="1" t="n">
        <v>45831</v>
      </c>
      <c r="D1685" t="inlineStr">
        <is>
          <t>JÄMTLANDS LÄN</t>
        </is>
      </c>
      <c r="E1685" t="inlineStr">
        <is>
          <t>KROKOM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5364-2025</t>
        </is>
      </c>
      <c r="B1686" s="1" t="n">
        <v>45692</v>
      </c>
      <c r="C1686" s="1" t="n">
        <v>45831</v>
      </c>
      <c r="D1686" t="inlineStr">
        <is>
          <t>JÄMTLANDS LÄN</t>
        </is>
      </c>
      <c r="E1686" t="inlineStr">
        <is>
          <t>KROKOM</t>
        </is>
      </c>
      <c r="G1686" t="n">
        <v>25.4</v>
      </c>
      <c r="H1686" t="n">
        <v>0</v>
      </c>
      <c r="I1686" t="n">
        <v>0</v>
      </c>
      <c r="J1686" t="n">
        <v>0</v>
      </c>
      <c r="K1686" t="n">
        <v>0</v>
      </c>
      <c r="L1686" t="n">
        <v>0</v>
      </c>
      <c r="M1686" t="n">
        <v>0</v>
      </c>
      <c r="N1686" t="n">
        <v>0</v>
      </c>
      <c r="O1686" t="n">
        <v>0</v>
      </c>
      <c r="P1686" t="n">
        <v>0</v>
      </c>
      <c r="Q1686" t="n">
        <v>0</v>
      </c>
      <c r="R1686" s="2" t="inlineStr"/>
    </row>
    <row r="1687" ht="15" customHeight="1">
      <c r="A1687" t="inlineStr">
        <is>
          <t>A 5409-2025</t>
        </is>
      </c>
      <c r="B1687" s="1" t="n">
        <v>45692</v>
      </c>
      <c r="C1687" s="1" t="n">
        <v>45831</v>
      </c>
      <c r="D1687" t="inlineStr">
        <is>
          <t>JÄMTLANDS LÄN</t>
        </is>
      </c>
      <c r="E1687" t="inlineStr">
        <is>
          <t>KROKOM</t>
        </is>
      </c>
      <c r="F1687" t="inlineStr">
        <is>
          <t>SCA</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5255-2025</t>
        </is>
      </c>
      <c r="B1688" s="1" t="n">
        <v>45692</v>
      </c>
      <c r="C1688" s="1" t="n">
        <v>45831</v>
      </c>
      <c r="D1688" t="inlineStr">
        <is>
          <t>JÄMTLANDS LÄN</t>
        </is>
      </c>
      <c r="E1688" t="inlineStr">
        <is>
          <t>KROKOM</t>
        </is>
      </c>
      <c r="F1688" t="inlineStr">
        <is>
          <t>Övriga Aktiebolag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5402-2025</t>
        </is>
      </c>
      <c r="B1689" s="1" t="n">
        <v>45692</v>
      </c>
      <c r="C1689" s="1" t="n">
        <v>45831</v>
      </c>
      <c r="D1689" t="inlineStr">
        <is>
          <t>JÄMTLANDS LÄN</t>
        </is>
      </c>
      <c r="E1689" t="inlineStr">
        <is>
          <t>KROKOM</t>
        </is>
      </c>
      <c r="G1689" t="n">
        <v>20.3</v>
      </c>
      <c r="H1689" t="n">
        <v>0</v>
      </c>
      <c r="I1689" t="n">
        <v>0</v>
      </c>
      <c r="J1689" t="n">
        <v>0</v>
      </c>
      <c r="K1689" t="n">
        <v>0</v>
      </c>
      <c r="L1689" t="n">
        <v>0</v>
      </c>
      <c r="M1689" t="n">
        <v>0</v>
      </c>
      <c r="N1689" t="n">
        <v>0</v>
      </c>
      <c r="O1689" t="n">
        <v>0</v>
      </c>
      <c r="P1689" t="n">
        <v>0</v>
      </c>
      <c r="Q1689" t="n">
        <v>0</v>
      </c>
      <c r="R1689" s="2" t="inlineStr"/>
    </row>
    <row r="1690" ht="15" customHeight="1">
      <c r="A1690" t="inlineStr">
        <is>
          <t>A 5378-2025</t>
        </is>
      </c>
      <c r="B1690" s="1" t="n">
        <v>45692</v>
      </c>
      <c r="C1690" s="1" t="n">
        <v>45831</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5334-2025</t>
        </is>
      </c>
      <c r="B1691" s="1" t="n">
        <v>45692</v>
      </c>
      <c r="C1691" s="1" t="n">
        <v>45831</v>
      </c>
      <c r="D1691" t="inlineStr">
        <is>
          <t>JÄMTLANDS LÄN</t>
        </is>
      </c>
      <c r="E1691" t="inlineStr">
        <is>
          <t>KROKOM</t>
        </is>
      </c>
      <c r="G1691" t="n">
        <v>34.8</v>
      </c>
      <c r="H1691" t="n">
        <v>0</v>
      </c>
      <c r="I1691" t="n">
        <v>0</v>
      </c>
      <c r="J1691" t="n">
        <v>0</v>
      </c>
      <c r="K1691" t="n">
        <v>0</v>
      </c>
      <c r="L1691" t="n">
        <v>0</v>
      </c>
      <c r="M1691" t="n">
        <v>0</v>
      </c>
      <c r="N1691" t="n">
        <v>0</v>
      </c>
      <c r="O1691" t="n">
        <v>0</v>
      </c>
      <c r="P1691" t="n">
        <v>0</v>
      </c>
      <c r="Q1691" t="n">
        <v>0</v>
      </c>
      <c r="R1691" s="2" t="inlineStr"/>
    </row>
    <row r="1692" ht="15" customHeight="1">
      <c r="A1692" t="inlineStr">
        <is>
          <t>A 5558-2025</t>
        </is>
      </c>
      <c r="B1692" s="1" t="n">
        <v>45693</v>
      </c>
      <c r="C1692" s="1" t="n">
        <v>45831</v>
      </c>
      <c r="D1692" t="inlineStr">
        <is>
          <t>JÄMTLANDS LÄN</t>
        </is>
      </c>
      <c r="E1692" t="inlineStr">
        <is>
          <t>KROKOM</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5637-2025</t>
        </is>
      </c>
      <c r="B1693" s="1" t="n">
        <v>45693</v>
      </c>
      <c r="C1693" s="1" t="n">
        <v>45831</v>
      </c>
      <c r="D1693" t="inlineStr">
        <is>
          <t>JÄMTLANDS LÄN</t>
        </is>
      </c>
      <c r="E1693" t="inlineStr">
        <is>
          <t>KROKOM</t>
        </is>
      </c>
      <c r="F1693" t="inlineStr">
        <is>
          <t>Övriga Aktiebolag</t>
        </is>
      </c>
      <c r="G1693" t="n">
        <v>57.8</v>
      </c>
      <c r="H1693" t="n">
        <v>0</v>
      </c>
      <c r="I1693" t="n">
        <v>0</v>
      </c>
      <c r="J1693" t="n">
        <v>0</v>
      </c>
      <c r="K1693" t="n">
        <v>0</v>
      </c>
      <c r="L1693" t="n">
        <v>0</v>
      </c>
      <c r="M1693" t="n">
        <v>0</v>
      </c>
      <c r="N1693" t="n">
        <v>0</v>
      </c>
      <c r="O1693" t="n">
        <v>0</v>
      </c>
      <c r="P1693" t="n">
        <v>0</v>
      </c>
      <c r="Q1693" t="n">
        <v>0</v>
      </c>
      <c r="R1693" s="2" t="inlineStr"/>
    </row>
    <row r="1694" ht="15" customHeight="1">
      <c r="A1694" t="inlineStr">
        <is>
          <t>A 5498-2025</t>
        </is>
      </c>
      <c r="B1694" s="1" t="n">
        <v>45693</v>
      </c>
      <c r="C1694" s="1" t="n">
        <v>45831</v>
      </c>
      <c r="D1694" t="inlineStr">
        <is>
          <t>JÄMTLANDS LÄN</t>
        </is>
      </c>
      <c r="E1694" t="inlineStr">
        <is>
          <t>KROKOM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5533-2025</t>
        </is>
      </c>
      <c r="B1695" s="1" t="n">
        <v>45693</v>
      </c>
      <c r="C1695" s="1" t="n">
        <v>45831</v>
      </c>
      <c r="D1695" t="inlineStr">
        <is>
          <t>JÄMTLANDS LÄN</t>
        </is>
      </c>
      <c r="E1695" t="inlineStr">
        <is>
          <t>KROKOM</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5680-2025</t>
        </is>
      </c>
      <c r="B1696" s="1" t="n">
        <v>45694</v>
      </c>
      <c r="C1696" s="1" t="n">
        <v>45831</v>
      </c>
      <c r="D1696" t="inlineStr">
        <is>
          <t>JÄMTLANDS LÄN</t>
        </is>
      </c>
      <c r="E1696" t="inlineStr">
        <is>
          <t>KROKOM</t>
        </is>
      </c>
      <c r="F1696" t="inlineStr">
        <is>
          <t>Övriga Aktiebolag</t>
        </is>
      </c>
      <c r="G1696" t="n">
        <v>48.4</v>
      </c>
      <c r="H1696" t="n">
        <v>0</v>
      </c>
      <c r="I1696" t="n">
        <v>0</v>
      </c>
      <c r="J1696" t="n">
        <v>0</v>
      </c>
      <c r="K1696" t="n">
        <v>0</v>
      </c>
      <c r="L1696" t="n">
        <v>0</v>
      </c>
      <c r="M1696" t="n">
        <v>0</v>
      </c>
      <c r="N1696" t="n">
        <v>0</v>
      </c>
      <c r="O1696" t="n">
        <v>0</v>
      </c>
      <c r="P1696" t="n">
        <v>0</v>
      </c>
      <c r="Q1696" t="n">
        <v>0</v>
      </c>
      <c r="R1696" s="2" t="inlineStr"/>
    </row>
    <row r="1697" ht="15" customHeight="1">
      <c r="A1697" t="inlineStr">
        <is>
          <t>A 5704-2025</t>
        </is>
      </c>
      <c r="B1697" s="1" t="n">
        <v>45694</v>
      </c>
      <c r="C1697" s="1" t="n">
        <v>45831</v>
      </c>
      <c r="D1697" t="inlineStr">
        <is>
          <t>JÄMTLANDS LÄN</t>
        </is>
      </c>
      <c r="E1697" t="inlineStr">
        <is>
          <t>KROKOM</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5798-2025</t>
        </is>
      </c>
      <c r="B1698" s="1" t="n">
        <v>45694</v>
      </c>
      <c r="C1698" s="1" t="n">
        <v>45831</v>
      </c>
      <c r="D1698" t="inlineStr">
        <is>
          <t>JÄMTLANDS LÄN</t>
        </is>
      </c>
      <c r="E1698" t="inlineStr">
        <is>
          <t>KROKOM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5785-2025</t>
        </is>
      </c>
      <c r="B1699" s="1" t="n">
        <v>45694</v>
      </c>
      <c r="C1699" s="1" t="n">
        <v>45831</v>
      </c>
      <c r="D1699" t="inlineStr">
        <is>
          <t>JÄMTLANDS LÄN</t>
        </is>
      </c>
      <c r="E1699" t="inlineStr">
        <is>
          <t>KROKOM</t>
        </is>
      </c>
      <c r="F1699" t="inlineStr">
        <is>
          <t>Övriga Aktiebolag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5965-2025</t>
        </is>
      </c>
      <c r="B1700" s="1" t="n">
        <v>45695</v>
      </c>
      <c r="C1700" s="1" t="n">
        <v>45831</v>
      </c>
      <c r="D1700" t="inlineStr">
        <is>
          <t>JÄMTLANDS LÄN</t>
        </is>
      </c>
      <c r="E1700" t="inlineStr">
        <is>
          <t>KROKOM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5850-2025</t>
        </is>
      </c>
      <c r="B1701" s="1" t="n">
        <v>45695</v>
      </c>
      <c r="C1701" s="1" t="n">
        <v>45831</v>
      </c>
      <c r="D1701" t="inlineStr">
        <is>
          <t>JÄMTLANDS LÄN</t>
        </is>
      </c>
      <c r="E1701" t="inlineStr">
        <is>
          <t>KROKOM</t>
        </is>
      </c>
      <c r="F1701" t="inlineStr">
        <is>
          <t>SCA</t>
        </is>
      </c>
      <c r="G1701" t="n">
        <v>62.1</v>
      </c>
      <c r="H1701" t="n">
        <v>0</v>
      </c>
      <c r="I1701" t="n">
        <v>0</v>
      </c>
      <c r="J1701" t="n">
        <v>0</v>
      </c>
      <c r="K1701" t="n">
        <v>0</v>
      </c>
      <c r="L1701" t="n">
        <v>0</v>
      </c>
      <c r="M1701" t="n">
        <v>0</v>
      </c>
      <c r="N1701" t="n">
        <v>0</v>
      </c>
      <c r="O1701" t="n">
        <v>0</v>
      </c>
      <c r="P1701" t="n">
        <v>0</v>
      </c>
      <c r="Q1701" t="n">
        <v>0</v>
      </c>
      <c r="R1701" s="2" t="inlineStr"/>
    </row>
    <row r="1702" ht="15" customHeight="1">
      <c r="A1702" t="inlineStr">
        <is>
          <t>A 5907-2025</t>
        </is>
      </c>
      <c r="B1702" s="1" t="n">
        <v>45695</v>
      </c>
      <c r="C1702" s="1" t="n">
        <v>45831</v>
      </c>
      <c r="D1702" t="inlineStr">
        <is>
          <t>JÄMTLANDS LÄN</t>
        </is>
      </c>
      <c r="E1702" t="inlineStr">
        <is>
          <t>KROKOM</t>
        </is>
      </c>
      <c r="F1702" t="inlineStr">
        <is>
          <t>Övriga Aktiebolag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5966-2025</t>
        </is>
      </c>
      <c r="B1703" s="1" t="n">
        <v>45695</v>
      </c>
      <c r="C1703" s="1" t="n">
        <v>45831</v>
      </c>
      <c r="D1703" t="inlineStr">
        <is>
          <t>JÄMTLANDS LÄN</t>
        </is>
      </c>
      <c r="E1703" t="inlineStr">
        <is>
          <t>KROKOM</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5998-2025</t>
        </is>
      </c>
      <c r="B1704" s="1" t="n">
        <v>45695</v>
      </c>
      <c r="C1704" s="1" t="n">
        <v>45831</v>
      </c>
      <c r="D1704" t="inlineStr">
        <is>
          <t>JÄMTLANDS LÄN</t>
        </is>
      </c>
      <c r="E1704" t="inlineStr">
        <is>
          <t>KROKOM</t>
        </is>
      </c>
      <c r="F1704" t="inlineStr">
        <is>
          <t>Övriga Aktiebolag</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5935-2025</t>
        </is>
      </c>
      <c r="B1705" s="1" t="n">
        <v>45695</v>
      </c>
      <c r="C1705" s="1" t="n">
        <v>45831</v>
      </c>
      <c r="D1705" t="inlineStr">
        <is>
          <t>JÄMTLANDS LÄN</t>
        </is>
      </c>
      <c r="E1705" t="inlineStr">
        <is>
          <t>KROKOM</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5955-2025</t>
        </is>
      </c>
      <c r="B1706" s="1" t="n">
        <v>45695</v>
      </c>
      <c r="C1706" s="1" t="n">
        <v>45831</v>
      </c>
      <c r="D1706" t="inlineStr">
        <is>
          <t>JÄMTLANDS LÄN</t>
        </is>
      </c>
      <c r="E1706" t="inlineStr">
        <is>
          <t>KROKOM</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6024-2025</t>
        </is>
      </c>
      <c r="B1707" s="1" t="n">
        <v>45695</v>
      </c>
      <c r="C1707" s="1" t="n">
        <v>45831</v>
      </c>
      <c r="D1707" t="inlineStr">
        <is>
          <t>JÄMTLANDS LÄN</t>
        </is>
      </c>
      <c r="E1707" t="inlineStr">
        <is>
          <t>KROKOM</t>
        </is>
      </c>
      <c r="F1707" t="inlineStr">
        <is>
          <t>Övriga Aktiebolag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6042-2025</t>
        </is>
      </c>
      <c r="B1708" s="1" t="n">
        <v>45695</v>
      </c>
      <c r="C1708" s="1" t="n">
        <v>45831</v>
      </c>
      <c r="D1708" t="inlineStr">
        <is>
          <t>JÄMTLANDS LÄN</t>
        </is>
      </c>
      <c r="E1708" t="inlineStr">
        <is>
          <t>KROKOM</t>
        </is>
      </c>
      <c r="F1708" t="inlineStr">
        <is>
          <t>Övriga Aktiebolag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5991-2025</t>
        </is>
      </c>
      <c r="B1709" s="1" t="n">
        <v>45695</v>
      </c>
      <c r="C1709" s="1" t="n">
        <v>45831</v>
      </c>
      <c r="D1709" t="inlineStr">
        <is>
          <t>JÄMTLANDS LÄN</t>
        </is>
      </c>
      <c r="E1709" t="inlineStr">
        <is>
          <t>KROKOM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5896-2025</t>
        </is>
      </c>
      <c r="B1710" s="1" t="n">
        <v>45695</v>
      </c>
      <c r="C1710" s="1" t="n">
        <v>45831</v>
      </c>
      <c r="D1710" t="inlineStr">
        <is>
          <t>JÄMTLANDS LÄN</t>
        </is>
      </c>
      <c r="E1710" t="inlineStr">
        <is>
          <t>KROKOM</t>
        </is>
      </c>
      <c r="F1710" t="inlineStr">
        <is>
          <t>Övriga Aktiebolag</t>
        </is>
      </c>
      <c r="G1710" t="n">
        <v>13.3</v>
      </c>
      <c r="H1710" t="n">
        <v>0</v>
      </c>
      <c r="I1710" t="n">
        <v>0</v>
      </c>
      <c r="J1710" t="n">
        <v>0</v>
      </c>
      <c r="K1710" t="n">
        <v>0</v>
      </c>
      <c r="L1710" t="n">
        <v>0</v>
      </c>
      <c r="M1710" t="n">
        <v>0</v>
      </c>
      <c r="N1710" t="n">
        <v>0</v>
      </c>
      <c r="O1710" t="n">
        <v>0</v>
      </c>
      <c r="P1710" t="n">
        <v>0</v>
      </c>
      <c r="Q1710" t="n">
        <v>0</v>
      </c>
      <c r="R1710" s="2" t="inlineStr"/>
    </row>
    <row r="1711" ht="15" customHeight="1">
      <c r="A1711" t="inlineStr">
        <is>
          <t>A 5920-2025</t>
        </is>
      </c>
      <c r="B1711" s="1" t="n">
        <v>45695</v>
      </c>
      <c r="C1711" s="1" t="n">
        <v>45831</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6235-2025</t>
        </is>
      </c>
      <c r="B1712" s="1" t="n">
        <v>45695</v>
      </c>
      <c r="C1712" s="1" t="n">
        <v>45831</v>
      </c>
      <c r="D1712" t="inlineStr">
        <is>
          <t>JÄMTLANDS LÄN</t>
        </is>
      </c>
      <c r="E1712" t="inlineStr">
        <is>
          <t>KROKOM</t>
        </is>
      </c>
      <c r="F1712" t="inlineStr">
        <is>
          <t>SCA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6015-2025</t>
        </is>
      </c>
      <c r="B1713" s="1" t="n">
        <v>45695</v>
      </c>
      <c r="C1713" s="1" t="n">
        <v>45831</v>
      </c>
      <c r="D1713" t="inlineStr">
        <is>
          <t>JÄMTLANDS LÄN</t>
        </is>
      </c>
      <c r="E1713" t="inlineStr">
        <is>
          <t>KROKOM</t>
        </is>
      </c>
      <c r="F1713" t="inlineStr">
        <is>
          <t>Övriga Aktiebolag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6070-2025</t>
        </is>
      </c>
      <c r="B1714" s="1" t="n">
        <v>45696</v>
      </c>
      <c r="C1714" s="1" t="n">
        <v>45831</v>
      </c>
      <c r="D1714" t="inlineStr">
        <is>
          <t>JÄMTLANDS LÄN</t>
        </is>
      </c>
      <c r="E1714" t="inlineStr">
        <is>
          <t>KROKOM</t>
        </is>
      </c>
      <c r="F1714" t="inlineStr">
        <is>
          <t>Övriga Aktiebolag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6066-2025</t>
        </is>
      </c>
      <c r="B1715" s="1" t="n">
        <v>45696</v>
      </c>
      <c r="C1715" s="1" t="n">
        <v>45831</v>
      </c>
      <c r="D1715" t="inlineStr">
        <is>
          <t>JÄMTLANDS LÄN</t>
        </is>
      </c>
      <c r="E1715" t="inlineStr">
        <is>
          <t>KROKOM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6068-2025</t>
        </is>
      </c>
      <c r="B1716" s="1" t="n">
        <v>45696</v>
      </c>
      <c r="C1716" s="1" t="n">
        <v>45831</v>
      </c>
      <c r="D1716" t="inlineStr">
        <is>
          <t>JÄMTLANDS LÄN</t>
        </is>
      </c>
      <c r="E1716" t="inlineStr">
        <is>
          <t>KROKOM</t>
        </is>
      </c>
      <c r="F1716" t="inlineStr">
        <is>
          <t>Övriga Aktiebolag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6086-2025</t>
        </is>
      </c>
      <c r="B1717" s="1" t="n">
        <v>45697</v>
      </c>
      <c r="C1717" s="1" t="n">
        <v>45831</v>
      </c>
      <c r="D1717" t="inlineStr">
        <is>
          <t>JÄMTLANDS LÄN</t>
        </is>
      </c>
      <c r="E1717" t="inlineStr">
        <is>
          <t>KROKOM</t>
        </is>
      </c>
      <c r="F1717" t="inlineStr">
        <is>
          <t>Övriga Aktiebolag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6234-2025</t>
        </is>
      </c>
      <c r="B1718" s="1" t="n">
        <v>45698</v>
      </c>
      <c r="C1718" s="1" t="n">
        <v>45831</v>
      </c>
      <c r="D1718" t="inlineStr">
        <is>
          <t>JÄMTLANDS LÄN</t>
        </is>
      </c>
      <c r="E1718" t="inlineStr">
        <is>
          <t>KROKOM</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6245-2025</t>
        </is>
      </c>
      <c r="B1719" s="1" t="n">
        <v>45698</v>
      </c>
      <c r="C1719" s="1" t="n">
        <v>45831</v>
      </c>
      <c r="D1719" t="inlineStr">
        <is>
          <t>JÄMTLANDS LÄN</t>
        </is>
      </c>
      <c r="E1719" t="inlineStr">
        <is>
          <t>KROKOM</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6208-2025</t>
        </is>
      </c>
      <c r="B1720" s="1" t="n">
        <v>45698</v>
      </c>
      <c r="C1720" s="1" t="n">
        <v>45831</v>
      </c>
      <c r="D1720" t="inlineStr">
        <is>
          <t>JÄMTLANDS LÄN</t>
        </is>
      </c>
      <c r="E1720" t="inlineStr">
        <is>
          <t>KROKOM</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6185-2025</t>
        </is>
      </c>
      <c r="B1721" s="1" t="n">
        <v>45698</v>
      </c>
      <c r="C1721" s="1" t="n">
        <v>45831</v>
      </c>
      <c r="D1721" t="inlineStr">
        <is>
          <t>JÄMTLANDS LÄN</t>
        </is>
      </c>
      <c r="E1721" t="inlineStr">
        <is>
          <t>KROKOM</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6145-2025</t>
        </is>
      </c>
      <c r="B1722" s="1" t="n">
        <v>45698</v>
      </c>
      <c r="C1722" s="1" t="n">
        <v>45831</v>
      </c>
      <c r="D1722" t="inlineStr">
        <is>
          <t>JÄMTLANDS LÄN</t>
        </is>
      </c>
      <c r="E1722" t="inlineStr">
        <is>
          <t>KROKOM</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6114-2025</t>
        </is>
      </c>
      <c r="B1723" s="1" t="n">
        <v>45698</v>
      </c>
      <c r="C1723" s="1" t="n">
        <v>45831</v>
      </c>
      <c r="D1723" t="inlineStr">
        <is>
          <t>JÄMTLANDS LÄN</t>
        </is>
      </c>
      <c r="E1723" t="inlineStr">
        <is>
          <t>KROKOM</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6166-2025</t>
        </is>
      </c>
      <c r="B1724" s="1" t="n">
        <v>45698</v>
      </c>
      <c r="C1724" s="1" t="n">
        <v>45831</v>
      </c>
      <c r="D1724" t="inlineStr">
        <is>
          <t>JÄMTLANDS LÄN</t>
        </is>
      </c>
      <c r="E1724" t="inlineStr">
        <is>
          <t>KROKOM</t>
        </is>
      </c>
      <c r="F1724" t="inlineStr">
        <is>
          <t>Övriga Aktiebolag</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6148-2025</t>
        </is>
      </c>
      <c r="B1725" s="1" t="n">
        <v>45698</v>
      </c>
      <c r="C1725" s="1" t="n">
        <v>45831</v>
      </c>
      <c r="D1725" t="inlineStr">
        <is>
          <t>JÄMTLANDS LÄN</t>
        </is>
      </c>
      <c r="E1725" t="inlineStr">
        <is>
          <t>KROKOM</t>
        </is>
      </c>
      <c r="G1725" t="n">
        <v>43.6</v>
      </c>
      <c r="H1725" t="n">
        <v>0</v>
      </c>
      <c r="I1725" t="n">
        <v>0</v>
      </c>
      <c r="J1725" t="n">
        <v>0</v>
      </c>
      <c r="K1725" t="n">
        <v>0</v>
      </c>
      <c r="L1725" t="n">
        <v>0</v>
      </c>
      <c r="M1725" t="n">
        <v>0</v>
      </c>
      <c r="N1725" t="n">
        <v>0</v>
      </c>
      <c r="O1725" t="n">
        <v>0</v>
      </c>
      <c r="P1725" t="n">
        <v>0</v>
      </c>
      <c r="Q1725" t="n">
        <v>0</v>
      </c>
      <c r="R1725" s="2" t="inlineStr"/>
    </row>
    <row r="1726" ht="15" customHeight="1">
      <c r="A1726" t="inlineStr">
        <is>
          <t>A 6342-2025</t>
        </is>
      </c>
      <c r="B1726" s="1" t="n">
        <v>45699</v>
      </c>
      <c r="C1726" s="1" t="n">
        <v>45831</v>
      </c>
      <c r="D1726" t="inlineStr">
        <is>
          <t>JÄMTLANDS LÄN</t>
        </is>
      </c>
      <c r="E1726" t="inlineStr">
        <is>
          <t>KROKOM</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6524-2025</t>
        </is>
      </c>
      <c r="B1727" s="1" t="n">
        <v>45699</v>
      </c>
      <c r="C1727" s="1" t="n">
        <v>45831</v>
      </c>
      <c r="D1727" t="inlineStr">
        <is>
          <t>JÄMTLANDS LÄN</t>
        </is>
      </c>
      <c r="E1727" t="inlineStr">
        <is>
          <t>KROKOM</t>
        </is>
      </c>
      <c r="F1727" t="inlineStr">
        <is>
          <t>Övriga Aktiebolag</t>
        </is>
      </c>
      <c r="G1727" t="n">
        <v>51.6</v>
      </c>
      <c r="H1727" t="n">
        <v>0</v>
      </c>
      <c r="I1727" t="n">
        <v>0</v>
      </c>
      <c r="J1727" t="n">
        <v>0</v>
      </c>
      <c r="K1727" t="n">
        <v>0</v>
      </c>
      <c r="L1727" t="n">
        <v>0</v>
      </c>
      <c r="M1727" t="n">
        <v>0</v>
      </c>
      <c r="N1727" t="n">
        <v>0</v>
      </c>
      <c r="O1727" t="n">
        <v>0</v>
      </c>
      <c r="P1727" t="n">
        <v>0</v>
      </c>
      <c r="Q1727" t="n">
        <v>0</v>
      </c>
      <c r="R1727" s="2" t="inlineStr"/>
    </row>
    <row r="1728" ht="15" customHeight="1">
      <c r="A1728" t="inlineStr">
        <is>
          <t>A 6461-2025</t>
        </is>
      </c>
      <c r="B1728" s="1" t="n">
        <v>45699</v>
      </c>
      <c r="C1728" s="1" t="n">
        <v>45831</v>
      </c>
      <c r="D1728" t="inlineStr">
        <is>
          <t>JÄMTLANDS LÄN</t>
        </is>
      </c>
      <c r="E1728" t="inlineStr">
        <is>
          <t>KROKOM</t>
        </is>
      </c>
      <c r="F1728" t="inlineStr">
        <is>
          <t>Övriga Aktiebolag</t>
        </is>
      </c>
      <c r="G1728" t="n">
        <v>20.3</v>
      </c>
      <c r="H1728" t="n">
        <v>0</v>
      </c>
      <c r="I1728" t="n">
        <v>0</v>
      </c>
      <c r="J1728" t="n">
        <v>0</v>
      </c>
      <c r="K1728" t="n">
        <v>0</v>
      </c>
      <c r="L1728" t="n">
        <v>0</v>
      </c>
      <c r="M1728" t="n">
        <v>0</v>
      </c>
      <c r="N1728" t="n">
        <v>0</v>
      </c>
      <c r="O1728" t="n">
        <v>0</v>
      </c>
      <c r="P1728" t="n">
        <v>0</v>
      </c>
      <c r="Q1728" t="n">
        <v>0</v>
      </c>
      <c r="R1728" s="2" t="inlineStr"/>
    </row>
    <row r="1729" ht="15" customHeight="1">
      <c r="A1729" t="inlineStr">
        <is>
          <t>A 6627-2025</t>
        </is>
      </c>
      <c r="B1729" s="1" t="n">
        <v>45700</v>
      </c>
      <c r="C1729" s="1" t="n">
        <v>45831</v>
      </c>
      <c r="D1729" t="inlineStr">
        <is>
          <t>JÄMTLANDS LÄN</t>
        </is>
      </c>
      <c r="E1729" t="inlineStr">
        <is>
          <t>KROKOM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6629-2025</t>
        </is>
      </c>
      <c r="B1730" s="1" t="n">
        <v>45700</v>
      </c>
      <c r="C1730" s="1" t="n">
        <v>45831</v>
      </c>
      <c r="D1730" t="inlineStr">
        <is>
          <t>JÄMTLANDS LÄN</t>
        </is>
      </c>
      <c r="E1730" t="inlineStr">
        <is>
          <t>KROKOM</t>
        </is>
      </c>
      <c r="F1730" t="inlineStr">
        <is>
          <t>Övriga Aktiebolag</t>
        </is>
      </c>
      <c r="G1730" t="n">
        <v>24.8</v>
      </c>
      <c r="H1730" t="n">
        <v>0</v>
      </c>
      <c r="I1730" t="n">
        <v>0</v>
      </c>
      <c r="J1730" t="n">
        <v>0</v>
      </c>
      <c r="K1730" t="n">
        <v>0</v>
      </c>
      <c r="L1730" t="n">
        <v>0</v>
      </c>
      <c r="M1730" t="n">
        <v>0</v>
      </c>
      <c r="N1730" t="n">
        <v>0</v>
      </c>
      <c r="O1730" t="n">
        <v>0</v>
      </c>
      <c r="P1730" t="n">
        <v>0</v>
      </c>
      <c r="Q1730" t="n">
        <v>0</v>
      </c>
      <c r="R1730" s="2" t="inlineStr"/>
    </row>
    <row r="1731" ht="15" customHeight="1">
      <c r="A1731" t="inlineStr">
        <is>
          <t>A 6590-2025</t>
        </is>
      </c>
      <c r="B1731" s="1" t="n">
        <v>45700</v>
      </c>
      <c r="C1731" s="1" t="n">
        <v>45831</v>
      </c>
      <c r="D1731" t="inlineStr">
        <is>
          <t>JÄMTLANDS LÄN</t>
        </is>
      </c>
      <c r="E1731" t="inlineStr">
        <is>
          <t>KROKOM</t>
        </is>
      </c>
      <c r="F1731" t="inlineStr">
        <is>
          <t>Övriga Aktiebolag</t>
        </is>
      </c>
      <c r="G1731" t="n">
        <v>51.6</v>
      </c>
      <c r="H1731" t="n">
        <v>0</v>
      </c>
      <c r="I1731" t="n">
        <v>0</v>
      </c>
      <c r="J1731" t="n">
        <v>0</v>
      </c>
      <c r="K1731" t="n">
        <v>0</v>
      </c>
      <c r="L1731" t="n">
        <v>0</v>
      </c>
      <c r="M1731" t="n">
        <v>0</v>
      </c>
      <c r="N1731" t="n">
        <v>0</v>
      </c>
      <c r="O1731" t="n">
        <v>0</v>
      </c>
      <c r="P1731" t="n">
        <v>0</v>
      </c>
      <c r="Q1731" t="n">
        <v>0</v>
      </c>
      <c r="R1731" s="2" t="inlineStr"/>
    </row>
    <row r="1732" ht="15" customHeight="1">
      <c r="A1732" t="inlineStr">
        <is>
          <t>A 6804-2025</t>
        </is>
      </c>
      <c r="B1732" s="1" t="n">
        <v>45700</v>
      </c>
      <c r="C1732" s="1" t="n">
        <v>45831</v>
      </c>
      <c r="D1732" t="inlineStr">
        <is>
          <t>JÄMTLANDS LÄN</t>
        </is>
      </c>
      <c r="E1732" t="inlineStr">
        <is>
          <t>KROKOM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6585-2025</t>
        </is>
      </c>
      <c r="B1733" s="1" t="n">
        <v>45700</v>
      </c>
      <c r="C1733" s="1" t="n">
        <v>45831</v>
      </c>
      <c r="D1733" t="inlineStr">
        <is>
          <t>JÄMTLANDS LÄN</t>
        </is>
      </c>
      <c r="E1733" t="inlineStr">
        <is>
          <t>KROKOM</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6711-2025</t>
        </is>
      </c>
      <c r="B1734" s="1" t="n">
        <v>45700</v>
      </c>
      <c r="C1734" s="1" t="n">
        <v>45831</v>
      </c>
      <c r="D1734" t="inlineStr">
        <is>
          <t>JÄMTLANDS LÄN</t>
        </is>
      </c>
      <c r="E1734" t="inlineStr">
        <is>
          <t>KROKOM</t>
        </is>
      </c>
      <c r="F1734" t="inlineStr">
        <is>
          <t>Övriga Aktiebolag</t>
        </is>
      </c>
      <c r="G1734" t="n">
        <v>37.6</v>
      </c>
      <c r="H1734" t="n">
        <v>0</v>
      </c>
      <c r="I1734" t="n">
        <v>0</v>
      </c>
      <c r="J1734" t="n">
        <v>0</v>
      </c>
      <c r="K1734" t="n">
        <v>0</v>
      </c>
      <c r="L1734" t="n">
        <v>0</v>
      </c>
      <c r="M1734" t="n">
        <v>0</v>
      </c>
      <c r="N1734" t="n">
        <v>0</v>
      </c>
      <c r="O1734" t="n">
        <v>0</v>
      </c>
      <c r="P1734" t="n">
        <v>0</v>
      </c>
      <c r="Q1734" t="n">
        <v>0</v>
      </c>
      <c r="R1734" s="2" t="inlineStr"/>
    </row>
    <row r="1735" ht="15" customHeight="1">
      <c r="A1735" t="inlineStr">
        <is>
          <t>A 6991-2025</t>
        </is>
      </c>
      <c r="B1735" s="1" t="n">
        <v>45701</v>
      </c>
      <c r="C1735" s="1" t="n">
        <v>45831</v>
      </c>
      <c r="D1735" t="inlineStr">
        <is>
          <t>JÄMTLANDS LÄN</t>
        </is>
      </c>
      <c r="E1735" t="inlineStr">
        <is>
          <t>KROKOM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7079-2025</t>
        </is>
      </c>
      <c r="B1736" s="1" t="n">
        <v>45701</v>
      </c>
      <c r="C1736" s="1" t="n">
        <v>45831</v>
      </c>
      <c r="D1736" t="inlineStr">
        <is>
          <t>JÄMTLANDS LÄN</t>
        </is>
      </c>
      <c r="E1736" t="inlineStr">
        <is>
          <t>KROKOM</t>
        </is>
      </c>
      <c r="F1736" t="inlineStr">
        <is>
          <t>SCA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7072-2025</t>
        </is>
      </c>
      <c r="B1737" s="1" t="n">
        <v>45701</v>
      </c>
      <c r="C1737" s="1" t="n">
        <v>45831</v>
      </c>
      <c r="D1737" t="inlineStr">
        <is>
          <t>JÄMTLANDS LÄN</t>
        </is>
      </c>
      <c r="E1737" t="inlineStr">
        <is>
          <t>KROKOM</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7013-2025</t>
        </is>
      </c>
      <c r="B1738" s="1" t="n">
        <v>45701</v>
      </c>
      <c r="C1738" s="1" t="n">
        <v>45831</v>
      </c>
      <c r="D1738" t="inlineStr">
        <is>
          <t>JÄMTLANDS LÄN</t>
        </is>
      </c>
      <c r="E1738" t="inlineStr">
        <is>
          <t>KROKOM</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6870-2025</t>
        </is>
      </c>
      <c r="B1739" s="1" t="n">
        <v>45701</v>
      </c>
      <c r="C1739" s="1" t="n">
        <v>45831</v>
      </c>
      <c r="D1739" t="inlineStr">
        <is>
          <t>JÄMTLANDS LÄN</t>
        </is>
      </c>
      <c r="E1739" t="inlineStr">
        <is>
          <t>KROKOM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7366-2025</t>
        </is>
      </c>
      <c r="B1740" s="1" t="n">
        <v>45704</v>
      </c>
      <c r="C1740" s="1" t="n">
        <v>45831</v>
      </c>
      <c r="D1740" t="inlineStr">
        <is>
          <t>JÄMTLANDS LÄN</t>
        </is>
      </c>
      <c r="E1740" t="inlineStr">
        <is>
          <t>KROKOM</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7391-2025</t>
        </is>
      </c>
      <c r="B1741" s="1" t="n">
        <v>45705</v>
      </c>
      <c r="C1741" s="1" t="n">
        <v>45831</v>
      </c>
      <c r="D1741" t="inlineStr">
        <is>
          <t>JÄMTLANDS LÄN</t>
        </is>
      </c>
      <c r="E1741" t="inlineStr">
        <is>
          <t>KROKOM</t>
        </is>
      </c>
      <c r="F1741" t="inlineStr">
        <is>
          <t>Övriga Aktiebolag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7392-2025</t>
        </is>
      </c>
      <c r="B1742" s="1" t="n">
        <v>45705</v>
      </c>
      <c r="C1742" s="1" t="n">
        <v>45831</v>
      </c>
      <c r="D1742" t="inlineStr">
        <is>
          <t>JÄMTLANDS LÄN</t>
        </is>
      </c>
      <c r="E1742" t="inlineStr">
        <is>
          <t>KROKOM</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7556-2025</t>
        </is>
      </c>
      <c r="B1743" s="1" t="n">
        <v>45705</v>
      </c>
      <c r="C1743" s="1" t="n">
        <v>45831</v>
      </c>
      <c r="D1743" t="inlineStr">
        <is>
          <t>JÄMTLANDS LÄN</t>
        </is>
      </c>
      <c r="E1743" t="inlineStr">
        <is>
          <t>KROKOM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7787-2025</t>
        </is>
      </c>
      <c r="B1744" s="1" t="n">
        <v>45706</v>
      </c>
      <c r="C1744" s="1" t="n">
        <v>45831</v>
      </c>
      <c r="D1744" t="inlineStr">
        <is>
          <t>JÄMTLANDS LÄN</t>
        </is>
      </c>
      <c r="E1744" t="inlineStr">
        <is>
          <t>KROKOM</t>
        </is>
      </c>
      <c r="F1744" t="inlineStr">
        <is>
          <t>Övriga Aktiebolag</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7767-2025</t>
        </is>
      </c>
      <c r="B1745" s="1" t="n">
        <v>45706</v>
      </c>
      <c r="C1745" s="1" t="n">
        <v>45831</v>
      </c>
      <c r="D1745" t="inlineStr">
        <is>
          <t>JÄMTLANDS LÄN</t>
        </is>
      </c>
      <c r="E1745" t="inlineStr">
        <is>
          <t>KROKOM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7724-2025</t>
        </is>
      </c>
      <c r="B1746" s="1" t="n">
        <v>45706</v>
      </c>
      <c r="C1746" s="1" t="n">
        <v>45831</v>
      </c>
      <c r="D1746" t="inlineStr">
        <is>
          <t>JÄMTLANDS LÄN</t>
        </is>
      </c>
      <c r="E1746" t="inlineStr">
        <is>
          <t>KROKOM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7673-2025</t>
        </is>
      </c>
      <c r="B1747" s="1" t="n">
        <v>45706</v>
      </c>
      <c r="C1747" s="1" t="n">
        <v>45831</v>
      </c>
      <c r="D1747" t="inlineStr">
        <is>
          <t>JÄMTLANDS LÄN</t>
        </is>
      </c>
      <c r="E1747" t="inlineStr">
        <is>
          <t>KROKOM</t>
        </is>
      </c>
      <c r="F1747" t="inlineStr">
        <is>
          <t>Övriga Aktiebolag</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8024-2025</t>
        </is>
      </c>
      <c r="B1748" s="1" t="n">
        <v>45707</v>
      </c>
      <c r="C1748" s="1" t="n">
        <v>45831</v>
      </c>
      <c r="D1748" t="inlineStr">
        <is>
          <t>JÄMTLANDS LÄN</t>
        </is>
      </c>
      <c r="E1748" t="inlineStr">
        <is>
          <t>KROKOM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7908-2025</t>
        </is>
      </c>
      <c r="B1749" s="1" t="n">
        <v>45707</v>
      </c>
      <c r="C1749" s="1" t="n">
        <v>45831</v>
      </c>
      <c r="D1749" t="inlineStr">
        <is>
          <t>JÄMTLANDS LÄN</t>
        </is>
      </c>
      <c r="E1749" t="inlineStr">
        <is>
          <t>KROKOM</t>
        </is>
      </c>
      <c r="F1749" t="inlineStr">
        <is>
          <t>Övriga Aktiebolag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8072-2025</t>
        </is>
      </c>
      <c r="B1750" s="1" t="n">
        <v>45707</v>
      </c>
      <c r="C1750" s="1" t="n">
        <v>45831</v>
      </c>
      <c r="D1750" t="inlineStr">
        <is>
          <t>JÄMTLANDS LÄN</t>
        </is>
      </c>
      <c r="E1750" t="inlineStr">
        <is>
          <t>KROKOM</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8011-2025</t>
        </is>
      </c>
      <c r="B1751" s="1" t="n">
        <v>45707</v>
      </c>
      <c r="C1751" s="1" t="n">
        <v>45831</v>
      </c>
      <c r="D1751" t="inlineStr">
        <is>
          <t>JÄMTLANDS LÄN</t>
        </is>
      </c>
      <c r="E1751" t="inlineStr">
        <is>
          <t>KROKOM</t>
        </is>
      </c>
      <c r="F1751" t="inlineStr">
        <is>
          <t>Övriga Aktiebolag</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7921-2025</t>
        </is>
      </c>
      <c r="B1752" s="1" t="n">
        <v>45707</v>
      </c>
      <c r="C1752" s="1" t="n">
        <v>45831</v>
      </c>
      <c r="D1752" t="inlineStr">
        <is>
          <t>JÄMTLANDS LÄN</t>
        </is>
      </c>
      <c r="E1752" t="inlineStr">
        <is>
          <t>KROKOM</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8168-2025</t>
        </is>
      </c>
      <c r="B1753" s="1" t="n">
        <v>45708</v>
      </c>
      <c r="C1753" s="1" t="n">
        <v>45831</v>
      </c>
      <c r="D1753" t="inlineStr">
        <is>
          <t>JÄMTLANDS LÄN</t>
        </is>
      </c>
      <c r="E1753" t="inlineStr">
        <is>
          <t>KROKOM</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8167-2025</t>
        </is>
      </c>
      <c r="B1754" s="1" t="n">
        <v>45708</v>
      </c>
      <c r="C1754" s="1" t="n">
        <v>45831</v>
      </c>
      <c r="D1754" t="inlineStr">
        <is>
          <t>JÄMTLANDS LÄN</t>
        </is>
      </c>
      <c r="E1754" t="inlineStr">
        <is>
          <t>KROKOM</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8369-2025</t>
        </is>
      </c>
      <c r="B1755" s="1" t="n">
        <v>45709</v>
      </c>
      <c r="C1755" s="1" t="n">
        <v>45831</v>
      </c>
      <c r="D1755" t="inlineStr">
        <is>
          <t>JÄMTLANDS LÄN</t>
        </is>
      </c>
      <c r="E1755" t="inlineStr">
        <is>
          <t>KROKOM</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8784-2025</t>
        </is>
      </c>
      <c r="B1756" s="1" t="n">
        <v>45712</v>
      </c>
      <c r="C1756" s="1" t="n">
        <v>45831</v>
      </c>
      <c r="D1756" t="inlineStr">
        <is>
          <t>JÄMTLANDS LÄN</t>
        </is>
      </c>
      <c r="E1756" t="inlineStr">
        <is>
          <t>KROKOM</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8868-2025</t>
        </is>
      </c>
      <c r="B1757" s="1" t="n">
        <v>45713</v>
      </c>
      <c r="C1757" s="1" t="n">
        <v>45831</v>
      </c>
      <c r="D1757" t="inlineStr">
        <is>
          <t>JÄMTLANDS LÄN</t>
        </is>
      </c>
      <c r="E1757" t="inlineStr">
        <is>
          <t>KROKOM</t>
        </is>
      </c>
      <c r="F1757" t="inlineStr">
        <is>
          <t>Övriga Aktiebolag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8872-2025</t>
        </is>
      </c>
      <c r="B1758" s="1" t="n">
        <v>45713</v>
      </c>
      <c r="C1758" s="1" t="n">
        <v>45831</v>
      </c>
      <c r="D1758" t="inlineStr">
        <is>
          <t>JÄMTLANDS LÄN</t>
        </is>
      </c>
      <c r="E1758" t="inlineStr">
        <is>
          <t>KROKOM</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8880-2025</t>
        </is>
      </c>
      <c r="B1759" s="1" t="n">
        <v>45713</v>
      </c>
      <c r="C1759" s="1" t="n">
        <v>45831</v>
      </c>
      <c r="D1759" t="inlineStr">
        <is>
          <t>JÄMTLANDS LÄN</t>
        </is>
      </c>
      <c r="E1759" t="inlineStr">
        <is>
          <t>KROKOM</t>
        </is>
      </c>
      <c r="F1759" t="inlineStr">
        <is>
          <t>Övriga Aktiebolag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9023-2025</t>
        </is>
      </c>
      <c r="B1760" s="1" t="n">
        <v>45713</v>
      </c>
      <c r="C1760" s="1" t="n">
        <v>45831</v>
      </c>
      <c r="D1760" t="inlineStr">
        <is>
          <t>JÄMTLANDS LÄN</t>
        </is>
      </c>
      <c r="E1760" t="inlineStr">
        <is>
          <t>KROKOM</t>
        </is>
      </c>
      <c r="F1760" t="inlineStr">
        <is>
          <t>Övriga Aktiebolag</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9027-2025</t>
        </is>
      </c>
      <c r="B1761" s="1" t="n">
        <v>45713</v>
      </c>
      <c r="C1761" s="1" t="n">
        <v>45831</v>
      </c>
      <c r="D1761" t="inlineStr">
        <is>
          <t>JÄMTLANDS LÄN</t>
        </is>
      </c>
      <c r="E1761" t="inlineStr">
        <is>
          <t>KROKOM</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9043-2025</t>
        </is>
      </c>
      <c r="B1762" s="1" t="n">
        <v>45713</v>
      </c>
      <c r="C1762" s="1" t="n">
        <v>45831</v>
      </c>
      <c r="D1762" t="inlineStr">
        <is>
          <t>JÄMTLANDS LÄN</t>
        </is>
      </c>
      <c r="E1762" t="inlineStr">
        <is>
          <t>KROKOM</t>
        </is>
      </c>
      <c r="F1762" t="inlineStr">
        <is>
          <t>Övriga Aktiebolag</t>
        </is>
      </c>
      <c r="G1762" t="n">
        <v>43.6</v>
      </c>
      <c r="H1762" t="n">
        <v>0</v>
      </c>
      <c r="I1762" t="n">
        <v>0</v>
      </c>
      <c r="J1762" t="n">
        <v>0</v>
      </c>
      <c r="K1762" t="n">
        <v>0</v>
      </c>
      <c r="L1762" t="n">
        <v>0</v>
      </c>
      <c r="M1762" t="n">
        <v>0</v>
      </c>
      <c r="N1762" t="n">
        <v>0</v>
      </c>
      <c r="O1762" t="n">
        <v>0</v>
      </c>
      <c r="P1762" t="n">
        <v>0</v>
      </c>
      <c r="Q1762" t="n">
        <v>0</v>
      </c>
      <c r="R1762" s="2" t="inlineStr"/>
    </row>
    <row r="1763" ht="15" customHeight="1">
      <c r="A1763" t="inlineStr">
        <is>
          <t>A 9016-2025</t>
        </is>
      </c>
      <c r="B1763" s="1" t="n">
        <v>45713</v>
      </c>
      <c r="C1763" s="1" t="n">
        <v>45831</v>
      </c>
      <c r="D1763" t="inlineStr">
        <is>
          <t>JÄMTLANDS LÄN</t>
        </is>
      </c>
      <c r="E1763" t="inlineStr">
        <is>
          <t>KROKOM</t>
        </is>
      </c>
      <c r="F1763" t="inlineStr">
        <is>
          <t>Övriga Aktiebolag</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8865-2025</t>
        </is>
      </c>
      <c r="B1764" s="1" t="n">
        <v>45713</v>
      </c>
      <c r="C1764" s="1" t="n">
        <v>45831</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9025-2025</t>
        </is>
      </c>
      <c r="B1765" s="1" t="n">
        <v>45713</v>
      </c>
      <c r="C1765" s="1" t="n">
        <v>45831</v>
      </c>
      <c r="D1765" t="inlineStr">
        <is>
          <t>JÄMTLANDS LÄN</t>
        </is>
      </c>
      <c r="E1765" t="inlineStr">
        <is>
          <t>KROKOM</t>
        </is>
      </c>
      <c r="F1765" t="inlineStr">
        <is>
          <t>Övriga Aktiebolag</t>
        </is>
      </c>
      <c r="G1765" t="n">
        <v>28.4</v>
      </c>
      <c r="H1765" t="n">
        <v>0</v>
      </c>
      <c r="I1765" t="n">
        <v>0</v>
      </c>
      <c r="J1765" t="n">
        <v>0</v>
      </c>
      <c r="K1765" t="n">
        <v>0</v>
      </c>
      <c r="L1765" t="n">
        <v>0</v>
      </c>
      <c r="M1765" t="n">
        <v>0</v>
      </c>
      <c r="N1765" t="n">
        <v>0</v>
      </c>
      <c r="O1765" t="n">
        <v>0</v>
      </c>
      <c r="P1765" t="n">
        <v>0</v>
      </c>
      <c r="Q1765" t="n">
        <v>0</v>
      </c>
      <c r="R1765" s="2" t="inlineStr"/>
    </row>
    <row r="1766" ht="15" customHeight="1">
      <c r="A1766" t="inlineStr">
        <is>
          <t>A 9022-2025</t>
        </is>
      </c>
      <c r="B1766" s="1" t="n">
        <v>45713</v>
      </c>
      <c r="C1766" s="1" t="n">
        <v>45831</v>
      </c>
      <c r="D1766" t="inlineStr">
        <is>
          <t>JÄMTLANDS LÄN</t>
        </is>
      </c>
      <c r="E1766" t="inlineStr">
        <is>
          <t>KROKOM</t>
        </is>
      </c>
      <c r="F1766" t="inlineStr">
        <is>
          <t>Övriga Aktiebolag</t>
        </is>
      </c>
      <c r="G1766" t="n">
        <v>29.9</v>
      </c>
      <c r="H1766" t="n">
        <v>0</v>
      </c>
      <c r="I1766" t="n">
        <v>0</v>
      </c>
      <c r="J1766" t="n">
        <v>0</v>
      </c>
      <c r="K1766" t="n">
        <v>0</v>
      </c>
      <c r="L1766" t="n">
        <v>0</v>
      </c>
      <c r="M1766" t="n">
        <v>0</v>
      </c>
      <c r="N1766" t="n">
        <v>0</v>
      </c>
      <c r="O1766" t="n">
        <v>0</v>
      </c>
      <c r="P1766" t="n">
        <v>0</v>
      </c>
      <c r="Q1766" t="n">
        <v>0</v>
      </c>
      <c r="R1766" s="2" t="inlineStr"/>
    </row>
    <row r="1767" ht="15" customHeight="1">
      <c r="A1767" t="inlineStr">
        <is>
          <t>A 9156-2025</t>
        </is>
      </c>
      <c r="B1767" s="1" t="n">
        <v>45714</v>
      </c>
      <c r="C1767" s="1" t="n">
        <v>45831</v>
      </c>
      <c r="D1767" t="inlineStr">
        <is>
          <t>JÄMTLANDS LÄN</t>
        </is>
      </c>
      <c r="E1767" t="inlineStr">
        <is>
          <t>KROKOM</t>
        </is>
      </c>
      <c r="F1767" t="inlineStr">
        <is>
          <t>Övriga Aktiebolag</t>
        </is>
      </c>
      <c r="G1767" t="n">
        <v>26.7</v>
      </c>
      <c r="H1767" t="n">
        <v>0</v>
      </c>
      <c r="I1767" t="n">
        <v>0</v>
      </c>
      <c r="J1767" t="n">
        <v>0</v>
      </c>
      <c r="K1767" t="n">
        <v>0</v>
      </c>
      <c r="L1767" t="n">
        <v>0</v>
      </c>
      <c r="M1767" t="n">
        <v>0</v>
      </c>
      <c r="N1767" t="n">
        <v>0</v>
      </c>
      <c r="O1767" t="n">
        <v>0</v>
      </c>
      <c r="P1767" t="n">
        <v>0</v>
      </c>
      <c r="Q1767" t="n">
        <v>0</v>
      </c>
      <c r="R1767" s="2" t="inlineStr"/>
      <c r="U1767">
        <f>HYPERLINK("https://klasma.github.io/Logging_2309/knärot/A 9156-2025 karta knärot.png", "A 9156-2025")</f>
        <v/>
      </c>
      <c r="V1767">
        <f>HYPERLINK("https://klasma.github.io/Logging_2309/klagomål/A 9156-2025 FSC-klagomål.docx", "A 9156-2025")</f>
        <v/>
      </c>
      <c r="W1767">
        <f>HYPERLINK("https://klasma.github.io/Logging_2309/klagomålsmail/A 9156-2025 FSC-klagomål mail.docx", "A 9156-2025")</f>
        <v/>
      </c>
      <c r="X1767">
        <f>HYPERLINK("https://klasma.github.io/Logging_2309/tillsyn/A 9156-2025 tillsynsbegäran.docx", "A 9156-2025")</f>
        <v/>
      </c>
      <c r="Y1767">
        <f>HYPERLINK("https://klasma.github.io/Logging_2309/tillsynsmail/A 9156-2025 tillsynsbegäran mail.docx", "A 9156-2025")</f>
        <v/>
      </c>
    </row>
    <row r="1768" ht="15" customHeight="1">
      <c r="A1768" t="inlineStr">
        <is>
          <t>A 9313-2025</t>
        </is>
      </c>
      <c r="B1768" s="1" t="n">
        <v>45714</v>
      </c>
      <c r="C1768" s="1" t="n">
        <v>45831</v>
      </c>
      <c r="D1768" t="inlineStr">
        <is>
          <t>JÄMTLANDS LÄN</t>
        </is>
      </c>
      <c r="E1768" t="inlineStr">
        <is>
          <t>KROKOM</t>
        </is>
      </c>
      <c r="F1768" t="inlineStr">
        <is>
          <t>Kyrkan</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9623-2025</t>
        </is>
      </c>
      <c r="B1769" s="1" t="n">
        <v>45715</v>
      </c>
      <c r="C1769" s="1" t="n">
        <v>45831</v>
      </c>
      <c r="D1769" t="inlineStr">
        <is>
          <t>JÄMTLANDS LÄN</t>
        </is>
      </c>
      <c r="E1769" t="inlineStr">
        <is>
          <t>KROKOM</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9388-2025</t>
        </is>
      </c>
      <c r="B1770" s="1" t="n">
        <v>45715</v>
      </c>
      <c r="C1770" s="1" t="n">
        <v>45831</v>
      </c>
      <c r="D1770" t="inlineStr">
        <is>
          <t>JÄMTLANDS LÄN</t>
        </is>
      </c>
      <c r="E1770" t="inlineStr">
        <is>
          <t>KROKOM</t>
        </is>
      </c>
      <c r="F1770" t="inlineStr">
        <is>
          <t>Övriga Aktiebolag</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9621-2025</t>
        </is>
      </c>
      <c r="B1771" s="1" t="n">
        <v>45715</v>
      </c>
      <c r="C1771" s="1" t="n">
        <v>45831</v>
      </c>
      <c r="D1771" t="inlineStr">
        <is>
          <t>JÄMTLANDS LÄN</t>
        </is>
      </c>
      <c r="E1771" t="inlineStr">
        <is>
          <t>KROKOM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9701-2025</t>
        </is>
      </c>
      <c r="B1772" s="1" t="n">
        <v>45716</v>
      </c>
      <c r="C1772" s="1" t="n">
        <v>45831</v>
      </c>
      <c r="D1772" t="inlineStr">
        <is>
          <t>JÄMTLANDS LÄN</t>
        </is>
      </c>
      <c r="E1772" t="inlineStr">
        <is>
          <t>KROKOM</t>
        </is>
      </c>
      <c r="F1772" t="inlineStr">
        <is>
          <t>Övriga Aktiebolag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9796-2025</t>
        </is>
      </c>
      <c r="B1773" s="1" t="n">
        <v>45716</v>
      </c>
      <c r="C1773" s="1" t="n">
        <v>45831</v>
      </c>
      <c r="D1773" t="inlineStr">
        <is>
          <t>JÄMTLANDS LÄN</t>
        </is>
      </c>
      <c r="E1773" t="inlineStr">
        <is>
          <t>KROKOM</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10133-2025</t>
        </is>
      </c>
      <c r="B1774" s="1" t="n">
        <v>45719</v>
      </c>
      <c r="C1774" s="1" t="n">
        <v>45831</v>
      </c>
      <c r="D1774" t="inlineStr">
        <is>
          <t>JÄMTLANDS LÄN</t>
        </is>
      </c>
      <c r="E1774" t="inlineStr">
        <is>
          <t>KROKOM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10128-2025</t>
        </is>
      </c>
      <c r="B1775" s="1" t="n">
        <v>45719</v>
      </c>
      <c r="C1775" s="1" t="n">
        <v>45831</v>
      </c>
      <c r="D1775" t="inlineStr">
        <is>
          <t>JÄMTLANDS LÄN</t>
        </is>
      </c>
      <c r="E1775" t="inlineStr">
        <is>
          <t>KROKOM</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9948-2025</t>
        </is>
      </c>
      <c r="B1776" s="1" t="n">
        <v>45719</v>
      </c>
      <c r="C1776" s="1" t="n">
        <v>45831</v>
      </c>
      <c r="D1776" t="inlineStr">
        <is>
          <t>JÄMTLANDS LÄN</t>
        </is>
      </c>
      <c r="E1776" t="inlineStr">
        <is>
          <t>KROKOM</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10053-2025</t>
        </is>
      </c>
      <c r="B1777" s="1" t="n">
        <v>45719</v>
      </c>
      <c r="C1777" s="1" t="n">
        <v>45831</v>
      </c>
      <c r="D1777" t="inlineStr">
        <is>
          <t>JÄMTLANDS LÄN</t>
        </is>
      </c>
      <c r="E1777" t="inlineStr">
        <is>
          <t>KROKOM</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9963-2025</t>
        </is>
      </c>
      <c r="B1778" s="1" t="n">
        <v>45719</v>
      </c>
      <c r="C1778" s="1" t="n">
        <v>45831</v>
      </c>
      <c r="D1778" t="inlineStr">
        <is>
          <t>JÄMTLANDS LÄN</t>
        </is>
      </c>
      <c r="E1778" t="inlineStr">
        <is>
          <t>KROKOM</t>
        </is>
      </c>
      <c r="F1778" t="inlineStr">
        <is>
          <t>Övriga Aktiebolag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10071-2025</t>
        </is>
      </c>
      <c r="B1779" s="1" t="n">
        <v>45719</v>
      </c>
      <c r="C1779" s="1" t="n">
        <v>45831</v>
      </c>
      <c r="D1779" t="inlineStr">
        <is>
          <t>JÄMTLANDS LÄN</t>
        </is>
      </c>
      <c r="E1779" t="inlineStr">
        <is>
          <t>KROKOM</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10220-2025</t>
        </is>
      </c>
      <c r="B1780" s="1" t="n">
        <v>45720</v>
      </c>
      <c r="C1780" s="1" t="n">
        <v>45831</v>
      </c>
      <c r="D1780" t="inlineStr">
        <is>
          <t>JÄMTLANDS LÄN</t>
        </is>
      </c>
      <c r="E1780" t="inlineStr">
        <is>
          <t>KROKOM</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10397-2025</t>
        </is>
      </c>
      <c r="B1781" s="1" t="n">
        <v>45720</v>
      </c>
      <c r="C1781" s="1" t="n">
        <v>45831</v>
      </c>
      <c r="D1781" t="inlineStr">
        <is>
          <t>JÄMTLANDS LÄN</t>
        </is>
      </c>
      <c r="E1781" t="inlineStr">
        <is>
          <t>KROKOM</t>
        </is>
      </c>
      <c r="F1781" t="inlineStr">
        <is>
          <t>Övriga Aktiebolag</t>
        </is>
      </c>
      <c r="G1781" t="n">
        <v>32.9</v>
      </c>
      <c r="H1781" t="n">
        <v>0</v>
      </c>
      <c r="I1781" t="n">
        <v>0</v>
      </c>
      <c r="J1781" t="n">
        <v>0</v>
      </c>
      <c r="K1781" t="n">
        <v>0</v>
      </c>
      <c r="L1781" t="n">
        <v>0</v>
      </c>
      <c r="M1781" t="n">
        <v>0</v>
      </c>
      <c r="N1781" t="n">
        <v>0</v>
      </c>
      <c r="O1781" t="n">
        <v>0</v>
      </c>
      <c r="P1781" t="n">
        <v>0</v>
      </c>
      <c r="Q1781" t="n">
        <v>0</v>
      </c>
      <c r="R1781" s="2" t="inlineStr"/>
    </row>
    <row r="1782" ht="15" customHeight="1">
      <c r="A1782" t="inlineStr">
        <is>
          <t>A 10279-2025</t>
        </is>
      </c>
      <c r="B1782" s="1" t="n">
        <v>45720</v>
      </c>
      <c r="C1782" s="1" t="n">
        <v>45831</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10494-2025</t>
        </is>
      </c>
      <c r="B1783" s="1" t="n">
        <v>45721</v>
      </c>
      <c r="C1783" s="1" t="n">
        <v>45831</v>
      </c>
      <c r="D1783" t="inlineStr">
        <is>
          <t>JÄMTLANDS LÄN</t>
        </is>
      </c>
      <c r="E1783" t="inlineStr">
        <is>
          <t>KROKOM</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10533-2025</t>
        </is>
      </c>
      <c r="B1784" s="1" t="n">
        <v>45721</v>
      </c>
      <c r="C1784" s="1" t="n">
        <v>45831</v>
      </c>
      <c r="D1784" t="inlineStr">
        <is>
          <t>JÄMTLANDS LÄN</t>
        </is>
      </c>
      <c r="E1784" t="inlineStr">
        <is>
          <t>KROKOM</t>
        </is>
      </c>
      <c r="F1784" t="inlineStr">
        <is>
          <t>SCA</t>
        </is>
      </c>
      <c r="G1784" t="n">
        <v>64.90000000000001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10552-2025</t>
        </is>
      </c>
      <c r="B1785" s="1" t="n">
        <v>45721</v>
      </c>
      <c r="C1785" s="1" t="n">
        <v>45831</v>
      </c>
      <c r="D1785" t="inlineStr">
        <is>
          <t>JÄMTLANDS LÄN</t>
        </is>
      </c>
      <c r="E1785" t="inlineStr">
        <is>
          <t>KROKOM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10498-2025</t>
        </is>
      </c>
      <c r="B1786" s="1" t="n">
        <v>45721</v>
      </c>
      <c r="C1786" s="1" t="n">
        <v>45831</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10588-2025</t>
        </is>
      </c>
      <c r="B1787" s="1" t="n">
        <v>45721</v>
      </c>
      <c r="C1787" s="1" t="n">
        <v>45831</v>
      </c>
      <c r="D1787" t="inlineStr">
        <is>
          <t>JÄMTLANDS LÄN</t>
        </is>
      </c>
      <c r="E1787" t="inlineStr">
        <is>
          <t>KROKOM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10632-2025</t>
        </is>
      </c>
      <c r="B1788" s="1" t="n">
        <v>45721</v>
      </c>
      <c r="C1788" s="1" t="n">
        <v>45831</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10581-2025</t>
        </is>
      </c>
      <c r="B1789" s="1" t="n">
        <v>45721</v>
      </c>
      <c r="C1789" s="1" t="n">
        <v>45831</v>
      </c>
      <c r="D1789" t="inlineStr">
        <is>
          <t>JÄMTLANDS LÄN</t>
        </is>
      </c>
      <c r="E1789" t="inlineStr">
        <is>
          <t>KROKOM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10532-2025</t>
        </is>
      </c>
      <c r="B1790" s="1" t="n">
        <v>45721</v>
      </c>
      <c r="C1790" s="1" t="n">
        <v>45831</v>
      </c>
      <c r="D1790" t="inlineStr">
        <is>
          <t>JÄMTLANDS LÄN</t>
        </is>
      </c>
      <c r="E1790" t="inlineStr">
        <is>
          <t>KROKOM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10646-2025</t>
        </is>
      </c>
      <c r="B1791" s="1" t="n">
        <v>45721</v>
      </c>
      <c r="C1791" s="1" t="n">
        <v>45831</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11073-2025</t>
        </is>
      </c>
      <c r="B1792" s="1" t="n">
        <v>45723</v>
      </c>
      <c r="C1792" s="1" t="n">
        <v>45831</v>
      </c>
      <c r="D1792" t="inlineStr">
        <is>
          <t>JÄMTLANDS LÄN</t>
        </is>
      </c>
      <c r="E1792" t="inlineStr">
        <is>
          <t>KROKOM</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11056-2025</t>
        </is>
      </c>
      <c r="B1793" s="1" t="n">
        <v>45723</v>
      </c>
      <c r="C1793" s="1" t="n">
        <v>45831</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11070-2025</t>
        </is>
      </c>
      <c r="B1794" s="1" t="n">
        <v>45723</v>
      </c>
      <c r="C1794" s="1" t="n">
        <v>45831</v>
      </c>
      <c r="D1794" t="inlineStr">
        <is>
          <t>JÄMTLANDS LÄN</t>
        </is>
      </c>
      <c r="E1794" t="inlineStr">
        <is>
          <t>KROKOM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11424-2025</t>
        </is>
      </c>
      <c r="B1795" s="1" t="n">
        <v>45726</v>
      </c>
      <c r="C1795" s="1" t="n">
        <v>45831</v>
      </c>
      <c r="D1795" t="inlineStr">
        <is>
          <t>JÄMTLANDS LÄN</t>
        </is>
      </c>
      <c r="E1795" t="inlineStr">
        <is>
          <t>KROKOM</t>
        </is>
      </c>
      <c r="F1795" t="inlineStr">
        <is>
          <t>Övriga Aktiebolag</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11436-2025</t>
        </is>
      </c>
      <c r="B1796" s="1" t="n">
        <v>45726</v>
      </c>
      <c r="C1796" s="1" t="n">
        <v>45831</v>
      </c>
      <c r="D1796" t="inlineStr">
        <is>
          <t>JÄMTLANDS LÄN</t>
        </is>
      </c>
      <c r="E1796" t="inlineStr">
        <is>
          <t>KROKOM</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11386-2025</t>
        </is>
      </c>
      <c r="B1797" s="1" t="n">
        <v>45726</v>
      </c>
      <c r="C1797" s="1" t="n">
        <v>45831</v>
      </c>
      <c r="D1797" t="inlineStr">
        <is>
          <t>JÄMTLANDS LÄN</t>
        </is>
      </c>
      <c r="E1797" t="inlineStr">
        <is>
          <t>KROKOM</t>
        </is>
      </c>
      <c r="F1797" t="inlineStr">
        <is>
          <t>Övriga Aktiebolag</t>
        </is>
      </c>
      <c r="G1797" t="n">
        <v>42.4</v>
      </c>
      <c r="H1797" t="n">
        <v>0</v>
      </c>
      <c r="I1797" t="n">
        <v>0</v>
      </c>
      <c r="J1797" t="n">
        <v>0</v>
      </c>
      <c r="K1797" t="n">
        <v>0</v>
      </c>
      <c r="L1797" t="n">
        <v>0</v>
      </c>
      <c r="M1797" t="n">
        <v>0</v>
      </c>
      <c r="N1797" t="n">
        <v>0</v>
      </c>
      <c r="O1797" t="n">
        <v>0</v>
      </c>
      <c r="P1797" t="n">
        <v>0</v>
      </c>
      <c r="Q1797" t="n">
        <v>0</v>
      </c>
      <c r="R1797" s="2" t="inlineStr"/>
    </row>
    <row r="1798" ht="15" customHeight="1">
      <c r="A1798" t="inlineStr">
        <is>
          <t>A 11243-2025</t>
        </is>
      </c>
      <c r="B1798" s="1" t="n">
        <v>45726</v>
      </c>
      <c r="C1798" s="1" t="n">
        <v>45831</v>
      </c>
      <c r="D1798" t="inlineStr">
        <is>
          <t>JÄMTLANDS LÄN</t>
        </is>
      </c>
      <c r="E1798" t="inlineStr">
        <is>
          <t>KROKOM</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11317-2025</t>
        </is>
      </c>
      <c r="B1799" s="1" t="n">
        <v>45726</v>
      </c>
      <c r="C1799" s="1" t="n">
        <v>45831</v>
      </c>
      <c r="D1799" t="inlineStr">
        <is>
          <t>JÄMTLANDS LÄN</t>
        </is>
      </c>
      <c r="E1799" t="inlineStr">
        <is>
          <t>KROKOM</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11403-2025</t>
        </is>
      </c>
      <c r="B1800" s="1" t="n">
        <v>45726</v>
      </c>
      <c r="C1800" s="1" t="n">
        <v>45831</v>
      </c>
      <c r="D1800" t="inlineStr">
        <is>
          <t>JÄMTLANDS LÄN</t>
        </is>
      </c>
      <c r="E1800" t="inlineStr">
        <is>
          <t>KROKOM</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12868-2025</t>
        </is>
      </c>
      <c r="B1801" s="1" t="n">
        <v>45733</v>
      </c>
      <c r="C1801" s="1" t="n">
        <v>45831</v>
      </c>
      <c r="D1801" t="inlineStr">
        <is>
          <t>JÄMTLANDS LÄN</t>
        </is>
      </c>
      <c r="E1801" t="inlineStr">
        <is>
          <t>KROKOM</t>
        </is>
      </c>
      <c r="G1801" t="n">
        <v>24.2</v>
      </c>
      <c r="H1801" t="n">
        <v>0</v>
      </c>
      <c r="I1801" t="n">
        <v>0</v>
      </c>
      <c r="J1801" t="n">
        <v>0</v>
      </c>
      <c r="K1801" t="n">
        <v>0</v>
      </c>
      <c r="L1801" t="n">
        <v>0</v>
      </c>
      <c r="M1801" t="n">
        <v>0</v>
      </c>
      <c r="N1801" t="n">
        <v>0</v>
      </c>
      <c r="O1801" t="n">
        <v>0</v>
      </c>
      <c r="P1801" t="n">
        <v>0</v>
      </c>
      <c r="Q1801" t="n">
        <v>0</v>
      </c>
      <c r="R1801" s="2" t="inlineStr"/>
    </row>
    <row r="1802" ht="15" customHeight="1">
      <c r="A1802" t="inlineStr">
        <is>
          <t>A 12774-2025</t>
        </is>
      </c>
      <c r="B1802" s="1" t="n">
        <v>45733</v>
      </c>
      <c r="C1802" s="1" t="n">
        <v>45831</v>
      </c>
      <c r="D1802" t="inlineStr">
        <is>
          <t>JÄMTLANDS LÄN</t>
        </is>
      </c>
      <c r="E1802" t="inlineStr">
        <is>
          <t>KROKOM</t>
        </is>
      </c>
      <c r="G1802" t="n">
        <v>40.4</v>
      </c>
      <c r="H1802" t="n">
        <v>0</v>
      </c>
      <c r="I1802" t="n">
        <v>0</v>
      </c>
      <c r="J1802" t="n">
        <v>0</v>
      </c>
      <c r="K1802" t="n">
        <v>0</v>
      </c>
      <c r="L1802" t="n">
        <v>0</v>
      </c>
      <c r="M1802" t="n">
        <v>0</v>
      </c>
      <c r="N1802" t="n">
        <v>0</v>
      </c>
      <c r="O1802" t="n">
        <v>0</v>
      </c>
      <c r="P1802" t="n">
        <v>0</v>
      </c>
      <c r="Q1802" t="n">
        <v>0</v>
      </c>
      <c r="R1802" s="2" t="inlineStr"/>
    </row>
    <row r="1803" ht="15" customHeight="1">
      <c r="A1803" t="inlineStr">
        <is>
          <t>A 12838-2025</t>
        </is>
      </c>
      <c r="B1803" s="1" t="n">
        <v>45733</v>
      </c>
      <c r="C1803" s="1" t="n">
        <v>45831</v>
      </c>
      <c r="D1803" t="inlineStr">
        <is>
          <t>JÄMTLANDS LÄN</t>
        </is>
      </c>
      <c r="E1803" t="inlineStr">
        <is>
          <t>KROKOM</t>
        </is>
      </c>
      <c r="G1803" t="n">
        <v>59.3</v>
      </c>
      <c r="H1803" t="n">
        <v>0</v>
      </c>
      <c r="I1803" t="n">
        <v>0</v>
      </c>
      <c r="J1803" t="n">
        <v>0</v>
      </c>
      <c r="K1803" t="n">
        <v>0</v>
      </c>
      <c r="L1803" t="n">
        <v>0</v>
      </c>
      <c r="M1803" t="n">
        <v>0</v>
      </c>
      <c r="N1803" t="n">
        <v>0</v>
      </c>
      <c r="O1803" t="n">
        <v>0</v>
      </c>
      <c r="P1803" t="n">
        <v>0</v>
      </c>
      <c r="Q1803" t="n">
        <v>0</v>
      </c>
      <c r="R1803" s="2" t="inlineStr"/>
    </row>
    <row r="1804" ht="15" customHeight="1">
      <c r="A1804" t="inlineStr">
        <is>
          <t>A 13722-2025</t>
        </is>
      </c>
      <c r="B1804" s="1" t="n">
        <v>45737</v>
      </c>
      <c r="C1804" s="1" t="n">
        <v>45831</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13769-2025</t>
        </is>
      </c>
      <c r="B1805" s="1" t="n">
        <v>45737</v>
      </c>
      <c r="C1805" s="1" t="n">
        <v>45831</v>
      </c>
      <c r="D1805" t="inlineStr">
        <is>
          <t>JÄMTLANDS LÄN</t>
        </is>
      </c>
      <c r="E1805" t="inlineStr">
        <is>
          <t>KROKOM</t>
        </is>
      </c>
      <c r="G1805" t="n">
        <v>21.1</v>
      </c>
      <c r="H1805" t="n">
        <v>0</v>
      </c>
      <c r="I1805" t="n">
        <v>0</v>
      </c>
      <c r="J1805" t="n">
        <v>0</v>
      </c>
      <c r="K1805" t="n">
        <v>0</v>
      </c>
      <c r="L1805" t="n">
        <v>0</v>
      </c>
      <c r="M1805" t="n">
        <v>0</v>
      </c>
      <c r="N1805" t="n">
        <v>0</v>
      </c>
      <c r="O1805" t="n">
        <v>0</v>
      </c>
      <c r="P1805" t="n">
        <v>0</v>
      </c>
      <c r="Q1805" t="n">
        <v>0</v>
      </c>
      <c r="R1805" s="2" t="inlineStr"/>
    </row>
    <row r="1806" ht="15" customHeight="1">
      <c r="A1806" t="inlineStr">
        <is>
          <t>A 13758-2025</t>
        </is>
      </c>
      <c r="B1806" s="1" t="n">
        <v>45737</v>
      </c>
      <c r="C1806" s="1" t="n">
        <v>45831</v>
      </c>
      <c r="D1806" t="inlineStr">
        <is>
          <t>JÄMTLANDS LÄN</t>
        </is>
      </c>
      <c r="E1806" t="inlineStr">
        <is>
          <t>KROKOM</t>
        </is>
      </c>
      <c r="G1806" t="n">
        <v>22.9</v>
      </c>
      <c r="H1806" t="n">
        <v>0</v>
      </c>
      <c r="I1806" t="n">
        <v>0</v>
      </c>
      <c r="J1806" t="n">
        <v>0</v>
      </c>
      <c r="K1806" t="n">
        <v>0</v>
      </c>
      <c r="L1806" t="n">
        <v>0</v>
      </c>
      <c r="M1806" t="n">
        <v>0</v>
      </c>
      <c r="N1806" t="n">
        <v>0</v>
      </c>
      <c r="O1806" t="n">
        <v>0</v>
      </c>
      <c r="P1806" t="n">
        <v>0</v>
      </c>
      <c r="Q1806" t="n">
        <v>0</v>
      </c>
      <c r="R1806" s="2" t="inlineStr"/>
    </row>
    <row r="1807" ht="15" customHeight="1">
      <c r="A1807" t="inlineStr">
        <is>
          <t>A 13774-2025</t>
        </is>
      </c>
      <c r="B1807" s="1" t="n">
        <v>45737</v>
      </c>
      <c r="C1807" s="1" t="n">
        <v>45831</v>
      </c>
      <c r="D1807" t="inlineStr">
        <is>
          <t>JÄMTLANDS LÄN</t>
        </is>
      </c>
      <c r="E1807" t="inlineStr">
        <is>
          <t>KROKOM</t>
        </is>
      </c>
      <c r="G1807" t="n">
        <v>26.1</v>
      </c>
      <c r="H1807" t="n">
        <v>0</v>
      </c>
      <c r="I1807" t="n">
        <v>0</v>
      </c>
      <c r="J1807" t="n">
        <v>0</v>
      </c>
      <c r="K1807" t="n">
        <v>0</v>
      </c>
      <c r="L1807" t="n">
        <v>0</v>
      </c>
      <c r="M1807" t="n">
        <v>0</v>
      </c>
      <c r="N1807" t="n">
        <v>0</v>
      </c>
      <c r="O1807" t="n">
        <v>0</v>
      </c>
      <c r="P1807" t="n">
        <v>0</v>
      </c>
      <c r="Q1807" t="n">
        <v>0</v>
      </c>
      <c r="R1807" s="2" t="inlineStr"/>
    </row>
    <row r="1808" ht="15" customHeight="1">
      <c r="A1808" t="inlineStr">
        <is>
          <t>A 14233-2025</t>
        </is>
      </c>
      <c r="B1808" s="1" t="n">
        <v>45740</v>
      </c>
      <c r="C1808" s="1" t="n">
        <v>45831</v>
      </c>
      <c r="D1808" t="inlineStr">
        <is>
          <t>JÄMTLANDS LÄN</t>
        </is>
      </c>
      <c r="E1808" t="inlineStr">
        <is>
          <t>KROKOM</t>
        </is>
      </c>
      <c r="F1808" t="inlineStr">
        <is>
          <t>Övriga statliga verk och myndigheter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14234-2025</t>
        </is>
      </c>
      <c r="B1809" s="1" t="n">
        <v>45740</v>
      </c>
      <c r="C1809" s="1" t="n">
        <v>45831</v>
      </c>
      <c r="D1809" t="inlineStr">
        <is>
          <t>JÄMTLANDS LÄN</t>
        </is>
      </c>
      <c r="E1809" t="inlineStr">
        <is>
          <t>KROKOM</t>
        </is>
      </c>
      <c r="F1809" t="inlineStr">
        <is>
          <t>Övriga statliga verk och myndigheter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14293-2025</t>
        </is>
      </c>
      <c r="B1810" s="1" t="n">
        <v>45740</v>
      </c>
      <c r="C1810" s="1" t="n">
        <v>45831</v>
      </c>
      <c r="D1810" t="inlineStr">
        <is>
          <t>JÄMTLANDS LÄN</t>
        </is>
      </c>
      <c r="E1810" t="inlineStr">
        <is>
          <t>KROKOM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14299-2025</t>
        </is>
      </c>
      <c r="B1811" s="1" t="n">
        <v>45740</v>
      </c>
      <c r="C1811" s="1" t="n">
        <v>45831</v>
      </c>
      <c r="D1811" t="inlineStr">
        <is>
          <t>JÄMTLANDS LÄN</t>
        </is>
      </c>
      <c r="E1811" t="inlineStr">
        <is>
          <t>KROKOM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14240-2025</t>
        </is>
      </c>
      <c r="B1812" s="1" t="n">
        <v>45740</v>
      </c>
      <c r="C1812" s="1" t="n">
        <v>45831</v>
      </c>
      <c r="D1812" t="inlineStr">
        <is>
          <t>JÄMTLANDS LÄN</t>
        </is>
      </c>
      <c r="E1812" t="inlineStr">
        <is>
          <t>KROKOM</t>
        </is>
      </c>
      <c r="G1812" t="n">
        <v>30.3</v>
      </c>
      <c r="H1812" t="n">
        <v>0</v>
      </c>
      <c r="I1812" t="n">
        <v>0</v>
      </c>
      <c r="J1812" t="n">
        <v>0</v>
      </c>
      <c r="K1812" t="n">
        <v>0</v>
      </c>
      <c r="L1812" t="n">
        <v>0</v>
      </c>
      <c r="M1812" t="n">
        <v>0</v>
      </c>
      <c r="N1812" t="n">
        <v>0</v>
      </c>
      <c r="O1812" t="n">
        <v>0</v>
      </c>
      <c r="P1812" t="n">
        <v>0</v>
      </c>
      <c r="Q1812" t="n">
        <v>0</v>
      </c>
      <c r="R1812" s="2" t="inlineStr"/>
    </row>
    <row r="1813" ht="15" customHeight="1">
      <c r="A1813" t="inlineStr">
        <is>
          <t>A 14835-2025</t>
        </is>
      </c>
      <c r="B1813" s="1" t="n">
        <v>45743</v>
      </c>
      <c r="C1813" s="1" t="n">
        <v>45831</v>
      </c>
      <c r="D1813" t="inlineStr">
        <is>
          <t>JÄMTLANDS LÄN</t>
        </is>
      </c>
      <c r="E1813" t="inlineStr">
        <is>
          <t>KROKOM</t>
        </is>
      </c>
      <c r="F1813" t="inlineStr">
        <is>
          <t>Kyrkan</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14883-2025</t>
        </is>
      </c>
      <c r="B1814" s="1" t="n">
        <v>45743</v>
      </c>
      <c r="C1814" s="1" t="n">
        <v>45831</v>
      </c>
      <c r="D1814" t="inlineStr">
        <is>
          <t>JÄMTLANDS LÄN</t>
        </is>
      </c>
      <c r="E1814" t="inlineStr">
        <is>
          <t>KROKOM</t>
        </is>
      </c>
      <c r="F1814" t="inlineStr">
        <is>
          <t>Allmännings- och besparingsskogar</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15231-2025</t>
        </is>
      </c>
      <c r="B1815" s="1" t="n">
        <v>45744</v>
      </c>
      <c r="C1815" s="1" t="n">
        <v>45831</v>
      </c>
      <c r="D1815" t="inlineStr">
        <is>
          <t>JÄMTLANDS LÄN</t>
        </is>
      </c>
      <c r="E1815" t="inlineStr">
        <is>
          <t>KROKOM</t>
        </is>
      </c>
      <c r="F1815" t="inlineStr">
        <is>
          <t>Övriga Aktiebolag</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15209-2025</t>
        </is>
      </c>
      <c r="B1816" s="1" t="n">
        <v>45744</v>
      </c>
      <c r="C1816" s="1" t="n">
        <v>45831</v>
      </c>
      <c r="D1816" t="inlineStr">
        <is>
          <t>JÄMTLANDS LÄN</t>
        </is>
      </c>
      <c r="E1816" t="inlineStr">
        <is>
          <t>KROKOM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15422-2025</t>
        </is>
      </c>
      <c r="B1817" s="1" t="n">
        <v>45746</v>
      </c>
      <c r="C1817" s="1" t="n">
        <v>45831</v>
      </c>
      <c r="D1817" t="inlineStr">
        <is>
          <t>JÄMTLANDS LÄN</t>
        </is>
      </c>
      <c r="E1817" t="inlineStr">
        <is>
          <t>KROKOM</t>
        </is>
      </c>
      <c r="F1817" t="inlineStr">
        <is>
          <t>SCA</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15310-2025</t>
        </is>
      </c>
      <c r="B1818" s="1" t="n">
        <v>45746</v>
      </c>
      <c r="C1818" s="1" t="n">
        <v>45831</v>
      </c>
      <c r="D1818" t="inlineStr">
        <is>
          <t>JÄMTLANDS LÄN</t>
        </is>
      </c>
      <c r="E1818" t="inlineStr">
        <is>
          <t>KROKOM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15341-2025</t>
        </is>
      </c>
      <c r="B1819" s="1" t="n">
        <v>45746</v>
      </c>
      <c r="C1819" s="1" t="n">
        <v>45831</v>
      </c>
      <c r="D1819" t="inlineStr">
        <is>
          <t>JÄMTLANDS LÄN</t>
        </is>
      </c>
      <c r="E1819" t="inlineStr">
        <is>
          <t>KROKOM</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15489-2025</t>
        </is>
      </c>
      <c r="B1820" s="1" t="n">
        <v>45747</v>
      </c>
      <c r="C1820" s="1" t="n">
        <v>45831</v>
      </c>
      <c r="D1820" t="inlineStr">
        <is>
          <t>JÄMTLANDS LÄN</t>
        </is>
      </c>
      <c r="E1820" t="inlineStr">
        <is>
          <t>KROKOM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15430-2025</t>
        </is>
      </c>
      <c r="B1821" s="1" t="n">
        <v>45747</v>
      </c>
      <c r="C1821" s="1" t="n">
        <v>45831</v>
      </c>
      <c r="D1821" t="inlineStr">
        <is>
          <t>JÄMTLANDS LÄN</t>
        </is>
      </c>
      <c r="E1821" t="inlineStr">
        <is>
          <t>KROKOM</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15432-2025</t>
        </is>
      </c>
      <c r="B1822" s="1" t="n">
        <v>45747</v>
      </c>
      <c r="C1822" s="1" t="n">
        <v>45831</v>
      </c>
      <c r="D1822" t="inlineStr">
        <is>
          <t>JÄMTLANDS LÄN</t>
        </is>
      </c>
      <c r="E1822" t="inlineStr">
        <is>
          <t>KROKOM</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15638-2025</t>
        </is>
      </c>
      <c r="B1823" s="1" t="n">
        <v>45748</v>
      </c>
      <c r="C1823" s="1" t="n">
        <v>45831</v>
      </c>
      <c r="D1823" t="inlineStr">
        <is>
          <t>JÄMTLANDS LÄN</t>
        </is>
      </c>
      <c r="E1823" t="inlineStr">
        <is>
          <t>KROKOM</t>
        </is>
      </c>
      <c r="F1823" t="inlineStr">
        <is>
          <t>Kyrkan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15761-2025</t>
        </is>
      </c>
      <c r="B1824" s="1" t="n">
        <v>45748</v>
      </c>
      <c r="C1824" s="1" t="n">
        <v>45831</v>
      </c>
      <c r="D1824" t="inlineStr">
        <is>
          <t>JÄMTLANDS LÄN</t>
        </is>
      </c>
      <c r="E1824" t="inlineStr">
        <is>
          <t>KROKOM</t>
        </is>
      </c>
      <c r="G1824" t="n">
        <v>48.1</v>
      </c>
      <c r="H1824" t="n">
        <v>0</v>
      </c>
      <c r="I1824" t="n">
        <v>0</v>
      </c>
      <c r="J1824" t="n">
        <v>0</v>
      </c>
      <c r="K1824" t="n">
        <v>0</v>
      </c>
      <c r="L1824" t="n">
        <v>0</v>
      </c>
      <c r="M1824" t="n">
        <v>0</v>
      </c>
      <c r="N1824" t="n">
        <v>0</v>
      </c>
      <c r="O1824" t="n">
        <v>0</v>
      </c>
      <c r="P1824" t="n">
        <v>0</v>
      </c>
      <c r="Q1824" t="n">
        <v>0</v>
      </c>
      <c r="R1824" s="2" t="inlineStr"/>
    </row>
    <row r="1825" ht="15" customHeight="1">
      <c r="A1825" t="inlineStr">
        <is>
          <t>A 15639-2025</t>
        </is>
      </c>
      <c r="B1825" s="1" t="n">
        <v>45748</v>
      </c>
      <c r="C1825" s="1" t="n">
        <v>45831</v>
      </c>
      <c r="D1825" t="inlineStr">
        <is>
          <t>JÄMTLANDS LÄN</t>
        </is>
      </c>
      <c r="E1825" t="inlineStr">
        <is>
          <t>KROKOM</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15776-2025</t>
        </is>
      </c>
      <c r="B1826" s="1" t="n">
        <v>45748</v>
      </c>
      <c r="C1826" s="1" t="n">
        <v>45831</v>
      </c>
      <c r="D1826" t="inlineStr">
        <is>
          <t>JÄMTLANDS LÄN</t>
        </is>
      </c>
      <c r="E1826" t="inlineStr">
        <is>
          <t>KROKOM</t>
        </is>
      </c>
      <c r="G1826" t="n">
        <v>46.5</v>
      </c>
      <c r="H1826" t="n">
        <v>0</v>
      </c>
      <c r="I1826" t="n">
        <v>0</v>
      </c>
      <c r="J1826" t="n">
        <v>0</v>
      </c>
      <c r="K1826" t="n">
        <v>0</v>
      </c>
      <c r="L1826" t="n">
        <v>0</v>
      </c>
      <c r="M1826" t="n">
        <v>0</v>
      </c>
      <c r="N1826" t="n">
        <v>0</v>
      </c>
      <c r="O1826" t="n">
        <v>0</v>
      </c>
      <c r="P1826" t="n">
        <v>0</v>
      </c>
      <c r="Q1826" t="n">
        <v>0</v>
      </c>
      <c r="R1826" s="2" t="inlineStr"/>
    </row>
    <row r="1827" ht="15" customHeight="1">
      <c r="A1827" t="inlineStr">
        <is>
          <t>A 15627-2025</t>
        </is>
      </c>
      <c r="B1827" s="1" t="n">
        <v>45748</v>
      </c>
      <c r="C1827" s="1" t="n">
        <v>45831</v>
      </c>
      <c r="D1827" t="inlineStr">
        <is>
          <t>JÄMTLANDS LÄN</t>
        </is>
      </c>
      <c r="E1827" t="inlineStr">
        <is>
          <t>KROKOM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15634-2025</t>
        </is>
      </c>
      <c r="B1828" s="1" t="n">
        <v>45748</v>
      </c>
      <c r="C1828" s="1" t="n">
        <v>45831</v>
      </c>
      <c r="D1828" t="inlineStr">
        <is>
          <t>JÄMTLANDS LÄN</t>
        </is>
      </c>
      <c r="E1828" t="inlineStr">
        <is>
          <t>KROKOM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15663-2025</t>
        </is>
      </c>
      <c r="B1829" s="1" t="n">
        <v>45748</v>
      </c>
      <c r="C1829" s="1" t="n">
        <v>45831</v>
      </c>
      <c r="D1829" t="inlineStr">
        <is>
          <t>JÄMTLANDS LÄN</t>
        </is>
      </c>
      <c r="E1829" t="inlineStr">
        <is>
          <t>KROKOM</t>
        </is>
      </c>
      <c r="F1829" t="inlineStr">
        <is>
          <t>Övriga Aktiebolag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15859-2025</t>
        </is>
      </c>
      <c r="B1830" s="1" t="n">
        <v>45749</v>
      </c>
      <c r="C1830" s="1" t="n">
        <v>45831</v>
      </c>
      <c r="D1830" t="inlineStr">
        <is>
          <t>JÄMTLANDS LÄN</t>
        </is>
      </c>
      <c r="E1830" t="inlineStr">
        <is>
          <t>KROKOM</t>
        </is>
      </c>
      <c r="F1830" t="inlineStr">
        <is>
          <t>SCA</t>
        </is>
      </c>
      <c r="G1830" t="n">
        <v>26.8</v>
      </c>
      <c r="H1830" t="n">
        <v>0</v>
      </c>
      <c r="I1830" t="n">
        <v>0</v>
      </c>
      <c r="J1830" t="n">
        <v>0</v>
      </c>
      <c r="K1830" t="n">
        <v>0</v>
      </c>
      <c r="L1830" t="n">
        <v>0</v>
      </c>
      <c r="M1830" t="n">
        <v>0</v>
      </c>
      <c r="N1830" t="n">
        <v>0</v>
      </c>
      <c r="O1830" t="n">
        <v>0</v>
      </c>
      <c r="P1830" t="n">
        <v>0</v>
      </c>
      <c r="Q1830" t="n">
        <v>0</v>
      </c>
      <c r="R1830" s="2" t="inlineStr"/>
    </row>
    <row r="1831" ht="15" customHeight="1">
      <c r="A1831" t="inlineStr">
        <is>
          <t>A 15876-2025</t>
        </is>
      </c>
      <c r="B1831" s="1" t="n">
        <v>45749</v>
      </c>
      <c r="C1831" s="1" t="n">
        <v>45831</v>
      </c>
      <c r="D1831" t="inlineStr">
        <is>
          <t>JÄMTLANDS LÄN</t>
        </is>
      </c>
      <c r="E1831" t="inlineStr">
        <is>
          <t>KROKOM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16247-2025</t>
        </is>
      </c>
      <c r="B1832" s="1" t="n">
        <v>45749</v>
      </c>
      <c r="C1832" s="1" t="n">
        <v>45831</v>
      </c>
      <c r="D1832" t="inlineStr">
        <is>
          <t>JÄMTLANDS LÄN</t>
        </is>
      </c>
      <c r="E1832" t="inlineStr">
        <is>
          <t>KROKOM</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16129-2025</t>
        </is>
      </c>
      <c r="B1833" s="1" t="n">
        <v>45750</v>
      </c>
      <c r="C1833" s="1" t="n">
        <v>45831</v>
      </c>
      <c r="D1833" t="inlineStr">
        <is>
          <t>JÄMTLANDS LÄN</t>
        </is>
      </c>
      <c r="E1833" t="inlineStr">
        <is>
          <t>KROKOM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16199-2025</t>
        </is>
      </c>
      <c r="B1834" s="1" t="n">
        <v>45750</v>
      </c>
      <c r="C1834" s="1" t="n">
        <v>45831</v>
      </c>
      <c r="D1834" t="inlineStr">
        <is>
          <t>JÄMTLANDS LÄN</t>
        </is>
      </c>
      <c r="E1834" t="inlineStr">
        <is>
          <t>KROKOM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16225-2025</t>
        </is>
      </c>
      <c r="B1835" s="1" t="n">
        <v>45750</v>
      </c>
      <c r="C1835" s="1" t="n">
        <v>45831</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16481-2025</t>
        </is>
      </c>
      <c r="B1836" s="1" t="n">
        <v>45751</v>
      </c>
      <c r="C1836" s="1" t="n">
        <v>45831</v>
      </c>
      <c r="D1836" t="inlineStr">
        <is>
          <t>JÄMTLANDS LÄN</t>
        </is>
      </c>
      <c r="E1836" t="inlineStr">
        <is>
          <t>KROKOM</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16543-2025</t>
        </is>
      </c>
      <c r="B1837" s="1" t="n">
        <v>45751</v>
      </c>
      <c r="C1837" s="1" t="n">
        <v>45831</v>
      </c>
      <c r="D1837" t="inlineStr">
        <is>
          <t>JÄMTLANDS LÄN</t>
        </is>
      </c>
      <c r="E1837" t="inlineStr">
        <is>
          <t>KROKOM</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16548-2025</t>
        </is>
      </c>
      <c r="B1838" s="1" t="n">
        <v>45751</v>
      </c>
      <c r="C1838" s="1" t="n">
        <v>45831</v>
      </c>
      <c r="D1838" t="inlineStr">
        <is>
          <t>JÄMTLANDS LÄN</t>
        </is>
      </c>
      <c r="E1838" t="inlineStr">
        <is>
          <t>KROKOM</t>
        </is>
      </c>
      <c r="F1838" t="inlineStr">
        <is>
          <t>Övriga Aktiebolag</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16343-2025</t>
        </is>
      </c>
      <c r="B1839" s="1" t="n">
        <v>45751</v>
      </c>
      <c r="C1839" s="1" t="n">
        <v>45831</v>
      </c>
      <c r="D1839" t="inlineStr">
        <is>
          <t>JÄMTLANDS LÄN</t>
        </is>
      </c>
      <c r="E1839" t="inlineStr">
        <is>
          <t>KROKOM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16278-2025</t>
        </is>
      </c>
      <c r="B1840" s="1" t="n">
        <v>45751</v>
      </c>
      <c r="C1840" s="1" t="n">
        <v>45831</v>
      </c>
      <c r="D1840" t="inlineStr">
        <is>
          <t>JÄMTLANDS LÄN</t>
        </is>
      </c>
      <c r="E1840" t="inlineStr">
        <is>
          <t>KROKOM</t>
        </is>
      </c>
      <c r="F1840" t="inlineStr">
        <is>
          <t>Övriga Aktiebolag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16344-2025</t>
        </is>
      </c>
      <c r="B1841" s="1" t="n">
        <v>45751</v>
      </c>
      <c r="C1841" s="1" t="n">
        <v>45831</v>
      </c>
      <c r="D1841" t="inlineStr">
        <is>
          <t>JÄMTLANDS LÄN</t>
        </is>
      </c>
      <c r="E1841" t="inlineStr">
        <is>
          <t>KROKOM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16345-2025</t>
        </is>
      </c>
      <c r="B1842" s="1" t="n">
        <v>45751</v>
      </c>
      <c r="C1842" s="1" t="n">
        <v>45831</v>
      </c>
      <c r="D1842" t="inlineStr">
        <is>
          <t>JÄMTLANDS LÄN</t>
        </is>
      </c>
      <c r="E1842" t="inlineStr">
        <is>
          <t>KROKOM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17510-2025</t>
        </is>
      </c>
      <c r="B1843" s="1" t="n">
        <v>45757</v>
      </c>
      <c r="C1843" s="1" t="n">
        <v>45831</v>
      </c>
      <c r="D1843" t="inlineStr">
        <is>
          <t>JÄMTLANDS LÄN</t>
        </is>
      </c>
      <c r="E1843" t="inlineStr">
        <is>
          <t>KROKOM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17887-2025</t>
        </is>
      </c>
      <c r="B1844" s="1" t="n">
        <v>45758</v>
      </c>
      <c r="C1844" s="1" t="n">
        <v>45831</v>
      </c>
      <c r="D1844" t="inlineStr">
        <is>
          <t>JÄMTLANDS LÄN</t>
        </is>
      </c>
      <c r="E1844" t="inlineStr">
        <is>
          <t>KROKOM</t>
        </is>
      </c>
      <c r="G1844" t="n">
        <v>11.5</v>
      </c>
      <c r="H1844" t="n">
        <v>0</v>
      </c>
      <c r="I1844" t="n">
        <v>0</v>
      </c>
      <c r="J1844" t="n">
        <v>0</v>
      </c>
      <c r="K1844" t="n">
        <v>0</v>
      </c>
      <c r="L1844" t="n">
        <v>0</v>
      </c>
      <c r="M1844" t="n">
        <v>0</v>
      </c>
      <c r="N1844" t="n">
        <v>0</v>
      </c>
      <c r="O1844" t="n">
        <v>0</v>
      </c>
      <c r="P1844" t="n">
        <v>0</v>
      </c>
      <c r="Q1844" t="n">
        <v>0</v>
      </c>
      <c r="R1844" s="2" t="inlineStr"/>
    </row>
    <row r="1845" ht="15" customHeight="1">
      <c r="A1845" t="inlineStr">
        <is>
          <t>A 17888-2025</t>
        </is>
      </c>
      <c r="B1845" s="1" t="n">
        <v>45758</v>
      </c>
      <c r="C1845" s="1" t="n">
        <v>45831</v>
      </c>
      <c r="D1845" t="inlineStr">
        <is>
          <t>JÄMTLANDS LÄN</t>
        </is>
      </c>
      <c r="E1845" t="inlineStr">
        <is>
          <t>KROKOM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17840-2025</t>
        </is>
      </c>
      <c r="B1846" s="1" t="n">
        <v>45758</v>
      </c>
      <c r="C1846" s="1" t="n">
        <v>45831</v>
      </c>
      <c r="D1846" t="inlineStr">
        <is>
          <t>JÄMTLANDS LÄN</t>
        </is>
      </c>
      <c r="E1846" t="inlineStr">
        <is>
          <t>KROKOM</t>
        </is>
      </c>
      <c r="F1846" t="inlineStr">
        <is>
          <t>Övriga Aktiebolag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17775-2025</t>
        </is>
      </c>
      <c r="B1847" s="1" t="n">
        <v>45758</v>
      </c>
      <c r="C1847" s="1" t="n">
        <v>45831</v>
      </c>
      <c r="D1847" t="inlineStr">
        <is>
          <t>JÄMTLANDS LÄN</t>
        </is>
      </c>
      <c r="E1847" t="inlineStr">
        <is>
          <t>KROKOM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17825-2025</t>
        </is>
      </c>
      <c r="B1848" s="1" t="n">
        <v>45758</v>
      </c>
      <c r="C1848" s="1" t="n">
        <v>45831</v>
      </c>
      <c r="D1848" t="inlineStr">
        <is>
          <t>JÄMTLANDS LÄN</t>
        </is>
      </c>
      <c r="E1848" t="inlineStr">
        <is>
          <t>KROKOM</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17950-2025</t>
        </is>
      </c>
      <c r="B1849" s="1" t="n">
        <v>45760</v>
      </c>
      <c r="C1849" s="1" t="n">
        <v>45831</v>
      </c>
      <c r="D1849" t="inlineStr">
        <is>
          <t>JÄMTLANDS LÄN</t>
        </is>
      </c>
      <c r="E1849" t="inlineStr">
        <is>
          <t>KROKOM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18080-2025</t>
        </is>
      </c>
      <c r="B1850" s="1" t="n">
        <v>45761</v>
      </c>
      <c r="C1850" s="1" t="n">
        <v>45831</v>
      </c>
      <c r="D1850" t="inlineStr">
        <is>
          <t>JÄMTLANDS LÄN</t>
        </is>
      </c>
      <c r="E1850" t="inlineStr">
        <is>
          <t>KROKOM</t>
        </is>
      </c>
      <c r="G1850" t="n">
        <v>21.9</v>
      </c>
      <c r="H1850" t="n">
        <v>0</v>
      </c>
      <c r="I1850" t="n">
        <v>0</v>
      </c>
      <c r="J1850" t="n">
        <v>0</v>
      </c>
      <c r="K1850" t="n">
        <v>0</v>
      </c>
      <c r="L1850" t="n">
        <v>0</v>
      </c>
      <c r="M1850" t="n">
        <v>0</v>
      </c>
      <c r="N1850" t="n">
        <v>0</v>
      </c>
      <c r="O1850" t="n">
        <v>0</v>
      </c>
      <c r="P1850" t="n">
        <v>0</v>
      </c>
      <c r="Q1850" t="n">
        <v>0</v>
      </c>
      <c r="R1850" s="2" t="inlineStr"/>
    </row>
    <row r="1851" ht="15" customHeight="1">
      <c r="A1851" t="inlineStr">
        <is>
          <t>A 18406-2025</t>
        </is>
      </c>
      <c r="B1851" s="1" t="n">
        <v>45762</v>
      </c>
      <c r="C1851" s="1" t="n">
        <v>45831</v>
      </c>
      <c r="D1851" t="inlineStr">
        <is>
          <t>JÄMTLANDS LÄN</t>
        </is>
      </c>
      <c r="E1851" t="inlineStr">
        <is>
          <t>KROKOM</t>
        </is>
      </c>
      <c r="F1851" t="inlineStr">
        <is>
          <t>Övriga Aktiebolag</t>
        </is>
      </c>
      <c r="G1851" t="n">
        <v>34.3</v>
      </c>
      <c r="H1851" t="n">
        <v>0</v>
      </c>
      <c r="I1851" t="n">
        <v>0</v>
      </c>
      <c r="J1851" t="n">
        <v>0</v>
      </c>
      <c r="K1851" t="n">
        <v>0</v>
      </c>
      <c r="L1851" t="n">
        <v>0</v>
      </c>
      <c r="M1851" t="n">
        <v>0</v>
      </c>
      <c r="N1851" t="n">
        <v>0</v>
      </c>
      <c r="O1851" t="n">
        <v>0</v>
      </c>
      <c r="P1851" t="n">
        <v>0</v>
      </c>
      <c r="Q1851" t="n">
        <v>0</v>
      </c>
      <c r="R1851" s="2" t="inlineStr"/>
    </row>
    <row r="1852" ht="15" customHeight="1">
      <c r="A1852" t="inlineStr">
        <is>
          <t>A 18556-2025</t>
        </is>
      </c>
      <c r="B1852" s="1" t="n">
        <v>45763</v>
      </c>
      <c r="C1852" s="1" t="n">
        <v>45831</v>
      </c>
      <c r="D1852" t="inlineStr">
        <is>
          <t>JÄMTLANDS LÄN</t>
        </is>
      </c>
      <c r="E1852" t="inlineStr">
        <is>
          <t>KROKOM</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18583-2025</t>
        </is>
      </c>
      <c r="B1853" s="1" t="n">
        <v>45763</v>
      </c>
      <c r="C1853" s="1" t="n">
        <v>45831</v>
      </c>
      <c r="D1853" t="inlineStr">
        <is>
          <t>JÄMTLANDS LÄN</t>
        </is>
      </c>
      <c r="E1853" t="inlineStr">
        <is>
          <t>KROKOM</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18841-2025</t>
        </is>
      </c>
      <c r="B1854" s="1" t="n">
        <v>45764</v>
      </c>
      <c r="C1854" s="1" t="n">
        <v>45831</v>
      </c>
      <c r="D1854" t="inlineStr">
        <is>
          <t>JÄMTLANDS LÄN</t>
        </is>
      </c>
      <c r="E1854" t="inlineStr">
        <is>
          <t>KROKOM</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18917-2025</t>
        </is>
      </c>
      <c r="B1855" s="1" t="n">
        <v>45764</v>
      </c>
      <c r="C1855" s="1" t="n">
        <v>45831</v>
      </c>
      <c r="D1855" t="inlineStr">
        <is>
          <t>JÄMTLANDS LÄN</t>
        </is>
      </c>
      <c r="E1855" t="inlineStr">
        <is>
          <t>KROKOM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18980-2025</t>
        </is>
      </c>
      <c r="B1856" s="1" t="n">
        <v>45764</v>
      </c>
      <c r="C1856" s="1" t="n">
        <v>45831</v>
      </c>
      <c r="D1856" t="inlineStr">
        <is>
          <t>JÄMTLANDS LÄN</t>
        </is>
      </c>
      <c r="E1856" t="inlineStr">
        <is>
          <t>KROKOM</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18942-2025</t>
        </is>
      </c>
      <c r="B1857" s="1" t="n">
        <v>45764</v>
      </c>
      <c r="C1857" s="1" t="n">
        <v>45831</v>
      </c>
      <c r="D1857" t="inlineStr">
        <is>
          <t>JÄMTLANDS LÄN</t>
        </is>
      </c>
      <c r="E1857" t="inlineStr">
        <is>
          <t>KROKOM</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19634-2025</t>
        </is>
      </c>
      <c r="B1858" s="1" t="n">
        <v>45770</v>
      </c>
      <c r="C1858" s="1" t="n">
        <v>45831</v>
      </c>
      <c r="D1858" t="inlineStr">
        <is>
          <t>JÄMTLANDS LÄN</t>
        </is>
      </c>
      <c r="E1858" t="inlineStr">
        <is>
          <t>KROKOM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20210-2025</t>
        </is>
      </c>
      <c r="B1859" s="1" t="n">
        <v>45772</v>
      </c>
      <c r="C1859" s="1" t="n">
        <v>45831</v>
      </c>
      <c r="D1859" t="inlineStr">
        <is>
          <t>JÄMTLANDS LÄN</t>
        </is>
      </c>
      <c r="E1859" t="inlineStr">
        <is>
          <t>KROKOM</t>
        </is>
      </c>
      <c r="G1859" t="n">
        <v>12.3</v>
      </c>
      <c r="H1859" t="n">
        <v>0</v>
      </c>
      <c r="I1859" t="n">
        <v>0</v>
      </c>
      <c r="J1859" t="n">
        <v>0</v>
      </c>
      <c r="K1859" t="n">
        <v>0</v>
      </c>
      <c r="L1859" t="n">
        <v>0</v>
      </c>
      <c r="M1859" t="n">
        <v>0</v>
      </c>
      <c r="N1859" t="n">
        <v>0</v>
      </c>
      <c r="O1859" t="n">
        <v>0</v>
      </c>
      <c r="P1859" t="n">
        <v>0</v>
      </c>
      <c r="Q1859" t="n">
        <v>0</v>
      </c>
      <c r="R1859" s="2" t="inlineStr"/>
    </row>
    <row r="1860" ht="15" customHeight="1">
      <c r="A1860" t="inlineStr">
        <is>
          <t>A 20174-2025</t>
        </is>
      </c>
      <c r="B1860" s="1" t="n">
        <v>45772</v>
      </c>
      <c r="C1860" s="1" t="n">
        <v>45831</v>
      </c>
      <c r="D1860" t="inlineStr">
        <is>
          <t>JÄMTLANDS LÄN</t>
        </is>
      </c>
      <c r="E1860" t="inlineStr">
        <is>
          <t>KROKOM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20181-2025</t>
        </is>
      </c>
      <c r="B1861" s="1" t="n">
        <v>45772</v>
      </c>
      <c r="C1861" s="1" t="n">
        <v>45831</v>
      </c>
      <c r="D1861" t="inlineStr">
        <is>
          <t>JÄMTLANDS LÄN</t>
        </is>
      </c>
      <c r="E1861" t="inlineStr">
        <is>
          <t>KROKOM</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20798-2025</t>
        </is>
      </c>
      <c r="B1862" s="1" t="n">
        <v>45776</v>
      </c>
      <c r="C1862" s="1" t="n">
        <v>45831</v>
      </c>
      <c r="D1862" t="inlineStr">
        <is>
          <t>JÄMTLANDS LÄN</t>
        </is>
      </c>
      <c r="E1862" t="inlineStr">
        <is>
          <t>KROKOM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21027-2025</t>
        </is>
      </c>
      <c r="B1863" s="1" t="n">
        <v>45777</v>
      </c>
      <c r="C1863" s="1" t="n">
        <v>45831</v>
      </c>
      <c r="D1863" t="inlineStr">
        <is>
          <t>JÄMTLANDS LÄN</t>
        </is>
      </c>
      <c r="E1863" t="inlineStr">
        <is>
          <t>KROKOM</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21153-2025</t>
        </is>
      </c>
      <c r="B1864" s="1" t="n">
        <v>45777</v>
      </c>
      <c r="C1864" s="1" t="n">
        <v>45831</v>
      </c>
      <c r="D1864" t="inlineStr">
        <is>
          <t>JÄMTLANDS LÄN</t>
        </is>
      </c>
      <c r="E1864" t="inlineStr">
        <is>
          <t>KROKOM</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21061-2025</t>
        </is>
      </c>
      <c r="B1865" s="1" t="n">
        <v>45777</v>
      </c>
      <c r="C1865" s="1" t="n">
        <v>45831</v>
      </c>
      <c r="D1865" t="inlineStr">
        <is>
          <t>JÄMTLANDS LÄN</t>
        </is>
      </c>
      <c r="E1865" t="inlineStr">
        <is>
          <t>KROKOM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21029-2025</t>
        </is>
      </c>
      <c r="B1866" s="1" t="n">
        <v>45777</v>
      </c>
      <c r="C1866" s="1" t="n">
        <v>45831</v>
      </c>
      <c r="D1866" t="inlineStr">
        <is>
          <t>JÄMTLANDS LÄN</t>
        </is>
      </c>
      <c r="E1866" t="inlineStr">
        <is>
          <t>KROKOM</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21240-2025</t>
        </is>
      </c>
      <c r="B1867" s="1" t="n">
        <v>45779</v>
      </c>
      <c r="C1867" s="1" t="n">
        <v>45831</v>
      </c>
      <c r="D1867" t="inlineStr">
        <is>
          <t>JÄMTLANDS LÄN</t>
        </is>
      </c>
      <c r="E1867" t="inlineStr">
        <is>
          <t>KROKOM</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21254-2025</t>
        </is>
      </c>
      <c r="B1868" s="1" t="n">
        <v>45779</v>
      </c>
      <c r="C1868" s="1" t="n">
        <v>45831</v>
      </c>
      <c r="D1868" t="inlineStr">
        <is>
          <t>JÄMTLANDS LÄN</t>
        </is>
      </c>
      <c r="E1868" t="inlineStr">
        <is>
          <t>KROKOM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21276-2025</t>
        </is>
      </c>
      <c r="B1869" s="1" t="n">
        <v>45779</v>
      </c>
      <c r="C1869" s="1" t="n">
        <v>45831</v>
      </c>
      <c r="D1869" t="inlineStr">
        <is>
          <t>JÄMTLANDS LÄN</t>
        </is>
      </c>
      <c r="E1869" t="inlineStr">
        <is>
          <t>KROKOM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21239-2025</t>
        </is>
      </c>
      <c r="B1870" s="1" t="n">
        <v>45779</v>
      </c>
      <c r="C1870" s="1" t="n">
        <v>45831</v>
      </c>
      <c r="D1870" t="inlineStr">
        <is>
          <t>JÄMTLANDS LÄN</t>
        </is>
      </c>
      <c r="E1870" t="inlineStr">
        <is>
          <t>KROKOM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21280-2025</t>
        </is>
      </c>
      <c r="B1871" s="1" t="n">
        <v>45779</v>
      </c>
      <c r="C1871" s="1" t="n">
        <v>45831</v>
      </c>
      <c r="D1871" t="inlineStr">
        <is>
          <t>JÄMTLANDS LÄN</t>
        </is>
      </c>
      <c r="E1871" t="inlineStr">
        <is>
          <t>KROKOM</t>
        </is>
      </c>
      <c r="G1871" t="n">
        <v>30.9</v>
      </c>
      <c r="H1871" t="n">
        <v>0</v>
      </c>
      <c r="I1871" t="n">
        <v>0</v>
      </c>
      <c r="J1871" t="n">
        <v>0</v>
      </c>
      <c r="K1871" t="n">
        <v>0</v>
      </c>
      <c r="L1871" t="n">
        <v>0</v>
      </c>
      <c r="M1871" t="n">
        <v>0</v>
      </c>
      <c r="N1871" t="n">
        <v>0</v>
      </c>
      <c r="O1871" t="n">
        <v>0</v>
      </c>
      <c r="P1871" t="n">
        <v>0</v>
      </c>
      <c r="Q1871" t="n">
        <v>0</v>
      </c>
      <c r="R1871" s="2" t="inlineStr"/>
    </row>
    <row r="1872" ht="15" customHeight="1">
      <c r="A1872" t="inlineStr">
        <is>
          <t>A 21284-2025</t>
        </is>
      </c>
      <c r="B1872" s="1" t="n">
        <v>45779</v>
      </c>
      <c r="C1872" s="1" t="n">
        <v>45831</v>
      </c>
      <c r="D1872" t="inlineStr">
        <is>
          <t>JÄMTLANDS LÄN</t>
        </is>
      </c>
      <c r="E1872" t="inlineStr">
        <is>
          <t>KROKOM</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21172-2025</t>
        </is>
      </c>
      <c r="B1873" s="1" t="n">
        <v>45779</v>
      </c>
      <c r="C1873" s="1" t="n">
        <v>45831</v>
      </c>
      <c r="D1873" t="inlineStr">
        <is>
          <t>JÄMTLANDS LÄN</t>
        </is>
      </c>
      <c r="E1873" t="inlineStr">
        <is>
          <t>KROKOM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21643-2025</t>
        </is>
      </c>
      <c r="B1874" s="1" t="n">
        <v>45783</v>
      </c>
      <c r="C1874" s="1" t="n">
        <v>45831</v>
      </c>
      <c r="D1874" t="inlineStr">
        <is>
          <t>JÄMTLANDS LÄN</t>
        </is>
      </c>
      <c r="E1874" t="inlineStr">
        <is>
          <t>KROKOM</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21652-2025</t>
        </is>
      </c>
      <c r="B1875" s="1" t="n">
        <v>45783</v>
      </c>
      <c r="C1875" s="1" t="n">
        <v>45831</v>
      </c>
      <c r="D1875" t="inlineStr">
        <is>
          <t>JÄMTLANDS LÄN</t>
        </is>
      </c>
      <c r="E1875" t="inlineStr">
        <is>
          <t>KROKOM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21663-2025</t>
        </is>
      </c>
      <c r="B1876" s="1" t="n">
        <v>45783</v>
      </c>
      <c r="C1876" s="1" t="n">
        <v>45831</v>
      </c>
      <c r="D1876" t="inlineStr">
        <is>
          <t>JÄMTLANDS LÄN</t>
        </is>
      </c>
      <c r="E1876" t="inlineStr">
        <is>
          <t>KROKOM</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21654-2025</t>
        </is>
      </c>
      <c r="B1877" s="1" t="n">
        <v>45783</v>
      </c>
      <c r="C1877" s="1" t="n">
        <v>45831</v>
      </c>
      <c r="D1877" t="inlineStr">
        <is>
          <t>JÄMTLANDS LÄN</t>
        </is>
      </c>
      <c r="E1877" t="inlineStr">
        <is>
          <t>KROKOM</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21617-2025</t>
        </is>
      </c>
      <c r="B1878" s="1" t="n">
        <v>45783</v>
      </c>
      <c r="C1878" s="1" t="n">
        <v>45831</v>
      </c>
      <c r="D1878" t="inlineStr">
        <is>
          <t>JÄMTLANDS LÄN</t>
        </is>
      </c>
      <c r="E1878" t="inlineStr">
        <is>
          <t>KROKOM</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22254-2025</t>
        </is>
      </c>
      <c r="B1879" s="1" t="n">
        <v>45785</v>
      </c>
      <c r="C1879" s="1" t="n">
        <v>45831</v>
      </c>
      <c r="D1879" t="inlineStr">
        <is>
          <t>JÄMTLANDS LÄN</t>
        </is>
      </c>
      <c r="E1879" t="inlineStr">
        <is>
          <t>KROKOM</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22115-2025</t>
        </is>
      </c>
      <c r="B1880" s="1" t="n">
        <v>45785</v>
      </c>
      <c r="C1880" s="1" t="n">
        <v>45831</v>
      </c>
      <c r="D1880" t="inlineStr">
        <is>
          <t>JÄMTLANDS LÄN</t>
        </is>
      </c>
      <c r="E1880" t="inlineStr">
        <is>
          <t>KROKOM</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22122-2025</t>
        </is>
      </c>
      <c r="B1881" s="1" t="n">
        <v>45785</v>
      </c>
      <c r="C1881" s="1" t="n">
        <v>45831</v>
      </c>
      <c r="D1881" t="inlineStr">
        <is>
          <t>JÄMTLANDS LÄN</t>
        </is>
      </c>
      <c r="E1881" t="inlineStr">
        <is>
          <t>KROKOM</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22132-2025</t>
        </is>
      </c>
      <c r="B1882" s="1" t="n">
        <v>45785</v>
      </c>
      <c r="C1882" s="1" t="n">
        <v>45831</v>
      </c>
      <c r="D1882" t="inlineStr">
        <is>
          <t>JÄMTLANDS LÄN</t>
        </is>
      </c>
      <c r="E1882" t="inlineStr">
        <is>
          <t>KROKOM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22236-2025</t>
        </is>
      </c>
      <c r="B1883" s="1" t="n">
        <v>45785</v>
      </c>
      <c r="C1883" s="1" t="n">
        <v>45831</v>
      </c>
      <c r="D1883" t="inlineStr">
        <is>
          <t>JÄMTLANDS LÄN</t>
        </is>
      </c>
      <c r="E1883" t="inlineStr">
        <is>
          <t>KROKOM</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22136-2025</t>
        </is>
      </c>
      <c r="B1884" s="1" t="n">
        <v>45785</v>
      </c>
      <c r="C1884" s="1" t="n">
        <v>45831</v>
      </c>
      <c r="D1884" t="inlineStr">
        <is>
          <t>JÄMTLANDS LÄN</t>
        </is>
      </c>
      <c r="E1884" t="inlineStr">
        <is>
          <t>KROKOM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22499-2025</t>
        </is>
      </c>
      <c r="B1885" s="1" t="n">
        <v>45786</v>
      </c>
      <c r="C1885" s="1" t="n">
        <v>45831</v>
      </c>
      <c r="D1885" t="inlineStr">
        <is>
          <t>JÄMTLANDS LÄN</t>
        </is>
      </c>
      <c r="E1885" t="inlineStr">
        <is>
          <t>KROKOM</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22506-2025</t>
        </is>
      </c>
      <c r="B1886" s="1" t="n">
        <v>45786</v>
      </c>
      <c r="C1886" s="1" t="n">
        <v>45831</v>
      </c>
      <c r="D1886" t="inlineStr">
        <is>
          <t>JÄMTLANDS LÄN</t>
        </is>
      </c>
      <c r="E1886" t="inlineStr">
        <is>
          <t>KROKOM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22297-2025</t>
        </is>
      </c>
      <c r="B1887" s="1" t="n">
        <v>45786</v>
      </c>
      <c r="C1887" s="1" t="n">
        <v>45831</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22503-2025</t>
        </is>
      </c>
      <c r="B1888" s="1" t="n">
        <v>45786</v>
      </c>
      <c r="C1888" s="1" t="n">
        <v>45831</v>
      </c>
      <c r="D1888" t="inlineStr">
        <is>
          <t>JÄMTLANDS LÄN</t>
        </is>
      </c>
      <c r="E1888" t="inlineStr">
        <is>
          <t>KROKOM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22490-2025</t>
        </is>
      </c>
      <c r="B1889" s="1" t="n">
        <v>45786</v>
      </c>
      <c r="C1889" s="1" t="n">
        <v>45831</v>
      </c>
      <c r="D1889" t="inlineStr">
        <is>
          <t>JÄMTLANDS LÄN</t>
        </is>
      </c>
      <c r="E1889" t="inlineStr">
        <is>
          <t>KROKOM</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22493-2025</t>
        </is>
      </c>
      <c r="B1890" s="1" t="n">
        <v>45786</v>
      </c>
      <c r="C1890" s="1" t="n">
        <v>45831</v>
      </c>
      <c r="D1890" t="inlineStr">
        <is>
          <t>JÄMTLANDS LÄN</t>
        </is>
      </c>
      <c r="E1890" t="inlineStr">
        <is>
          <t>KROKOM</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22681-2025</t>
        </is>
      </c>
      <c r="B1891" s="1" t="n">
        <v>45786</v>
      </c>
      <c r="C1891" s="1" t="n">
        <v>45831</v>
      </c>
      <c r="D1891" t="inlineStr">
        <is>
          <t>JÄMTLANDS LÄN</t>
        </is>
      </c>
      <c r="E1891" t="inlineStr">
        <is>
          <t>KROKOM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22304-2025</t>
        </is>
      </c>
      <c r="B1892" s="1" t="n">
        <v>45786</v>
      </c>
      <c r="C1892" s="1" t="n">
        <v>45831</v>
      </c>
      <c r="D1892" t="inlineStr">
        <is>
          <t>JÄMTLANDS LÄN</t>
        </is>
      </c>
      <c r="E1892" t="inlineStr">
        <is>
          <t>KROKOM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22731-2025</t>
        </is>
      </c>
      <c r="B1893" s="1" t="n">
        <v>45789</v>
      </c>
      <c r="C1893" s="1" t="n">
        <v>45831</v>
      </c>
      <c r="D1893" t="inlineStr">
        <is>
          <t>JÄMTLANDS LÄN</t>
        </is>
      </c>
      <c r="E1893" t="inlineStr">
        <is>
          <t>KROKOM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22751-2025</t>
        </is>
      </c>
      <c r="B1894" s="1" t="n">
        <v>45789</v>
      </c>
      <c r="C1894" s="1" t="n">
        <v>45831</v>
      </c>
      <c r="D1894" t="inlineStr">
        <is>
          <t>JÄMTLANDS LÄN</t>
        </is>
      </c>
      <c r="E1894" t="inlineStr">
        <is>
          <t>KROKOM</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23046-2025</t>
        </is>
      </c>
      <c r="B1895" s="1" t="n">
        <v>45790</v>
      </c>
      <c r="C1895" s="1" t="n">
        <v>45831</v>
      </c>
      <c r="D1895" t="inlineStr">
        <is>
          <t>JÄMTLANDS LÄN</t>
        </is>
      </c>
      <c r="E1895" t="inlineStr">
        <is>
          <t>KROKOM</t>
        </is>
      </c>
      <c r="F1895" t="inlineStr">
        <is>
          <t>Övriga Aktiebolag</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23083-2025</t>
        </is>
      </c>
      <c r="B1896" s="1" t="n">
        <v>45791</v>
      </c>
      <c r="C1896" s="1" t="n">
        <v>45831</v>
      </c>
      <c r="D1896" t="inlineStr">
        <is>
          <t>JÄMTLANDS LÄN</t>
        </is>
      </c>
      <c r="E1896" t="inlineStr">
        <is>
          <t>KROKOM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23080-2025</t>
        </is>
      </c>
      <c r="B1897" s="1" t="n">
        <v>45791</v>
      </c>
      <c r="C1897" s="1" t="n">
        <v>45831</v>
      </c>
      <c r="D1897" t="inlineStr">
        <is>
          <t>JÄMTLANDS LÄN</t>
        </is>
      </c>
      <c r="E1897" t="inlineStr">
        <is>
          <t>KROKOM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23288-2025</t>
        </is>
      </c>
      <c r="B1898" s="1" t="n">
        <v>45791</v>
      </c>
      <c r="C1898" s="1" t="n">
        <v>45831</v>
      </c>
      <c r="D1898" t="inlineStr">
        <is>
          <t>JÄMTLANDS LÄN</t>
        </is>
      </c>
      <c r="E1898" t="inlineStr">
        <is>
          <t>KROKOM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23751-2025</t>
        </is>
      </c>
      <c r="B1899" s="1" t="n">
        <v>45793</v>
      </c>
      <c r="C1899" s="1" t="n">
        <v>45831</v>
      </c>
      <c r="D1899" t="inlineStr">
        <is>
          <t>JÄMTLANDS LÄN</t>
        </is>
      </c>
      <c r="E1899" t="inlineStr">
        <is>
          <t>KROKOM</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24062-2025</t>
        </is>
      </c>
      <c r="B1900" s="1" t="n">
        <v>45796</v>
      </c>
      <c r="C1900" s="1" t="n">
        <v>45831</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24103-2025</t>
        </is>
      </c>
      <c r="B1901" s="1" t="n">
        <v>45796</v>
      </c>
      <c r="C1901" s="1" t="n">
        <v>45831</v>
      </c>
      <c r="D1901" t="inlineStr">
        <is>
          <t>JÄMTLANDS LÄN</t>
        </is>
      </c>
      <c r="E1901" t="inlineStr">
        <is>
          <t>KROKOM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24649-2025</t>
        </is>
      </c>
      <c r="B1902" s="1" t="n">
        <v>45798</v>
      </c>
      <c r="C1902" s="1" t="n">
        <v>45831</v>
      </c>
      <c r="D1902" t="inlineStr">
        <is>
          <t>JÄMTLANDS LÄN</t>
        </is>
      </c>
      <c r="E1902" t="inlineStr">
        <is>
          <t>KROKOM</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24648-2025</t>
        </is>
      </c>
      <c r="B1903" s="1" t="n">
        <v>45798</v>
      </c>
      <c r="C1903" s="1" t="n">
        <v>45831</v>
      </c>
      <c r="D1903" t="inlineStr">
        <is>
          <t>JÄMTLANDS LÄN</t>
        </is>
      </c>
      <c r="E1903" t="inlineStr">
        <is>
          <t>KROKOM</t>
        </is>
      </c>
      <c r="F1903" t="inlineStr">
        <is>
          <t>SCA</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25119-2025</t>
        </is>
      </c>
      <c r="B1904" s="1" t="n">
        <v>45800</v>
      </c>
      <c r="C1904" s="1" t="n">
        <v>45831</v>
      </c>
      <c r="D1904" t="inlineStr">
        <is>
          <t>JÄMTLANDS LÄN</t>
        </is>
      </c>
      <c r="E1904" t="inlineStr">
        <is>
          <t>KROKOM</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25268-2025</t>
        </is>
      </c>
      <c r="B1905" s="1" t="n">
        <v>45800</v>
      </c>
      <c r="C1905" s="1" t="n">
        <v>45831</v>
      </c>
      <c r="D1905" t="inlineStr">
        <is>
          <t>JÄMTLANDS LÄN</t>
        </is>
      </c>
      <c r="E1905" t="inlineStr">
        <is>
          <t>KROKOM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25302-2025</t>
        </is>
      </c>
      <c r="B1906" s="1" t="n">
        <v>45800</v>
      </c>
      <c r="C1906" s="1" t="n">
        <v>45831</v>
      </c>
      <c r="D1906" t="inlineStr">
        <is>
          <t>JÄMTLANDS LÄN</t>
        </is>
      </c>
      <c r="E1906" t="inlineStr">
        <is>
          <t>KROKOM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25312-2025</t>
        </is>
      </c>
      <c r="B1907" s="1" t="n">
        <v>45800</v>
      </c>
      <c r="C1907" s="1" t="n">
        <v>45831</v>
      </c>
      <c r="D1907" t="inlineStr">
        <is>
          <t>JÄMTLANDS LÄN</t>
        </is>
      </c>
      <c r="E1907" t="inlineStr">
        <is>
          <t>KROKOM</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25681-2025</t>
        </is>
      </c>
      <c r="B1908" s="1" t="n">
        <v>45800</v>
      </c>
      <c r="C1908" s="1" t="n">
        <v>45831</v>
      </c>
      <c r="D1908" t="inlineStr">
        <is>
          <t>JÄMTLANDS LÄN</t>
        </is>
      </c>
      <c r="E1908" t="inlineStr">
        <is>
          <t>KROKOM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25398-2025</t>
        </is>
      </c>
      <c r="B1909" s="1" t="n">
        <v>45800</v>
      </c>
      <c r="C1909" s="1" t="n">
        <v>45831</v>
      </c>
      <c r="D1909" t="inlineStr">
        <is>
          <t>JÄMTLANDS LÄN</t>
        </is>
      </c>
      <c r="E1909" t="inlineStr">
        <is>
          <t>KROKOM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45831</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25386-2025</t>
        </is>
      </c>
      <c r="B1911" s="1" t="n">
        <v>45800</v>
      </c>
      <c r="C1911" s="1" t="n">
        <v>45831</v>
      </c>
      <c r="D1911" t="inlineStr">
        <is>
          <t>JÄMTLANDS LÄN</t>
        </is>
      </c>
      <c r="E1911" t="inlineStr">
        <is>
          <t>KROKOM</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25582-2025</t>
        </is>
      </c>
      <c r="B1912" s="1" t="n">
        <v>45803</v>
      </c>
      <c r="C1912" s="1" t="n">
        <v>45831</v>
      </c>
      <c r="D1912" t="inlineStr">
        <is>
          <t>JÄMTLANDS LÄN</t>
        </is>
      </c>
      <c r="E1912" t="inlineStr">
        <is>
          <t>KROKOM</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25715-2025</t>
        </is>
      </c>
      <c r="B1913" s="1" t="n">
        <v>45803</v>
      </c>
      <c r="C1913" s="1" t="n">
        <v>45831</v>
      </c>
      <c r="D1913" t="inlineStr">
        <is>
          <t>JÄMTLANDS LÄN</t>
        </is>
      </c>
      <c r="E1913" t="inlineStr">
        <is>
          <t>KROKOM</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25710-2025</t>
        </is>
      </c>
      <c r="B1914" s="1" t="n">
        <v>45803</v>
      </c>
      <c r="C1914" s="1" t="n">
        <v>45831</v>
      </c>
      <c r="D1914" t="inlineStr">
        <is>
          <t>JÄMTLANDS LÄN</t>
        </is>
      </c>
      <c r="E1914" t="inlineStr">
        <is>
          <t>KROKOM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26272-2025</t>
        </is>
      </c>
      <c r="B1915" s="1" t="n">
        <v>45805</v>
      </c>
      <c r="C1915" s="1" t="n">
        <v>45831</v>
      </c>
      <c r="D1915" t="inlineStr">
        <is>
          <t>JÄMTLANDS LÄN</t>
        </is>
      </c>
      <c r="E1915" t="inlineStr">
        <is>
          <t>KROKOM</t>
        </is>
      </c>
      <c r="G1915" t="n">
        <v>22.4</v>
      </c>
      <c r="H1915" t="n">
        <v>0</v>
      </c>
      <c r="I1915" t="n">
        <v>0</v>
      </c>
      <c r="J1915" t="n">
        <v>0</v>
      </c>
      <c r="K1915" t="n">
        <v>0</v>
      </c>
      <c r="L1915" t="n">
        <v>0</v>
      </c>
      <c r="M1915" t="n">
        <v>0</v>
      </c>
      <c r="N1915" t="n">
        <v>0</v>
      </c>
      <c r="O1915" t="n">
        <v>0</v>
      </c>
      <c r="P1915" t="n">
        <v>0</v>
      </c>
      <c r="Q1915" t="n">
        <v>0</v>
      </c>
      <c r="R1915" s="2" t="inlineStr"/>
    </row>
    <row r="1916" ht="15" customHeight="1">
      <c r="A1916" t="inlineStr">
        <is>
          <t>A 26182-2025</t>
        </is>
      </c>
      <c r="B1916" s="1" t="n">
        <v>45805</v>
      </c>
      <c r="C1916" s="1" t="n">
        <v>45831</v>
      </c>
      <c r="D1916" t="inlineStr">
        <is>
          <t>JÄMTLANDS LÄN</t>
        </is>
      </c>
      <c r="E1916" t="inlineStr">
        <is>
          <t>KROKOM</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26212-2025</t>
        </is>
      </c>
      <c r="B1917" s="1" t="n">
        <v>45805</v>
      </c>
      <c r="C1917" s="1" t="n">
        <v>45831</v>
      </c>
      <c r="D1917" t="inlineStr">
        <is>
          <t>JÄMTLANDS LÄN</t>
        </is>
      </c>
      <c r="E1917" t="inlineStr">
        <is>
          <t>KROKOM</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45831</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26527-2025</t>
        </is>
      </c>
      <c r="B1919" s="1" t="n">
        <v>45807</v>
      </c>
      <c r="C1919" s="1" t="n">
        <v>45831</v>
      </c>
      <c r="D1919" t="inlineStr">
        <is>
          <t>JÄMTLANDS LÄN</t>
        </is>
      </c>
      <c r="E1919" t="inlineStr">
        <is>
          <t>KROKOM</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26621-2025</t>
        </is>
      </c>
      <c r="B1920" s="1" t="n">
        <v>45810</v>
      </c>
      <c r="C1920" s="1" t="n">
        <v>45831</v>
      </c>
      <c r="D1920" t="inlineStr">
        <is>
          <t>JÄMTLANDS LÄN</t>
        </is>
      </c>
      <c r="E1920" t="inlineStr">
        <is>
          <t>KROKOM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26619-2025</t>
        </is>
      </c>
      <c r="B1921" s="1" t="n">
        <v>45810</v>
      </c>
      <c r="C1921" s="1" t="n">
        <v>45831</v>
      </c>
      <c r="D1921" t="inlineStr">
        <is>
          <t>JÄMTLANDS LÄN</t>
        </is>
      </c>
      <c r="E1921" t="inlineStr">
        <is>
          <t>KROKOM</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27097-2025</t>
        </is>
      </c>
      <c r="B1922" s="1" t="n">
        <v>45811</v>
      </c>
      <c r="C1922" s="1" t="n">
        <v>45831</v>
      </c>
      <c r="D1922" t="inlineStr">
        <is>
          <t>JÄMTLANDS LÄN</t>
        </is>
      </c>
      <c r="E1922" t="inlineStr">
        <is>
          <t>KROKOM</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27104-2025</t>
        </is>
      </c>
      <c r="B1923" s="1" t="n">
        <v>45811</v>
      </c>
      <c r="C1923" s="1" t="n">
        <v>45831</v>
      </c>
      <c r="D1923" t="inlineStr">
        <is>
          <t>JÄMTLANDS LÄN</t>
        </is>
      </c>
      <c r="E1923" t="inlineStr">
        <is>
          <t>KROKOM</t>
        </is>
      </c>
      <c r="G1923" t="n">
        <v>14.4</v>
      </c>
      <c r="H1923" t="n">
        <v>0</v>
      </c>
      <c r="I1923" t="n">
        <v>0</v>
      </c>
      <c r="J1923" t="n">
        <v>0</v>
      </c>
      <c r="K1923" t="n">
        <v>0</v>
      </c>
      <c r="L1923" t="n">
        <v>0</v>
      </c>
      <c r="M1923" t="n">
        <v>0</v>
      </c>
      <c r="N1923" t="n">
        <v>0</v>
      </c>
      <c r="O1923" t="n">
        <v>0</v>
      </c>
      <c r="P1923" t="n">
        <v>0</v>
      </c>
      <c r="Q1923" t="n">
        <v>0</v>
      </c>
      <c r="R1923" s="2" t="inlineStr"/>
    </row>
    <row r="1924" ht="15" customHeight="1">
      <c r="A1924" t="inlineStr">
        <is>
          <t>A 27003-2025</t>
        </is>
      </c>
      <c r="B1924" s="1" t="n">
        <v>45811</v>
      </c>
      <c r="C1924" s="1" t="n">
        <v>45831</v>
      </c>
      <c r="D1924" t="inlineStr">
        <is>
          <t>JÄMTLANDS LÄN</t>
        </is>
      </c>
      <c r="E1924" t="inlineStr">
        <is>
          <t>KROKOM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27153-2025</t>
        </is>
      </c>
      <c r="B1925" s="1" t="n">
        <v>45812</v>
      </c>
      <c r="C1925" s="1" t="n">
        <v>45831</v>
      </c>
      <c r="D1925" t="inlineStr">
        <is>
          <t>JÄMTLANDS LÄN</t>
        </is>
      </c>
      <c r="E1925" t="inlineStr">
        <is>
          <t>KROKOM</t>
        </is>
      </c>
      <c r="G1925" t="n">
        <v>15.8</v>
      </c>
      <c r="H1925" t="n">
        <v>0</v>
      </c>
      <c r="I1925" t="n">
        <v>0</v>
      </c>
      <c r="J1925" t="n">
        <v>0</v>
      </c>
      <c r="K1925" t="n">
        <v>0</v>
      </c>
      <c r="L1925" t="n">
        <v>0</v>
      </c>
      <c r="M1925" t="n">
        <v>0</v>
      </c>
      <c r="N1925" t="n">
        <v>0</v>
      </c>
      <c r="O1925" t="n">
        <v>0</v>
      </c>
      <c r="P1925" t="n">
        <v>0</v>
      </c>
      <c r="Q1925" t="n">
        <v>0</v>
      </c>
      <c r="R1925" s="2" t="inlineStr"/>
    </row>
    <row r="1926" ht="15" customHeight="1">
      <c r="A1926" t="inlineStr">
        <is>
          <t>A 27364-2025</t>
        </is>
      </c>
      <c r="B1926" s="1" t="n">
        <v>45812</v>
      </c>
      <c r="C1926" s="1" t="n">
        <v>45831</v>
      </c>
      <c r="D1926" t="inlineStr">
        <is>
          <t>JÄMTLANDS LÄN</t>
        </is>
      </c>
      <c r="E1926" t="inlineStr">
        <is>
          <t>KROKOM</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27362-2025</t>
        </is>
      </c>
      <c r="B1927" s="1" t="n">
        <v>45812</v>
      </c>
      <c r="C1927" s="1" t="n">
        <v>45831</v>
      </c>
      <c r="D1927" t="inlineStr">
        <is>
          <t>JÄMTLANDS LÄN</t>
        </is>
      </c>
      <c r="E1927" t="inlineStr">
        <is>
          <t>KROKOM</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27363-2025</t>
        </is>
      </c>
      <c r="B1928" s="1" t="n">
        <v>45812</v>
      </c>
      <c r="C1928" s="1" t="n">
        <v>45831</v>
      </c>
      <c r="D1928" t="inlineStr">
        <is>
          <t>JÄMTLANDS LÄN</t>
        </is>
      </c>
      <c r="E1928" t="inlineStr">
        <is>
          <t>KROKOM</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27703-2025</t>
        </is>
      </c>
      <c r="B1929" s="1" t="n">
        <v>45813</v>
      </c>
      <c r="C1929" s="1" t="n">
        <v>45831</v>
      </c>
      <c r="D1929" t="inlineStr">
        <is>
          <t>JÄMTLANDS LÄN</t>
        </is>
      </c>
      <c r="E1929" t="inlineStr">
        <is>
          <t>KROKOM</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27547-2025</t>
        </is>
      </c>
      <c r="B1930" s="1" t="n">
        <v>45813</v>
      </c>
      <c r="C1930" s="1" t="n">
        <v>45831</v>
      </c>
      <c r="D1930" t="inlineStr">
        <is>
          <t>JÄMTLANDS LÄN</t>
        </is>
      </c>
      <c r="E1930" t="inlineStr">
        <is>
          <t>KROKOM</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27522-2025</t>
        </is>
      </c>
      <c r="B1931" s="1" t="n">
        <v>45813</v>
      </c>
      <c r="C1931" s="1" t="n">
        <v>45831</v>
      </c>
      <c r="D1931" t="inlineStr">
        <is>
          <t>JÄMTLANDS LÄN</t>
        </is>
      </c>
      <c r="E1931" t="inlineStr">
        <is>
          <t>KROKOM</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27851-2025</t>
        </is>
      </c>
      <c r="B1932" s="1" t="n">
        <v>45814</v>
      </c>
      <c r="C1932" s="1" t="n">
        <v>45831</v>
      </c>
      <c r="D1932" t="inlineStr">
        <is>
          <t>JÄMTLANDS LÄN</t>
        </is>
      </c>
      <c r="E1932" t="inlineStr">
        <is>
          <t>KROKOM</t>
        </is>
      </c>
      <c r="G1932" t="n">
        <v>13.9</v>
      </c>
      <c r="H1932" t="n">
        <v>0</v>
      </c>
      <c r="I1932" t="n">
        <v>0</v>
      </c>
      <c r="J1932" t="n">
        <v>0</v>
      </c>
      <c r="K1932" t="n">
        <v>0</v>
      </c>
      <c r="L1932" t="n">
        <v>0</v>
      </c>
      <c r="M1932" t="n">
        <v>0</v>
      </c>
      <c r="N1932" t="n">
        <v>0</v>
      </c>
      <c r="O1932" t="n">
        <v>0</v>
      </c>
      <c r="P1932" t="n">
        <v>0</v>
      </c>
      <c r="Q1932" t="n">
        <v>0</v>
      </c>
      <c r="R1932" s="2" t="inlineStr"/>
    </row>
    <row r="1933" ht="15" customHeight="1">
      <c r="A1933" t="inlineStr">
        <is>
          <t>A 27833-2025</t>
        </is>
      </c>
      <c r="B1933" s="1" t="n">
        <v>45814</v>
      </c>
      <c r="C1933" s="1" t="n">
        <v>45831</v>
      </c>
      <c r="D1933" t="inlineStr">
        <is>
          <t>JÄMTLANDS LÄN</t>
        </is>
      </c>
      <c r="E1933" t="inlineStr">
        <is>
          <t>KROKOM</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27740-2025</t>
        </is>
      </c>
      <c r="B1934" s="1" t="n">
        <v>45815</v>
      </c>
      <c r="C1934" s="1" t="n">
        <v>45831</v>
      </c>
      <c r="D1934" t="inlineStr">
        <is>
          <t>JÄMTLANDS LÄN</t>
        </is>
      </c>
      <c r="E1934" t="inlineStr">
        <is>
          <t>KROKOM</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27973-2025</t>
        </is>
      </c>
      <c r="B1935" s="1" t="n">
        <v>45817</v>
      </c>
      <c r="C1935" s="1" t="n">
        <v>45831</v>
      </c>
      <c r="D1935" t="inlineStr">
        <is>
          <t>JÄMTLANDS LÄN</t>
        </is>
      </c>
      <c r="E1935" t="inlineStr">
        <is>
          <t>KROKOM</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28137-2025</t>
        </is>
      </c>
      <c r="B1936" s="1" t="n">
        <v>45818</v>
      </c>
      <c r="C1936" s="1" t="n">
        <v>45831</v>
      </c>
      <c r="D1936" t="inlineStr">
        <is>
          <t>JÄMTLANDS LÄN</t>
        </is>
      </c>
      <c r="E1936" t="inlineStr">
        <is>
          <t>KROKOM</t>
        </is>
      </c>
      <c r="F1936" t="inlineStr">
        <is>
          <t>SCA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28155-2025</t>
        </is>
      </c>
      <c r="B1937" s="1" t="n">
        <v>45818</v>
      </c>
      <c r="C1937" s="1" t="n">
        <v>45831</v>
      </c>
      <c r="D1937" t="inlineStr">
        <is>
          <t>JÄMTLANDS LÄN</t>
        </is>
      </c>
      <c r="E1937" t="inlineStr">
        <is>
          <t>KROKOM</t>
        </is>
      </c>
      <c r="F1937" t="inlineStr">
        <is>
          <t>Kyrkan</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28130-2025</t>
        </is>
      </c>
      <c r="B1938" s="1" t="n">
        <v>45818</v>
      </c>
      <c r="C1938" s="1" t="n">
        <v>45831</v>
      </c>
      <c r="D1938" t="inlineStr">
        <is>
          <t>JÄMTLANDS LÄN</t>
        </is>
      </c>
      <c r="E1938" t="inlineStr">
        <is>
          <t>KROKOM</t>
        </is>
      </c>
      <c r="F1938" t="inlineStr">
        <is>
          <t>Kyrkan</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28132-2025</t>
        </is>
      </c>
      <c r="B1939" s="1" t="n">
        <v>45818</v>
      </c>
      <c r="C1939" s="1" t="n">
        <v>45831</v>
      </c>
      <c r="D1939" t="inlineStr">
        <is>
          <t>JÄMTLANDS LÄN</t>
        </is>
      </c>
      <c r="E1939" t="inlineStr">
        <is>
          <t>KROKOM</t>
        </is>
      </c>
      <c r="F1939" t="inlineStr">
        <is>
          <t>Kyrkan</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28147-2025</t>
        </is>
      </c>
      <c r="B1940" s="1" t="n">
        <v>45818</v>
      </c>
      <c r="C1940" s="1" t="n">
        <v>45831</v>
      </c>
      <c r="D1940" t="inlineStr">
        <is>
          <t>JÄMTLANDS LÄN</t>
        </is>
      </c>
      <c r="E1940" t="inlineStr">
        <is>
          <t>KROKOM</t>
        </is>
      </c>
      <c r="F1940" t="inlineStr">
        <is>
          <t>Kyrkan</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28136-2025</t>
        </is>
      </c>
      <c r="B1941" s="1" t="n">
        <v>45818</v>
      </c>
      <c r="C1941" s="1" t="n">
        <v>45831</v>
      </c>
      <c r="D1941" t="inlineStr">
        <is>
          <t>JÄMTLANDS LÄN</t>
        </is>
      </c>
      <c r="E1941" t="inlineStr">
        <is>
          <t>KROKOM</t>
        </is>
      </c>
      <c r="F1941" t="inlineStr">
        <is>
          <t>SCA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28162-2025</t>
        </is>
      </c>
      <c r="B1942" s="1" t="n">
        <v>45818</v>
      </c>
      <c r="C1942" s="1" t="n">
        <v>45831</v>
      </c>
      <c r="D1942" t="inlineStr">
        <is>
          <t>JÄMTLANDS LÄN</t>
        </is>
      </c>
      <c r="E1942" t="inlineStr">
        <is>
          <t>KROKOM</t>
        </is>
      </c>
      <c r="F1942" t="inlineStr">
        <is>
          <t>Kyrkan</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28592-2025</t>
        </is>
      </c>
      <c r="B1943" s="1" t="n">
        <v>45819</v>
      </c>
      <c r="C1943" s="1" t="n">
        <v>45831</v>
      </c>
      <c r="D1943" t="inlineStr">
        <is>
          <t>JÄMTLANDS LÄN</t>
        </is>
      </c>
      <c r="E1943" t="inlineStr">
        <is>
          <t>KROKOM</t>
        </is>
      </c>
      <c r="G1943" t="n">
        <v>10.5</v>
      </c>
      <c r="H1943" t="n">
        <v>0</v>
      </c>
      <c r="I1943" t="n">
        <v>0</v>
      </c>
      <c r="J1943" t="n">
        <v>0</v>
      </c>
      <c r="K1943" t="n">
        <v>0</v>
      </c>
      <c r="L1943" t="n">
        <v>0</v>
      </c>
      <c r="M1943" t="n">
        <v>0</v>
      </c>
      <c r="N1943" t="n">
        <v>0</v>
      </c>
      <c r="O1943" t="n">
        <v>0</v>
      </c>
      <c r="P1943" t="n">
        <v>0</v>
      </c>
      <c r="Q1943" t="n">
        <v>0</v>
      </c>
      <c r="R1943" s="2" t="inlineStr"/>
    </row>
    <row r="1944" ht="15" customHeight="1">
      <c r="A1944" t="inlineStr">
        <is>
          <t>A 28680-2025</t>
        </is>
      </c>
      <c r="B1944" s="1" t="n">
        <v>45819</v>
      </c>
      <c r="C1944" s="1" t="n">
        <v>45831</v>
      </c>
      <c r="D1944" t="inlineStr">
        <is>
          <t>JÄMTLANDS LÄN</t>
        </is>
      </c>
      <c r="E1944" t="inlineStr">
        <is>
          <t>KROKOM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28727-2025</t>
        </is>
      </c>
      <c r="B1945" s="1" t="n">
        <v>45820</v>
      </c>
      <c r="C1945" s="1" t="n">
        <v>45831</v>
      </c>
      <c r="D1945" t="inlineStr">
        <is>
          <t>JÄMTLANDS LÄN</t>
        </is>
      </c>
      <c r="E1945" t="inlineStr">
        <is>
          <t>KROKOM</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28728-2025</t>
        </is>
      </c>
      <c r="B1946" s="1" t="n">
        <v>45820</v>
      </c>
      <c r="C1946" s="1" t="n">
        <v>45831</v>
      </c>
      <c r="D1946" t="inlineStr">
        <is>
          <t>JÄMTLANDS LÄN</t>
        </is>
      </c>
      <c r="E1946" t="inlineStr">
        <is>
          <t>KROKOM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28729-2025</t>
        </is>
      </c>
      <c r="B1947" s="1" t="n">
        <v>45820</v>
      </c>
      <c r="C1947" s="1" t="n">
        <v>45831</v>
      </c>
      <c r="D1947" t="inlineStr">
        <is>
          <t>JÄMTLANDS LÄN</t>
        </is>
      </c>
      <c r="E1947" t="inlineStr">
        <is>
          <t>KROKOM</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28752-2025</t>
        </is>
      </c>
      <c r="B1948" s="1" t="n">
        <v>45820</v>
      </c>
      <c r="C1948" s="1" t="n">
        <v>45831</v>
      </c>
      <c r="D1948" t="inlineStr">
        <is>
          <t>JÄMTLANDS LÄN</t>
        </is>
      </c>
      <c r="E1948" t="inlineStr">
        <is>
          <t>KROKOM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28848-2025</t>
        </is>
      </c>
      <c r="B1949" s="1" t="n">
        <v>45820</v>
      </c>
      <c r="C1949" s="1" t="n">
        <v>45831</v>
      </c>
      <c r="D1949" t="inlineStr">
        <is>
          <t>JÄMTLANDS LÄN</t>
        </is>
      </c>
      <c r="E1949" t="inlineStr">
        <is>
          <t>KROKOM</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28789-2025</t>
        </is>
      </c>
      <c r="B1950" s="1" t="n">
        <v>45820</v>
      </c>
      <c r="C1950" s="1" t="n">
        <v>45831</v>
      </c>
      <c r="D1950" t="inlineStr">
        <is>
          <t>JÄMTLANDS LÄN</t>
        </is>
      </c>
      <c r="E1950" t="inlineStr">
        <is>
          <t>KROKOM</t>
        </is>
      </c>
      <c r="F1950" t="inlineStr">
        <is>
          <t>Kyrkan</t>
        </is>
      </c>
      <c r="G1950" t="n">
        <v>28.4</v>
      </c>
      <c r="H1950" t="n">
        <v>0</v>
      </c>
      <c r="I1950" t="n">
        <v>0</v>
      </c>
      <c r="J1950" t="n">
        <v>0</v>
      </c>
      <c r="K1950" t="n">
        <v>0</v>
      </c>
      <c r="L1950" t="n">
        <v>0</v>
      </c>
      <c r="M1950" t="n">
        <v>0</v>
      </c>
      <c r="N1950" t="n">
        <v>0</v>
      </c>
      <c r="O1950" t="n">
        <v>0</v>
      </c>
      <c r="P1950" t="n">
        <v>0</v>
      </c>
      <c r="Q1950" t="n">
        <v>0</v>
      </c>
      <c r="R1950" s="2" t="inlineStr"/>
    </row>
    <row r="1951" ht="15" customHeight="1">
      <c r="A1951" t="inlineStr">
        <is>
          <t>A 28843-2025</t>
        </is>
      </c>
      <c r="B1951" s="1" t="n">
        <v>45820</v>
      </c>
      <c r="C1951" s="1" t="n">
        <v>45831</v>
      </c>
      <c r="D1951" t="inlineStr">
        <is>
          <t>JÄMTLANDS LÄN</t>
        </is>
      </c>
      <c r="E1951" t="inlineStr">
        <is>
          <t>KROKOM</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28725-2025</t>
        </is>
      </c>
      <c r="B1952" s="1" t="n">
        <v>45820</v>
      </c>
      <c r="C1952" s="1" t="n">
        <v>45831</v>
      </c>
      <c r="D1952" t="inlineStr">
        <is>
          <t>JÄMTLANDS LÄN</t>
        </is>
      </c>
      <c r="E1952" t="inlineStr">
        <is>
          <t>KROKOM</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29001-2025</t>
        </is>
      </c>
      <c r="B1953" s="1" t="n">
        <v>45821</v>
      </c>
      <c r="C1953" s="1" t="n">
        <v>45831</v>
      </c>
      <c r="D1953" t="inlineStr">
        <is>
          <t>JÄMTLANDS LÄN</t>
        </is>
      </c>
      <c r="E1953" t="inlineStr">
        <is>
          <t>KROKOM</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29956-2025</t>
        </is>
      </c>
      <c r="B1954" s="1" t="n">
        <v>45826</v>
      </c>
      <c r="C1954" s="1" t="n">
        <v>45831</v>
      </c>
      <c r="D1954" t="inlineStr">
        <is>
          <t>JÄMTLANDS LÄN</t>
        </is>
      </c>
      <c r="E1954" t="inlineStr">
        <is>
          <t>KROKOM</t>
        </is>
      </c>
      <c r="F1954" t="inlineStr">
        <is>
          <t>SCA</t>
        </is>
      </c>
      <c r="G1954" t="n">
        <v>16.1</v>
      </c>
      <c r="H1954" t="n">
        <v>0</v>
      </c>
      <c r="I1954" t="n">
        <v>0</v>
      </c>
      <c r="J1954" t="n">
        <v>0</v>
      </c>
      <c r="K1954" t="n">
        <v>0</v>
      </c>
      <c r="L1954" t="n">
        <v>0</v>
      </c>
      <c r="M1954" t="n">
        <v>0</v>
      </c>
      <c r="N1954" t="n">
        <v>0</v>
      </c>
      <c r="O1954" t="n">
        <v>0</v>
      </c>
      <c r="P1954" t="n">
        <v>0</v>
      </c>
      <c r="Q1954" t="n">
        <v>0</v>
      </c>
      <c r="R1954" s="2" t="inlineStr"/>
    </row>
    <row r="1955">
      <c r="A1955" t="inlineStr">
        <is>
          <t>A 30175-2025</t>
        </is>
      </c>
      <c r="B1955" s="1" t="n">
        <v>45827</v>
      </c>
      <c r="C1955" s="1" t="n">
        <v>45831</v>
      </c>
      <c r="D1955" t="inlineStr">
        <is>
          <t>JÄMTLANDS LÄN</t>
        </is>
      </c>
      <c r="E1955" t="inlineStr">
        <is>
          <t>KROKOM</t>
        </is>
      </c>
      <c r="F1955" t="inlineStr">
        <is>
          <t>SCA</t>
        </is>
      </c>
      <c r="G1955" t="n">
        <v>2</v>
      </c>
      <c r="H1955" t="n">
        <v>0</v>
      </c>
      <c r="I1955" t="n">
        <v>0</v>
      </c>
      <c r="J1955" t="n">
        <v>0</v>
      </c>
      <c r="K1955" t="n">
        <v>0</v>
      </c>
      <c r="L1955" t="n">
        <v>0</v>
      </c>
      <c r="M1955" t="n">
        <v>0</v>
      </c>
      <c r="N1955" t="n">
        <v>0</v>
      </c>
      <c r="O1955" t="n">
        <v>0</v>
      </c>
      <c r="P1955" t="n">
        <v>0</v>
      </c>
      <c r="Q1955" t="n">
        <v>0</v>
      </c>
      <c r="R1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2025-06-23T19:23:26Z</dcterms:created>
  <dcterms:modified xmlns:dcterms="http://purl.org/dc/terms/" xmlns:xsi="http://www.w3.org/2001/XMLSchema-instance" xsi:type="dcterms:W3CDTF">2025-06-23T19:23:28Z</dcterms:modified>
</cp:coreProperties>
</file>