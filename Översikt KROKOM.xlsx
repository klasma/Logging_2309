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45734</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45734</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45734</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45734</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45734</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45734</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45734</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45734</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45734</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45734</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45734</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45734</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45734</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45734</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45734</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45734</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45734</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45734</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45734</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45734</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45734</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45734</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45734</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45734</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45734</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45734</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45734</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45734</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45734</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45734</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45734</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45734</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45734</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45734</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45734</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45734</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45734</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45734</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45734</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45734</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45734</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45734</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45734</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45734</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45734</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45734</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45734</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45734</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45734</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45734</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45734</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45734</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45734</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45734</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45734</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45734</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45734</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45734</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45734</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45734</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45734</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45734</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45734</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45734</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45734</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45734</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45734</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45734</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45734</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45734</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45734</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45734</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45734</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45734</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45734</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45734</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45734</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45734</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45734</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45734</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45734</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45734</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45734</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45734</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45734</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45734</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45734</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45734</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45734</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45734</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45734</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45734</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45734</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45734</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45734</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45734</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45734</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45734</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45734</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45734</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45734</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45734</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45734</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45734</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45734</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45734</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45734</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45734</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45734</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45734</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45734</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45734</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45734</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45734</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45734</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45734</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45734</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45734</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45734</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45734</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45734</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45734</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45734</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45734</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45734</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45734</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45734</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45734</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45734</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45734</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45734</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45734</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45734</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45734</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45734</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45734</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45734</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45734</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45734</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45734</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45734</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45734</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45734</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45734</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45734</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45734</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45734</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45734</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45734</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45734</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45734</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45734</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45734</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45734</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45734</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45734</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45734</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45734</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45734</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45734</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45734</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45734</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45734</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45734</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45734</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45734</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45734</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45734</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45734</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45734</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45734</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45734</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45734</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45734</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45734</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45734</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45734</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45734</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45734</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45734</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45734</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45734</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45734</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45734</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45734</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45734</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45734</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45734</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45734</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45734</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45734</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45734</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45734</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45734</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45734</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45734</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45734</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45734</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45734</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45734</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45734</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45734</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45734</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45734</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45734</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45734</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45734</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45734</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45734</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45734</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45734</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45734</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45734</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45734</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45734</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45734</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45734</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45734</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45734</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45734</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45734</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45734</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45734</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45734</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45734</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45734</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45734</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45734</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45734</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45734</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45734</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45734</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45734</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45734</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45734</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45734</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45734</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21669-2019</t>
        </is>
      </c>
      <c r="B244" s="1" t="n">
        <v>43581</v>
      </c>
      <c r="C244" s="1" t="n">
        <v>45734</v>
      </c>
      <c r="D244" t="inlineStr">
        <is>
          <t>JÄMTLANDS LÄN</t>
        </is>
      </c>
      <c r="E244" t="inlineStr">
        <is>
          <t>KROKOM</t>
        </is>
      </c>
      <c r="G244" t="n">
        <v>13.2</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21669-2019 artfynd.xlsx", "A 21669-2019")</f>
        <v/>
      </c>
      <c r="T244">
        <f>HYPERLINK("https://klasma.github.io/Logging_2309/kartor/A 21669-2019 karta.png", "A 21669-2019")</f>
        <v/>
      </c>
      <c r="V244">
        <f>HYPERLINK("https://klasma.github.io/Logging_2309/klagomål/A 21669-2019 FSC-klagomål.docx", "A 21669-2019")</f>
        <v/>
      </c>
      <c r="W244">
        <f>HYPERLINK("https://klasma.github.io/Logging_2309/klagomålsmail/A 21669-2019 FSC-klagomål mail.docx", "A 21669-2019")</f>
        <v/>
      </c>
      <c r="X244">
        <f>HYPERLINK("https://klasma.github.io/Logging_2309/tillsyn/A 21669-2019 tillsynsbegäran.docx", "A 21669-2019")</f>
        <v/>
      </c>
      <c r="Y244">
        <f>HYPERLINK("https://klasma.github.io/Logging_2309/tillsynsmail/A 21669-2019 tillsynsbegäran mail.docx", "A 21669-2019")</f>
        <v/>
      </c>
      <c r="Z244">
        <f>HYPERLINK("https://klasma.github.io/Logging_2309/fåglar/A 21669-2019 prioriterade fågelarter.docx", "A 21669-2019")</f>
        <v/>
      </c>
    </row>
    <row r="245" ht="15" customHeight="1">
      <c r="A245" t="inlineStr">
        <is>
          <t>A 30819-2019</t>
        </is>
      </c>
      <c r="B245" s="1" t="n">
        <v>43636</v>
      </c>
      <c r="C245" s="1" t="n">
        <v>45734</v>
      </c>
      <c r="D245" t="inlineStr">
        <is>
          <t>JÄMTLANDS LÄN</t>
        </is>
      </c>
      <c r="E245" t="inlineStr">
        <is>
          <t>KROKOM</t>
        </is>
      </c>
      <c r="G245" t="n">
        <v>18.8</v>
      </c>
      <c r="H245" t="n">
        <v>0</v>
      </c>
      <c r="I245" t="n">
        <v>1</v>
      </c>
      <c r="J245" t="n">
        <v>0</v>
      </c>
      <c r="K245" t="n">
        <v>0</v>
      </c>
      <c r="L245" t="n">
        <v>0</v>
      </c>
      <c r="M245" t="n">
        <v>0</v>
      </c>
      <c r="N245" t="n">
        <v>0</v>
      </c>
      <c r="O245" t="n">
        <v>0</v>
      </c>
      <c r="P245" t="n">
        <v>0</v>
      </c>
      <c r="Q245" t="n">
        <v>1</v>
      </c>
      <c r="R245" s="2" t="inlineStr">
        <is>
          <t>Ögonpyrola</t>
        </is>
      </c>
      <c r="S245">
        <f>HYPERLINK("https://klasma.github.io/Logging_2309/artfynd/A 30819-2019 artfynd.xlsx", "A 30819-2019")</f>
        <v/>
      </c>
      <c r="T245">
        <f>HYPERLINK("https://klasma.github.io/Logging_2309/kartor/A 30819-2019 karta.png", "A 30819-2019")</f>
        <v/>
      </c>
      <c r="V245">
        <f>HYPERLINK("https://klasma.github.io/Logging_2309/klagomål/A 30819-2019 FSC-klagomål.docx", "A 30819-2019")</f>
        <v/>
      </c>
      <c r="W245">
        <f>HYPERLINK("https://klasma.github.io/Logging_2309/klagomålsmail/A 30819-2019 FSC-klagomål mail.docx", "A 30819-2019")</f>
        <v/>
      </c>
      <c r="X245">
        <f>HYPERLINK("https://klasma.github.io/Logging_2309/tillsyn/A 30819-2019 tillsynsbegäran.docx", "A 30819-2019")</f>
        <v/>
      </c>
      <c r="Y245">
        <f>HYPERLINK("https://klasma.github.io/Logging_2309/tillsynsmail/A 30819-2019 tillsynsbegäran mail.docx", "A 30819-2019")</f>
        <v/>
      </c>
    </row>
    <row r="246" ht="15" customHeight="1">
      <c r="A246" t="inlineStr">
        <is>
          <t>A 31910-2019</t>
        </is>
      </c>
      <c r="B246" s="1" t="n">
        <v>43642</v>
      </c>
      <c r="C246" s="1" t="n">
        <v>45734</v>
      </c>
      <c r="D246" t="inlineStr">
        <is>
          <t>JÄMTLANDS LÄN</t>
        </is>
      </c>
      <c r="E246" t="inlineStr">
        <is>
          <t>KROKOM</t>
        </is>
      </c>
      <c r="G246" t="n">
        <v>5</v>
      </c>
      <c r="H246" t="n">
        <v>0</v>
      </c>
      <c r="I246" t="n">
        <v>0</v>
      </c>
      <c r="J246" t="n">
        <v>1</v>
      </c>
      <c r="K246" t="n">
        <v>0</v>
      </c>
      <c r="L246" t="n">
        <v>0</v>
      </c>
      <c r="M246" t="n">
        <v>0</v>
      </c>
      <c r="N246" t="n">
        <v>0</v>
      </c>
      <c r="O246" t="n">
        <v>1</v>
      </c>
      <c r="P246" t="n">
        <v>0</v>
      </c>
      <c r="Q246" t="n">
        <v>1</v>
      </c>
      <c r="R246" s="2" t="inlineStr">
        <is>
          <t>Lunglav</t>
        </is>
      </c>
      <c r="S246">
        <f>HYPERLINK("https://klasma.github.io/Logging_2309/artfynd/A 31910-2019 artfynd.xlsx", "A 31910-2019")</f>
        <v/>
      </c>
      <c r="T246">
        <f>HYPERLINK("https://klasma.github.io/Logging_2309/kartor/A 31910-2019 karta.png", "A 31910-2019")</f>
        <v/>
      </c>
      <c r="V246">
        <f>HYPERLINK("https://klasma.github.io/Logging_2309/klagomål/A 31910-2019 FSC-klagomål.docx", "A 31910-2019")</f>
        <v/>
      </c>
      <c r="W246">
        <f>HYPERLINK("https://klasma.github.io/Logging_2309/klagomålsmail/A 31910-2019 FSC-klagomål mail.docx", "A 31910-2019")</f>
        <v/>
      </c>
      <c r="X246">
        <f>HYPERLINK("https://klasma.github.io/Logging_2309/tillsyn/A 31910-2019 tillsynsbegäran.docx", "A 31910-2019")</f>
        <v/>
      </c>
      <c r="Y246">
        <f>HYPERLINK("https://klasma.github.io/Logging_2309/tillsynsmail/A 31910-2019 tillsynsbegäran mail.docx", "A 31910-2019")</f>
        <v/>
      </c>
    </row>
    <row r="247" ht="15" customHeight="1">
      <c r="A247" t="inlineStr">
        <is>
          <t>A 42629-2019</t>
        </is>
      </c>
      <c r="B247" s="1" t="n">
        <v>43704</v>
      </c>
      <c r="C247" s="1" t="n">
        <v>45734</v>
      </c>
      <c r="D247" t="inlineStr">
        <is>
          <t>JÄMTLANDS LÄN</t>
        </is>
      </c>
      <c r="E247" t="inlineStr">
        <is>
          <t>KROKOM</t>
        </is>
      </c>
      <c r="G247" t="n">
        <v>7.5</v>
      </c>
      <c r="H247" t="n">
        <v>0</v>
      </c>
      <c r="I247" t="n">
        <v>0</v>
      </c>
      <c r="J247" t="n">
        <v>1</v>
      </c>
      <c r="K247" t="n">
        <v>0</v>
      </c>
      <c r="L247" t="n">
        <v>0</v>
      </c>
      <c r="M247" t="n">
        <v>0</v>
      </c>
      <c r="N247" t="n">
        <v>0</v>
      </c>
      <c r="O247" t="n">
        <v>1</v>
      </c>
      <c r="P247" t="n">
        <v>0</v>
      </c>
      <c r="Q247" t="n">
        <v>1</v>
      </c>
      <c r="R247" s="2" t="inlineStr">
        <is>
          <t>Brunklöver</t>
        </is>
      </c>
      <c r="S247">
        <f>HYPERLINK("https://klasma.github.io/Logging_2309/artfynd/A 42629-2019 artfynd.xlsx", "A 42629-2019")</f>
        <v/>
      </c>
      <c r="T247">
        <f>HYPERLINK("https://klasma.github.io/Logging_2309/kartor/A 42629-2019 karta.png", "A 42629-2019")</f>
        <v/>
      </c>
      <c r="V247">
        <f>HYPERLINK("https://klasma.github.io/Logging_2309/klagomål/A 42629-2019 FSC-klagomål.docx", "A 42629-2019")</f>
        <v/>
      </c>
      <c r="W247">
        <f>HYPERLINK("https://klasma.github.io/Logging_2309/klagomålsmail/A 42629-2019 FSC-klagomål mail.docx", "A 42629-2019")</f>
        <v/>
      </c>
      <c r="X247">
        <f>HYPERLINK("https://klasma.github.io/Logging_2309/tillsyn/A 42629-2019 tillsynsbegäran.docx", "A 42629-2019")</f>
        <v/>
      </c>
      <c r="Y247">
        <f>HYPERLINK("https://klasma.github.io/Logging_2309/tillsynsmail/A 42629-2019 tillsynsbegäran mail.docx", "A 42629-2019")</f>
        <v/>
      </c>
    </row>
    <row r="248" ht="15" customHeight="1">
      <c r="A248" t="inlineStr">
        <is>
          <t>A 50132-2019</t>
        </is>
      </c>
      <c r="B248" s="1" t="n">
        <v>43734</v>
      </c>
      <c r="C248" s="1" t="n">
        <v>45734</v>
      </c>
      <c r="D248" t="inlineStr">
        <is>
          <t>JÄMTLANDS LÄN</t>
        </is>
      </c>
      <c r="E248" t="inlineStr">
        <is>
          <t>KROKOM</t>
        </is>
      </c>
      <c r="G248" t="n">
        <v>1.8</v>
      </c>
      <c r="H248" t="n">
        <v>0</v>
      </c>
      <c r="I248" t="n">
        <v>0</v>
      </c>
      <c r="J248" t="n">
        <v>1</v>
      </c>
      <c r="K248" t="n">
        <v>0</v>
      </c>
      <c r="L248" t="n">
        <v>0</v>
      </c>
      <c r="M248" t="n">
        <v>0</v>
      </c>
      <c r="N248" t="n">
        <v>0</v>
      </c>
      <c r="O248" t="n">
        <v>1</v>
      </c>
      <c r="P248" t="n">
        <v>0</v>
      </c>
      <c r="Q248" t="n">
        <v>1</v>
      </c>
      <c r="R248" s="2" t="inlineStr">
        <is>
          <t>Vitgrynig nållav</t>
        </is>
      </c>
      <c r="S248">
        <f>HYPERLINK("https://klasma.github.io/Logging_2309/artfynd/A 50132-2019 artfynd.xlsx", "A 50132-2019")</f>
        <v/>
      </c>
      <c r="T248">
        <f>HYPERLINK("https://klasma.github.io/Logging_2309/kartor/A 50132-2019 karta.png", "A 50132-2019")</f>
        <v/>
      </c>
      <c r="V248">
        <f>HYPERLINK("https://klasma.github.io/Logging_2309/klagomål/A 50132-2019 FSC-klagomål.docx", "A 50132-2019")</f>
        <v/>
      </c>
      <c r="W248">
        <f>HYPERLINK("https://klasma.github.io/Logging_2309/klagomålsmail/A 50132-2019 FSC-klagomål mail.docx", "A 50132-2019")</f>
        <v/>
      </c>
      <c r="X248">
        <f>HYPERLINK("https://klasma.github.io/Logging_2309/tillsyn/A 50132-2019 tillsynsbegäran.docx", "A 50132-2019")</f>
        <v/>
      </c>
      <c r="Y248">
        <f>HYPERLINK("https://klasma.github.io/Logging_2309/tillsynsmail/A 50132-2019 tillsynsbegäran mail.docx", "A 50132-2019")</f>
        <v/>
      </c>
    </row>
    <row r="249" ht="15" customHeight="1">
      <c r="A249" t="inlineStr">
        <is>
          <t>A 52462-2019</t>
        </is>
      </c>
      <c r="B249" s="1" t="n">
        <v>43735</v>
      </c>
      <c r="C249" s="1" t="n">
        <v>45734</v>
      </c>
      <c r="D249" t="inlineStr">
        <is>
          <t>JÄMTLANDS LÄN</t>
        </is>
      </c>
      <c r="E249" t="inlineStr">
        <is>
          <t>KROKOM</t>
        </is>
      </c>
      <c r="G249" t="n">
        <v>2.4</v>
      </c>
      <c r="H249" t="n">
        <v>1</v>
      </c>
      <c r="I249" t="n">
        <v>0</v>
      </c>
      <c r="J249" t="n">
        <v>0</v>
      </c>
      <c r="K249" t="n">
        <v>0</v>
      </c>
      <c r="L249" t="n">
        <v>0</v>
      </c>
      <c r="M249" t="n">
        <v>0</v>
      </c>
      <c r="N249" t="n">
        <v>0</v>
      </c>
      <c r="O249" t="n">
        <v>0</v>
      </c>
      <c r="P249" t="n">
        <v>0</v>
      </c>
      <c r="Q249" t="n">
        <v>1</v>
      </c>
      <c r="R249" s="2" t="inlineStr">
        <is>
          <t>Hökuggla</t>
        </is>
      </c>
      <c r="S249">
        <f>HYPERLINK("https://klasma.github.io/Logging_2309/artfynd/A 52462-2019 artfynd.xlsx", "A 52462-2019")</f>
        <v/>
      </c>
      <c r="T249">
        <f>HYPERLINK("https://klasma.github.io/Logging_2309/kartor/A 52462-2019 karta.png", "A 52462-2019")</f>
        <v/>
      </c>
      <c r="V249">
        <f>HYPERLINK("https://klasma.github.io/Logging_2309/klagomål/A 52462-2019 FSC-klagomål.docx", "A 52462-2019")</f>
        <v/>
      </c>
      <c r="W249">
        <f>HYPERLINK("https://klasma.github.io/Logging_2309/klagomålsmail/A 52462-2019 FSC-klagomål mail.docx", "A 52462-2019")</f>
        <v/>
      </c>
      <c r="X249">
        <f>HYPERLINK("https://klasma.github.io/Logging_2309/tillsyn/A 52462-2019 tillsynsbegäran.docx", "A 52462-2019")</f>
        <v/>
      </c>
      <c r="Y249">
        <f>HYPERLINK("https://klasma.github.io/Logging_2309/tillsynsmail/A 52462-2019 tillsynsbegäran mail.docx", "A 52462-2019")</f>
        <v/>
      </c>
      <c r="Z249">
        <f>HYPERLINK("https://klasma.github.io/Logging_2309/fåglar/A 52462-2019 prioriterade fågelarter.docx", "A 52462-2019")</f>
        <v/>
      </c>
    </row>
    <row r="250" ht="15" customHeight="1">
      <c r="A250" t="inlineStr">
        <is>
          <t>A 61347-2019</t>
        </is>
      </c>
      <c r="B250" s="1" t="n">
        <v>43783</v>
      </c>
      <c r="C250" s="1" t="n">
        <v>45734</v>
      </c>
      <c r="D250" t="inlineStr">
        <is>
          <t>JÄMTLANDS LÄN</t>
        </is>
      </c>
      <c r="E250" t="inlineStr">
        <is>
          <t>KROKOM</t>
        </is>
      </c>
      <c r="F250" t="inlineStr">
        <is>
          <t>Allmännings- och besparingsskogar</t>
        </is>
      </c>
      <c r="G250" t="n">
        <v>20.7</v>
      </c>
      <c r="H250" t="n">
        <v>1</v>
      </c>
      <c r="I250" t="n">
        <v>0</v>
      </c>
      <c r="J250" t="n">
        <v>0</v>
      </c>
      <c r="K250" t="n">
        <v>1</v>
      </c>
      <c r="L250" t="n">
        <v>0</v>
      </c>
      <c r="M250" t="n">
        <v>0</v>
      </c>
      <c r="N250" t="n">
        <v>0</v>
      </c>
      <c r="O250" t="n">
        <v>1</v>
      </c>
      <c r="P250" t="n">
        <v>1</v>
      </c>
      <c r="Q250" t="n">
        <v>1</v>
      </c>
      <c r="R250" s="2" t="inlineStr">
        <is>
          <t>Knärot</t>
        </is>
      </c>
      <c r="S250">
        <f>HYPERLINK("https://klasma.github.io/Logging_2309/artfynd/A 61347-2019 artfynd.xlsx", "A 61347-2019")</f>
        <v/>
      </c>
      <c r="T250">
        <f>HYPERLINK("https://klasma.github.io/Logging_2309/kartor/A 61347-2019 karta.png", "A 61347-2019")</f>
        <v/>
      </c>
      <c r="U250">
        <f>HYPERLINK("https://klasma.github.io/Logging_2309/knärot/A 61347-2019 karta knärot.png", "A 61347-2019")</f>
        <v/>
      </c>
      <c r="V250">
        <f>HYPERLINK("https://klasma.github.io/Logging_2309/klagomål/A 61347-2019 FSC-klagomål.docx", "A 61347-2019")</f>
        <v/>
      </c>
      <c r="W250">
        <f>HYPERLINK("https://klasma.github.io/Logging_2309/klagomålsmail/A 61347-2019 FSC-klagomål mail.docx", "A 61347-2019")</f>
        <v/>
      </c>
      <c r="X250">
        <f>HYPERLINK("https://klasma.github.io/Logging_2309/tillsyn/A 61347-2019 tillsynsbegäran.docx", "A 61347-2019")</f>
        <v/>
      </c>
      <c r="Y250">
        <f>HYPERLINK("https://klasma.github.io/Logging_2309/tillsynsmail/A 61347-2019 tillsynsbegäran mail.docx", "A 61347-2019")</f>
        <v/>
      </c>
    </row>
    <row r="251" ht="15" customHeight="1">
      <c r="A251" t="inlineStr">
        <is>
          <t>A 67827-2019</t>
        </is>
      </c>
      <c r="B251" s="1" t="n">
        <v>43815</v>
      </c>
      <c r="C251" s="1" t="n">
        <v>45734</v>
      </c>
      <c r="D251" t="inlineStr">
        <is>
          <t>JÄMTLANDS LÄN</t>
        </is>
      </c>
      <c r="E251" t="inlineStr">
        <is>
          <t>KROKOM</t>
        </is>
      </c>
      <c r="F251" t="inlineStr">
        <is>
          <t>SCA</t>
        </is>
      </c>
      <c r="G251" t="n">
        <v>2.9</v>
      </c>
      <c r="H251" t="n">
        <v>0</v>
      </c>
      <c r="I251" t="n">
        <v>0</v>
      </c>
      <c r="J251" t="n">
        <v>1</v>
      </c>
      <c r="K251" t="n">
        <v>0</v>
      </c>
      <c r="L251" t="n">
        <v>0</v>
      </c>
      <c r="M251" t="n">
        <v>0</v>
      </c>
      <c r="N251" t="n">
        <v>0</v>
      </c>
      <c r="O251" t="n">
        <v>1</v>
      </c>
      <c r="P251" t="n">
        <v>0</v>
      </c>
      <c r="Q251" t="n">
        <v>1</v>
      </c>
      <c r="R251" s="2" t="inlineStr">
        <is>
          <t>Garnlav</t>
        </is>
      </c>
      <c r="S251">
        <f>HYPERLINK("https://klasma.github.io/Logging_2309/artfynd/A 67827-2019 artfynd.xlsx", "A 67827-2019")</f>
        <v/>
      </c>
      <c r="T251">
        <f>HYPERLINK("https://klasma.github.io/Logging_2309/kartor/A 67827-2019 karta.png", "A 67827-2019")</f>
        <v/>
      </c>
      <c r="V251">
        <f>HYPERLINK("https://klasma.github.io/Logging_2309/klagomål/A 67827-2019 FSC-klagomål.docx", "A 67827-2019")</f>
        <v/>
      </c>
      <c r="W251">
        <f>HYPERLINK("https://klasma.github.io/Logging_2309/klagomålsmail/A 67827-2019 FSC-klagomål mail.docx", "A 67827-2019")</f>
        <v/>
      </c>
      <c r="X251">
        <f>HYPERLINK("https://klasma.github.io/Logging_2309/tillsyn/A 67827-2019 tillsynsbegäran.docx", "A 67827-2019")</f>
        <v/>
      </c>
      <c r="Y251">
        <f>HYPERLINK("https://klasma.github.io/Logging_2309/tillsynsmail/A 67827-2019 tillsynsbegäran mail.docx", "A 67827-2019")</f>
        <v/>
      </c>
    </row>
    <row r="252" ht="15" customHeight="1">
      <c r="A252" t="inlineStr">
        <is>
          <t>A 4626-2020</t>
        </is>
      </c>
      <c r="B252" s="1" t="n">
        <v>43858</v>
      </c>
      <c r="C252" s="1" t="n">
        <v>45734</v>
      </c>
      <c r="D252" t="inlineStr">
        <is>
          <t>JÄMTLANDS LÄN</t>
        </is>
      </c>
      <c r="E252" t="inlineStr">
        <is>
          <t>KROKOM</t>
        </is>
      </c>
      <c r="G252" t="n">
        <v>12.2</v>
      </c>
      <c r="H252" t="n">
        <v>0</v>
      </c>
      <c r="I252" t="n">
        <v>0</v>
      </c>
      <c r="J252" t="n">
        <v>1</v>
      </c>
      <c r="K252" t="n">
        <v>0</v>
      </c>
      <c r="L252" t="n">
        <v>0</v>
      </c>
      <c r="M252" t="n">
        <v>0</v>
      </c>
      <c r="N252" t="n">
        <v>0</v>
      </c>
      <c r="O252" t="n">
        <v>1</v>
      </c>
      <c r="P252" t="n">
        <v>0</v>
      </c>
      <c r="Q252" t="n">
        <v>1</v>
      </c>
      <c r="R252" s="2" t="inlineStr">
        <is>
          <t>Gränsticka</t>
        </is>
      </c>
      <c r="S252">
        <f>HYPERLINK("https://klasma.github.io/Logging_2309/artfynd/A 4626-2020 artfynd.xlsx", "A 4626-2020")</f>
        <v/>
      </c>
      <c r="T252">
        <f>HYPERLINK("https://klasma.github.io/Logging_2309/kartor/A 4626-2020 karta.png", "A 4626-2020")</f>
        <v/>
      </c>
      <c r="V252">
        <f>HYPERLINK("https://klasma.github.io/Logging_2309/klagomål/A 4626-2020 FSC-klagomål.docx", "A 4626-2020")</f>
        <v/>
      </c>
      <c r="W252">
        <f>HYPERLINK("https://klasma.github.io/Logging_2309/klagomålsmail/A 4626-2020 FSC-klagomål mail.docx", "A 4626-2020")</f>
        <v/>
      </c>
      <c r="X252">
        <f>HYPERLINK("https://klasma.github.io/Logging_2309/tillsyn/A 4626-2020 tillsynsbegäran.docx", "A 4626-2020")</f>
        <v/>
      </c>
      <c r="Y252">
        <f>HYPERLINK("https://klasma.github.io/Logging_2309/tillsynsmail/A 4626-2020 tillsynsbegäran mail.docx", "A 4626-2020")</f>
        <v/>
      </c>
    </row>
    <row r="253" ht="15" customHeight="1">
      <c r="A253" t="inlineStr">
        <is>
          <t>A 7950-2020</t>
        </is>
      </c>
      <c r="B253" s="1" t="n">
        <v>43873</v>
      </c>
      <c r="C253" s="1" t="n">
        <v>45734</v>
      </c>
      <c r="D253" t="inlineStr">
        <is>
          <t>JÄMTLANDS LÄN</t>
        </is>
      </c>
      <c r="E253" t="inlineStr">
        <is>
          <t>KROKOM</t>
        </is>
      </c>
      <c r="G253" t="n">
        <v>0.2</v>
      </c>
      <c r="H253" t="n">
        <v>0</v>
      </c>
      <c r="I253" t="n">
        <v>0</v>
      </c>
      <c r="J253" t="n">
        <v>1</v>
      </c>
      <c r="K253" t="n">
        <v>0</v>
      </c>
      <c r="L253" t="n">
        <v>0</v>
      </c>
      <c r="M253" t="n">
        <v>0</v>
      </c>
      <c r="N253" t="n">
        <v>0</v>
      </c>
      <c r="O253" t="n">
        <v>1</v>
      </c>
      <c r="P253" t="n">
        <v>0</v>
      </c>
      <c r="Q253" t="n">
        <v>1</v>
      </c>
      <c r="R253" s="2" t="inlineStr">
        <is>
          <t>Månlåsbräken</t>
        </is>
      </c>
      <c r="S253">
        <f>HYPERLINK("https://klasma.github.io/Logging_2309/artfynd/A 7950-2020 artfynd.xlsx", "A 7950-2020")</f>
        <v/>
      </c>
      <c r="T253">
        <f>HYPERLINK("https://klasma.github.io/Logging_2309/kartor/A 7950-2020 karta.png", "A 7950-2020")</f>
        <v/>
      </c>
      <c r="V253">
        <f>HYPERLINK("https://klasma.github.io/Logging_2309/klagomål/A 7950-2020 FSC-klagomål.docx", "A 7950-2020")</f>
        <v/>
      </c>
      <c r="W253">
        <f>HYPERLINK("https://klasma.github.io/Logging_2309/klagomålsmail/A 7950-2020 FSC-klagomål mail.docx", "A 7950-2020")</f>
        <v/>
      </c>
      <c r="X253">
        <f>HYPERLINK("https://klasma.github.io/Logging_2309/tillsyn/A 7950-2020 tillsynsbegäran.docx", "A 7950-2020")</f>
        <v/>
      </c>
      <c r="Y253">
        <f>HYPERLINK("https://klasma.github.io/Logging_2309/tillsynsmail/A 7950-2020 tillsynsbegäran mail.docx", "A 7950-2020")</f>
        <v/>
      </c>
    </row>
    <row r="254" ht="15" customHeight="1">
      <c r="A254" t="inlineStr">
        <is>
          <t>A 8934-2020</t>
        </is>
      </c>
      <c r="B254" s="1" t="n">
        <v>43878</v>
      </c>
      <c r="C254" s="1" t="n">
        <v>45734</v>
      </c>
      <c r="D254" t="inlineStr">
        <is>
          <t>JÄMTLANDS LÄN</t>
        </is>
      </c>
      <c r="E254" t="inlineStr">
        <is>
          <t>KROKOM</t>
        </is>
      </c>
      <c r="F254" t="inlineStr">
        <is>
          <t>SCA</t>
        </is>
      </c>
      <c r="G254" t="n">
        <v>2.5</v>
      </c>
      <c r="H254" t="n">
        <v>0</v>
      </c>
      <c r="I254" t="n">
        <v>0</v>
      </c>
      <c r="J254" t="n">
        <v>1</v>
      </c>
      <c r="K254" t="n">
        <v>0</v>
      </c>
      <c r="L254" t="n">
        <v>0</v>
      </c>
      <c r="M254" t="n">
        <v>0</v>
      </c>
      <c r="N254" t="n">
        <v>0</v>
      </c>
      <c r="O254" t="n">
        <v>1</v>
      </c>
      <c r="P254" t="n">
        <v>0</v>
      </c>
      <c r="Q254" t="n">
        <v>1</v>
      </c>
      <c r="R254" s="2" t="inlineStr">
        <is>
          <t>Doftskinn</t>
        </is>
      </c>
      <c r="S254">
        <f>HYPERLINK("https://klasma.github.io/Logging_2309/artfynd/A 8934-2020 artfynd.xlsx", "A 8934-2020")</f>
        <v/>
      </c>
      <c r="T254">
        <f>HYPERLINK("https://klasma.github.io/Logging_2309/kartor/A 8934-2020 karta.png", "A 8934-2020")</f>
        <v/>
      </c>
      <c r="V254">
        <f>HYPERLINK("https://klasma.github.io/Logging_2309/klagomål/A 8934-2020 FSC-klagomål.docx", "A 8934-2020")</f>
        <v/>
      </c>
      <c r="W254">
        <f>HYPERLINK("https://klasma.github.io/Logging_2309/klagomålsmail/A 8934-2020 FSC-klagomål mail.docx", "A 8934-2020")</f>
        <v/>
      </c>
      <c r="X254">
        <f>HYPERLINK("https://klasma.github.io/Logging_2309/tillsyn/A 8934-2020 tillsynsbegäran.docx", "A 8934-2020")</f>
        <v/>
      </c>
      <c r="Y254">
        <f>HYPERLINK("https://klasma.github.io/Logging_2309/tillsynsmail/A 8934-2020 tillsynsbegäran mail.docx", "A 8934-2020")</f>
        <v/>
      </c>
    </row>
    <row r="255" ht="15" customHeight="1">
      <c r="A255" t="inlineStr">
        <is>
          <t>A 14281-2020</t>
        </is>
      </c>
      <c r="B255" s="1" t="n">
        <v>43907</v>
      </c>
      <c r="C255" s="1" t="n">
        <v>45734</v>
      </c>
      <c r="D255" t="inlineStr">
        <is>
          <t>JÄMTLANDS LÄN</t>
        </is>
      </c>
      <c r="E255" t="inlineStr">
        <is>
          <t>KROKOM</t>
        </is>
      </c>
      <c r="G255" t="n">
        <v>31.3</v>
      </c>
      <c r="H255" t="n">
        <v>1</v>
      </c>
      <c r="I255" t="n">
        <v>1</v>
      </c>
      <c r="J255" t="n">
        <v>0</v>
      </c>
      <c r="K255" t="n">
        <v>0</v>
      </c>
      <c r="L255" t="n">
        <v>0</v>
      </c>
      <c r="M255" t="n">
        <v>0</v>
      </c>
      <c r="N255" t="n">
        <v>0</v>
      </c>
      <c r="O255" t="n">
        <v>0</v>
      </c>
      <c r="P255" t="n">
        <v>0</v>
      </c>
      <c r="Q255" t="n">
        <v>1</v>
      </c>
      <c r="R255" s="2" t="inlineStr">
        <is>
          <t>Tvåblad</t>
        </is>
      </c>
      <c r="S255">
        <f>HYPERLINK("https://klasma.github.io/Logging_2309/artfynd/A 14281-2020 artfynd.xlsx", "A 14281-2020")</f>
        <v/>
      </c>
      <c r="T255">
        <f>HYPERLINK("https://klasma.github.io/Logging_2309/kartor/A 14281-2020 karta.png", "A 14281-2020")</f>
        <v/>
      </c>
      <c r="V255">
        <f>HYPERLINK("https://klasma.github.io/Logging_2309/klagomål/A 14281-2020 FSC-klagomål.docx", "A 14281-2020")</f>
        <v/>
      </c>
      <c r="W255">
        <f>HYPERLINK("https://klasma.github.io/Logging_2309/klagomålsmail/A 14281-2020 FSC-klagomål mail.docx", "A 14281-2020")</f>
        <v/>
      </c>
      <c r="X255">
        <f>HYPERLINK("https://klasma.github.io/Logging_2309/tillsyn/A 14281-2020 tillsynsbegäran.docx", "A 14281-2020")</f>
        <v/>
      </c>
      <c r="Y255">
        <f>HYPERLINK("https://klasma.github.io/Logging_2309/tillsynsmail/A 14281-2020 tillsynsbegäran mail.docx", "A 14281-2020")</f>
        <v/>
      </c>
    </row>
    <row r="256" ht="15" customHeight="1">
      <c r="A256" t="inlineStr">
        <is>
          <t>A 18776-2020</t>
        </is>
      </c>
      <c r="B256" s="1" t="n">
        <v>43930</v>
      </c>
      <c r="C256" s="1" t="n">
        <v>45734</v>
      </c>
      <c r="D256" t="inlineStr">
        <is>
          <t>JÄMTLANDS LÄN</t>
        </is>
      </c>
      <c r="E256" t="inlineStr">
        <is>
          <t>KROKOM</t>
        </is>
      </c>
      <c r="G256" t="n">
        <v>5.3</v>
      </c>
      <c r="H256" t="n">
        <v>1</v>
      </c>
      <c r="I256" t="n">
        <v>0</v>
      </c>
      <c r="J256" t="n">
        <v>0</v>
      </c>
      <c r="K256" t="n">
        <v>0</v>
      </c>
      <c r="L256" t="n">
        <v>1</v>
      </c>
      <c r="M256" t="n">
        <v>0</v>
      </c>
      <c r="N256" t="n">
        <v>0</v>
      </c>
      <c r="O256" t="n">
        <v>1</v>
      </c>
      <c r="P256" t="n">
        <v>1</v>
      </c>
      <c r="Q256" t="n">
        <v>1</v>
      </c>
      <c r="R256" s="2" t="inlineStr">
        <is>
          <t>Bredgentiana</t>
        </is>
      </c>
      <c r="S256">
        <f>HYPERLINK("https://klasma.github.io/Logging_2309/artfynd/A 18776-2020 artfynd.xlsx", "A 18776-2020")</f>
        <v/>
      </c>
      <c r="T256">
        <f>HYPERLINK("https://klasma.github.io/Logging_2309/kartor/A 18776-2020 karta.png", "A 18776-2020")</f>
        <v/>
      </c>
      <c r="V256">
        <f>HYPERLINK("https://klasma.github.io/Logging_2309/klagomål/A 18776-2020 FSC-klagomål.docx", "A 18776-2020")</f>
        <v/>
      </c>
      <c r="W256">
        <f>HYPERLINK("https://klasma.github.io/Logging_2309/klagomålsmail/A 18776-2020 FSC-klagomål mail.docx", "A 18776-2020")</f>
        <v/>
      </c>
      <c r="X256">
        <f>HYPERLINK("https://klasma.github.io/Logging_2309/tillsyn/A 18776-2020 tillsynsbegäran.docx", "A 18776-2020")</f>
        <v/>
      </c>
      <c r="Y256">
        <f>HYPERLINK("https://klasma.github.io/Logging_2309/tillsynsmail/A 18776-2020 tillsynsbegäran mail.docx", "A 18776-2020")</f>
        <v/>
      </c>
    </row>
    <row r="257" ht="15" customHeight="1">
      <c r="A257" t="inlineStr">
        <is>
          <t>A 19777-2020</t>
        </is>
      </c>
      <c r="B257" s="1" t="n">
        <v>43942</v>
      </c>
      <c r="C257" s="1" t="n">
        <v>45734</v>
      </c>
      <c r="D257" t="inlineStr">
        <is>
          <t>JÄMTLANDS LÄN</t>
        </is>
      </c>
      <c r="E257" t="inlineStr">
        <is>
          <t>KROKOM</t>
        </is>
      </c>
      <c r="F257" t="inlineStr">
        <is>
          <t>Kyrkan</t>
        </is>
      </c>
      <c r="G257" t="n">
        <v>2.6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19777-2020 artfynd.xlsx", "A 19777-2020")</f>
        <v/>
      </c>
      <c r="T257">
        <f>HYPERLINK("https://klasma.github.io/Logging_2309/kartor/A 19777-2020 karta.png", "A 19777-2020")</f>
        <v/>
      </c>
      <c r="V257">
        <f>HYPERLINK("https://klasma.github.io/Logging_2309/klagomål/A 19777-2020 FSC-klagomål.docx", "A 19777-2020")</f>
        <v/>
      </c>
      <c r="W257">
        <f>HYPERLINK("https://klasma.github.io/Logging_2309/klagomålsmail/A 19777-2020 FSC-klagomål mail.docx", "A 19777-2020")</f>
        <v/>
      </c>
      <c r="X257">
        <f>HYPERLINK("https://klasma.github.io/Logging_2309/tillsyn/A 19777-2020 tillsynsbegäran.docx", "A 19777-2020")</f>
        <v/>
      </c>
      <c r="Y257">
        <f>HYPERLINK("https://klasma.github.io/Logging_2309/tillsynsmail/A 19777-2020 tillsynsbegäran mail.docx", "A 19777-2020")</f>
        <v/>
      </c>
      <c r="Z257">
        <f>HYPERLINK("https://klasma.github.io/Logging_2309/fåglar/A 19777-2020 prioriterade fågelarter.docx", "A 19777-2020")</f>
        <v/>
      </c>
    </row>
    <row r="258" ht="15" customHeight="1">
      <c r="A258" t="inlineStr">
        <is>
          <t>A 21547-2020</t>
        </is>
      </c>
      <c r="B258" s="1" t="n">
        <v>43956</v>
      </c>
      <c r="C258" s="1" t="n">
        <v>45734</v>
      </c>
      <c r="D258" t="inlineStr">
        <is>
          <t>JÄMTLANDS LÄN</t>
        </is>
      </c>
      <c r="E258" t="inlineStr">
        <is>
          <t>KROKOM</t>
        </is>
      </c>
      <c r="G258" t="n">
        <v>18.4</v>
      </c>
      <c r="H258" t="n">
        <v>0</v>
      </c>
      <c r="I258" t="n">
        <v>0</v>
      </c>
      <c r="J258" t="n">
        <v>1</v>
      </c>
      <c r="K258" t="n">
        <v>0</v>
      </c>
      <c r="L258" t="n">
        <v>0</v>
      </c>
      <c r="M258" t="n">
        <v>0</v>
      </c>
      <c r="N258" t="n">
        <v>0</v>
      </c>
      <c r="O258" t="n">
        <v>1</v>
      </c>
      <c r="P258" t="n">
        <v>0</v>
      </c>
      <c r="Q258" t="n">
        <v>1</v>
      </c>
      <c r="R258" s="2" t="inlineStr">
        <is>
          <t>Gränsticka</t>
        </is>
      </c>
      <c r="S258">
        <f>HYPERLINK("https://klasma.github.io/Logging_2309/artfynd/A 21547-2020 artfynd.xlsx", "A 21547-2020")</f>
        <v/>
      </c>
      <c r="T258">
        <f>HYPERLINK("https://klasma.github.io/Logging_2309/kartor/A 21547-2020 karta.png", "A 21547-2020")</f>
        <v/>
      </c>
      <c r="V258">
        <f>HYPERLINK("https://klasma.github.io/Logging_2309/klagomål/A 21547-2020 FSC-klagomål.docx", "A 21547-2020")</f>
        <v/>
      </c>
      <c r="W258">
        <f>HYPERLINK("https://klasma.github.io/Logging_2309/klagomålsmail/A 21547-2020 FSC-klagomål mail.docx", "A 21547-2020")</f>
        <v/>
      </c>
      <c r="X258">
        <f>HYPERLINK("https://klasma.github.io/Logging_2309/tillsyn/A 21547-2020 tillsynsbegäran.docx", "A 21547-2020")</f>
        <v/>
      </c>
      <c r="Y258">
        <f>HYPERLINK("https://klasma.github.io/Logging_2309/tillsynsmail/A 21547-2020 tillsynsbegäran mail.docx", "A 21547-2020")</f>
        <v/>
      </c>
    </row>
    <row r="259" ht="15" customHeight="1">
      <c r="A259" t="inlineStr">
        <is>
          <t>A 39569-2020</t>
        </is>
      </c>
      <c r="B259" s="1" t="n">
        <v>44064</v>
      </c>
      <c r="C259" s="1" t="n">
        <v>45734</v>
      </c>
      <c r="D259" t="inlineStr">
        <is>
          <t>JÄMTLANDS LÄN</t>
        </is>
      </c>
      <c r="E259" t="inlineStr">
        <is>
          <t>KROKOM</t>
        </is>
      </c>
      <c r="G259" t="n">
        <v>1.4</v>
      </c>
      <c r="H259" t="n">
        <v>0</v>
      </c>
      <c r="I259" t="n">
        <v>0</v>
      </c>
      <c r="J259" t="n">
        <v>1</v>
      </c>
      <c r="K259" t="n">
        <v>0</v>
      </c>
      <c r="L259" t="n">
        <v>0</v>
      </c>
      <c r="M259" t="n">
        <v>0</v>
      </c>
      <c r="N259" t="n">
        <v>0</v>
      </c>
      <c r="O259" t="n">
        <v>1</v>
      </c>
      <c r="P259" t="n">
        <v>0</v>
      </c>
      <c r="Q259" t="n">
        <v>1</v>
      </c>
      <c r="R259" s="2" t="inlineStr">
        <is>
          <t>Gränsticka</t>
        </is>
      </c>
      <c r="S259">
        <f>HYPERLINK("https://klasma.github.io/Logging_2309/artfynd/A 39569-2020 artfynd.xlsx", "A 39569-2020")</f>
        <v/>
      </c>
      <c r="T259">
        <f>HYPERLINK("https://klasma.github.io/Logging_2309/kartor/A 39569-2020 karta.png", "A 39569-2020")</f>
        <v/>
      </c>
      <c r="V259">
        <f>HYPERLINK("https://klasma.github.io/Logging_2309/klagomål/A 39569-2020 FSC-klagomål.docx", "A 39569-2020")</f>
        <v/>
      </c>
      <c r="W259">
        <f>HYPERLINK("https://klasma.github.io/Logging_2309/klagomålsmail/A 39569-2020 FSC-klagomål mail.docx", "A 39569-2020")</f>
        <v/>
      </c>
      <c r="X259">
        <f>HYPERLINK("https://klasma.github.io/Logging_2309/tillsyn/A 39569-2020 tillsynsbegäran.docx", "A 39569-2020")</f>
        <v/>
      </c>
      <c r="Y259">
        <f>HYPERLINK("https://klasma.github.io/Logging_2309/tillsynsmail/A 39569-2020 tillsynsbegäran mail.docx", "A 39569-2020")</f>
        <v/>
      </c>
    </row>
    <row r="260" ht="15" customHeight="1">
      <c r="A260" t="inlineStr">
        <is>
          <t>A 42493-2020</t>
        </is>
      </c>
      <c r="B260" s="1" t="n">
        <v>44075</v>
      </c>
      <c r="C260" s="1" t="n">
        <v>45734</v>
      </c>
      <c r="D260" t="inlineStr">
        <is>
          <t>JÄMTLANDS LÄN</t>
        </is>
      </c>
      <c r="E260" t="inlineStr">
        <is>
          <t>KROKOM</t>
        </is>
      </c>
      <c r="G260" t="n">
        <v>20.6</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42493-2020 artfynd.xlsx", "A 42493-2020")</f>
        <v/>
      </c>
      <c r="T260">
        <f>HYPERLINK("https://klasma.github.io/Logging_2309/kartor/A 42493-2020 karta.png", "A 42493-2020")</f>
        <v/>
      </c>
      <c r="V260">
        <f>HYPERLINK("https://klasma.github.io/Logging_2309/klagomål/A 42493-2020 FSC-klagomål.docx", "A 42493-2020")</f>
        <v/>
      </c>
      <c r="W260">
        <f>HYPERLINK("https://klasma.github.io/Logging_2309/klagomålsmail/A 42493-2020 FSC-klagomål mail.docx", "A 42493-2020")</f>
        <v/>
      </c>
      <c r="X260">
        <f>HYPERLINK("https://klasma.github.io/Logging_2309/tillsyn/A 42493-2020 tillsynsbegäran.docx", "A 42493-2020")</f>
        <v/>
      </c>
      <c r="Y260">
        <f>HYPERLINK("https://klasma.github.io/Logging_2309/tillsynsmail/A 42493-2020 tillsynsbegäran mail.docx", "A 42493-2020")</f>
        <v/>
      </c>
      <c r="Z260">
        <f>HYPERLINK("https://klasma.github.io/Logging_2309/fåglar/A 42493-2020 prioriterade fågelarter.docx", "A 42493-2020")</f>
        <v/>
      </c>
    </row>
    <row r="261" ht="15" customHeight="1">
      <c r="A261" t="inlineStr">
        <is>
          <t>A 45626-2020</t>
        </is>
      </c>
      <c r="B261" s="1" t="n">
        <v>44090</v>
      </c>
      <c r="C261" s="1" t="n">
        <v>45734</v>
      </c>
      <c r="D261" t="inlineStr">
        <is>
          <t>JÄMTLANDS LÄN</t>
        </is>
      </c>
      <c r="E261" t="inlineStr">
        <is>
          <t>KROKOM</t>
        </is>
      </c>
      <c r="G261" t="n">
        <v>1</v>
      </c>
      <c r="H261" t="n">
        <v>0</v>
      </c>
      <c r="I261" t="n">
        <v>0</v>
      </c>
      <c r="J261" t="n">
        <v>1</v>
      </c>
      <c r="K261" t="n">
        <v>0</v>
      </c>
      <c r="L261" t="n">
        <v>0</v>
      </c>
      <c r="M261" t="n">
        <v>0</v>
      </c>
      <c r="N261" t="n">
        <v>0</v>
      </c>
      <c r="O261" t="n">
        <v>1</v>
      </c>
      <c r="P261" t="n">
        <v>0</v>
      </c>
      <c r="Q261" t="n">
        <v>1</v>
      </c>
      <c r="R261" s="2" t="inlineStr">
        <is>
          <t>Dofttaggsvamp</t>
        </is>
      </c>
      <c r="S261">
        <f>HYPERLINK("https://klasma.github.io/Logging_2309/artfynd/A 45626-2020 artfynd.xlsx", "A 45626-2020")</f>
        <v/>
      </c>
      <c r="T261">
        <f>HYPERLINK("https://klasma.github.io/Logging_2309/kartor/A 45626-2020 karta.png", "A 45626-2020")</f>
        <v/>
      </c>
      <c r="V261">
        <f>HYPERLINK("https://klasma.github.io/Logging_2309/klagomål/A 45626-2020 FSC-klagomål.docx", "A 45626-2020")</f>
        <v/>
      </c>
      <c r="W261">
        <f>HYPERLINK("https://klasma.github.io/Logging_2309/klagomålsmail/A 45626-2020 FSC-klagomål mail.docx", "A 45626-2020")</f>
        <v/>
      </c>
      <c r="X261">
        <f>HYPERLINK("https://klasma.github.io/Logging_2309/tillsyn/A 45626-2020 tillsynsbegäran.docx", "A 45626-2020")</f>
        <v/>
      </c>
      <c r="Y261">
        <f>HYPERLINK("https://klasma.github.io/Logging_2309/tillsynsmail/A 45626-2020 tillsynsbegäran mail.docx", "A 45626-2020")</f>
        <v/>
      </c>
    </row>
    <row r="262" ht="15" customHeight="1">
      <c r="A262" t="inlineStr">
        <is>
          <t>A 47459-2020</t>
        </is>
      </c>
      <c r="B262" s="1" t="n">
        <v>44097</v>
      </c>
      <c r="C262" s="1" t="n">
        <v>45734</v>
      </c>
      <c r="D262" t="inlineStr">
        <is>
          <t>JÄMTLANDS LÄN</t>
        </is>
      </c>
      <c r="E262" t="inlineStr">
        <is>
          <t>KROKOM</t>
        </is>
      </c>
      <c r="F262" t="inlineStr">
        <is>
          <t>SCA</t>
        </is>
      </c>
      <c r="G262" t="n">
        <v>1.7</v>
      </c>
      <c r="H262" t="n">
        <v>0</v>
      </c>
      <c r="I262" t="n">
        <v>0</v>
      </c>
      <c r="J262" t="n">
        <v>1</v>
      </c>
      <c r="K262" t="n">
        <v>0</v>
      </c>
      <c r="L262" t="n">
        <v>0</v>
      </c>
      <c r="M262" t="n">
        <v>0</v>
      </c>
      <c r="N262" t="n">
        <v>0</v>
      </c>
      <c r="O262" t="n">
        <v>1</v>
      </c>
      <c r="P262" t="n">
        <v>0</v>
      </c>
      <c r="Q262" t="n">
        <v>1</v>
      </c>
      <c r="R262" s="2" t="inlineStr">
        <is>
          <t>Skrovellav</t>
        </is>
      </c>
      <c r="S262">
        <f>HYPERLINK("https://klasma.github.io/Logging_2309/artfynd/A 47459-2020 artfynd.xlsx", "A 47459-2020")</f>
        <v/>
      </c>
      <c r="T262">
        <f>HYPERLINK("https://klasma.github.io/Logging_2309/kartor/A 47459-2020 karta.png", "A 47459-2020")</f>
        <v/>
      </c>
      <c r="V262">
        <f>HYPERLINK("https://klasma.github.io/Logging_2309/klagomål/A 47459-2020 FSC-klagomål.docx", "A 47459-2020")</f>
        <v/>
      </c>
      <c r="W262">
        <f>HYPERLINK("https://klasma.github.io/Logging_2309/klagomålsmail/A 47459-2020 FSC-klagomål mail.docx", "A 47459-2020")</f>
        <v/>
      </c>
      <c r="X262">
        <f>HYPERLINK("https://klasma.github.io/Logging_2309/tillsyn/A 47459-2020 tillsynsbegäran.docx", "A 47459-2020")</f>
        <v/>
      </c>
      <c r="Y262">
        <f>HYPERLINK("https://klasma.github.io/Logging_2309/tillsynsmail/A 47459-2020 tillsynsbegäran mail.docx", "A 47459-2020")</f>
        <v/>
      </c>
    </row>
    <row r="263" ht="15" customHeight="1">
      <c r="A263" t="inlineStr">
        <is>
          <t>A 48863-2020</t>
        </is>
      </c>
      <c r="B263" s="1" t="n">
        <v>44099</v>
      </c>
      <c r="C263" s="1" t="n">
        <v>45734</v>
      </c>
      <c r="D263" t="inlineStr">
        <is>
          <t>JÄMTLANDS LÄN</t>
        </is>
      </c>
      <c r="E263" t="inlineStr">
        <is>
          <t>KROKOM</t>
        </is>
      </c>
      <c r="F263" t="inlineStr">
        <is>
          <t>SCA</t>
        </is>
      </c>
      <c r="G263" t="n">
        <v>7.2</v>
      </c>
      <c r="H263" t="n">
        <v>0</v>
      </c>
      <c r="I263" t="n">
        <v>0</v>
      </c>
      <c r="J263" t="n">
        <v>0</v>
      </c>
      <c r="K263" t="n">
        <v>1</v>
      </c>
      <c r="L263" t="n">
        <v>0</v>
      </c>
      <c r="M263" t="n">
        <v>0</v>
      </c>
      <c r="N263" t="n">
        <v>0</v>
      </c>
      <c r="O263" t="n">
        <v>1</v>
      </c>
      <c r="P263" t="n">
        <v>1</v>
      </c>
      <c r="Q263" t="n">
        <v>1</v>
      </c>
      <c r="R263" s="2" t="inlineStr">
        <is>
          <t>Fläckporing</t>
        </is>
      </c>
      <c r="S263">
        <f>HYPERLINK("https://klasma.github.io/Logging_2309/artfynd/A 48863-2020 artfynd.xlsx", "A 48863-2020")</f>
        <v/>
      </c>
      <c r="T263">
        <f>HYPERLINK("https://klasma.github.io/Logging_2309/kartor/A 48863-2020 karta.png", "A 48863-2020")</f>
        <v/>
      </c>
      <c r="V263">
        <f>HYPERLINK("https://klasma.github.io/Logging_2309/klagomål/A 48863-2020 FSC-klagomål.docx", "A 48863-2020")</f>
        <v/>
      </c>
      <c r="W263">
        <f>HYPERLINK("https://klasma.github.io/Logging_2309/klagomålsmail/A 48863-2020 FSC-klagomål mail.docx", "A 48863-2020")</f>
        <v/>
      </c>
      <c r="X263">
        <f>HYPERLINK("https://klasma.github.io/Logging_2309/tillsyn/A 48863-2020 tillsynsbegäran.docx", "A 48863-2020")</f>
        <v/>
      </c>
      <c r="Y263">
        <f>HYPERLINK("https://klasma.github.io/Logging_2309/tillsynsmail/A 48863-2020 tillsynsbegäran mail.docx", "A 48863-2020")</f>
        <v/>
      </c>
    </row>
    <row r="264" ht="15" customHeight="1">
      <c r="A264" t="inlineStr">
        <is>
          <t>A 56202-2020</t>
        </is>
      </c>
      <c r="B264" s="1" t="n">
        <v>44133</v>
      </c>
      <c r="C264" s="1" t="n">
        <v>45734</v>
      </c>
      <c r="D264" t="inlineStr">
        <is>
          <t>JÄMTLANDS LÄN</t>
        </is>
      </c>
      <c r="E264" t="inlineStr">
        <is>
          <t>KROKOM</t>
        </is>
      </c>
      <c r="G264" t="n">
        <v>0.2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56202-2020 artfynd.xlsx", "A 56202-2020")</f>
        <v/>
      </c>
      <c r="T264">
        <f>HYPERLINK("https://klasma.github.io/Logging_2309/kartor/A 56202-2020 karta.png", "A 56202-2020")</f>
        <v/>
      </c>
      <c r="V264">
        <f>HYPERLINK("https://klasma.github.io/Logging_2309/klagomål/A 56202-2020 FSC-klagomål.docx", "A 56202-2020")</f>
        <v/>
      </c>
      <c r="W264">
        <f>HYPERLINK("https://klasma.github.io/Logging_2309/klagomålsmail/A 56202-2020 FSC-klagomål mail.docx", "A 56202-2020")</f>
        <v/>
      </c>
      <c r="X264">
        <f>HYPERLINK("https://klasma.github.io/Logging_2309/tillsyn/A 56202-2020 tillsynsbegäran.docx", "A 56202-2020")</f>
        <v/>
      </c>
      <c r="Y264">
        <f>HYPERLINK("https://klasma.github.io/Logging_2309/tillsynsmail/A 56202-2020 tillsynsbegäran mail.docx", "A 56202-2020")</f>
        <v/>
      </c>
      <c r="Z264">
        <f>HYPERLINK("https://klasma.github.io/Logging_2309/fåglar/A 56202-2020 prioriterade fågelarter.docx", "A 56202-2020")</f>
        <v/>
      </c>
    </row>
    <row r="265" ht="15" customHeight="1">
      <c r="A265" t="inlineStr">
        <is>
          <t>A 61054-2020</t>
        </is>
      </c>
      <c r="B265" s="1" t="n">
        <v>44154</v>
      </c>
      <c r="C265" s="1" t="n">
        <v>45734</v>
      </c>
      <c r="D265" t="inlineStr">
        <is>
          <t>JÄMTLANDS LÄN</t>
        </is>
      </c>
      <c r="E265" t="inlineStr">
        <is>
          <t>KROKOM</t>
        </is>
      </c>
      <c r="F265" t="inlineStr">
        <is>
          <t>Övriga Aktiebolag</t>
        </is>
      </c>
      <c r="G265" t="n">
        <v>1.2</v>
      </c>
      <c r="H265" t="n">
        <v>1</v>
      </c>
      <c r="I265" t="n">
        <v>1</v>
      </c>
      <c r="J265" t="n">
        <v>0</v>
      </c>
      <c r="K265" t="n">
        <v>0</v>
      </c>
      <c r="L265" t="n">
        <v>0</v>
      </c>
      <c r="M265" t="n">
        <v>0</v>
      </c>
      <c r="N265" t="n">
        <v>0</v>
      </c>
      <c r="O265" t="n">
        <v>0</v>
      </c>
      <c r="P265" t="n">
        <v>0</v>
      </c>
      <c r="Q265" t="n">
        <v>1</v>
      </c>
      <c r="R265" s="2" t="inlineStr">
        <is>
          <t>Korallrot</t>
        </is>
      </c>
      <c r="S265">
        <f>HYPERLINK("https://klasma.github.io/Logging_2309/artfynd/A 61054-2020 artfynd.xlsx", "A 61054-2020")</f>
        <v/>
      </c>
      <c r="T265">
        <f>HYPERLINK("https://klasma.github.io/Logging_2309/kartor/A 61054-2020 karta.png", "A 61054-2020")</f>
        <v/>
      </c>
      <c r="V265">
        <f>HYPERLINK("https://klasma.github.io/Logging_2309/klagomål/A 61054-2020 FSC-klagomål.docx", "A 61054-2020")</f>
        <v/>
      </c>
      <c r="W265">
        <f>HYPERLINK("https://klasma.github.io/Logging_2309/klagomålsmail/A 61054-2020 FSC-klagomål mail.docx", "A 61054-2020")</f>
        <v/>
      </c>
      <c r="X265">
        <f>HYPERLINK("https://klasma.github.io/Logging_2309/tillsyn/A 61054-2020 tillsynsbegäran.docx", "A 61054-2020")</f>
        <v/>
      </c>
      <c r="Y265">
        <f>HYPERLINK("https://klasma.github.io/Logging_2309/tillsynsmail/A 61054-2020 tillsynsbegäran mail.docx", "A 61054-2020")</f>
        <v/>
      </c>
    </row>
    <row r="266" ht="15" customHeight="1">
      <c r="A266" t="inlineStr">
        <is>
          <t>A 1112-2021</t>
        </is>
      </c>
      <c r="B266" s="1" t="n">
        <v>44207</v>
      </c>
      <c r="C266" s="1" t="n">
        <v>45734</v>
      </c>
      <c r="D266" t="inlineStr">
        <is>
          <t>JÄMTLANDS LÄN</t>
        </is>
      </c>
      <c r="E266" t="inlineStr">
        <is>
          <t>KROKOM</t>
        </is>
      </c>
      <c r="F266" t="inlineStr">
        <is>
          <t>Övriga Aktiebolag</t>
        </is>
      </c>
      <c r="G266" t="n">
        <v>90.7</v>
      </c>
      <c r="H266" t="n">
        <v>0</v>
      </c>
      <c r="I266" t="n">
        <v>1</v>
      </c>
      <c r="J266" t="n">
        <v>0</v>
      </c>
      <c r="K266" t="n">
        <v>0</v>
      </c>
      <c r="L266" t="n">
        <v>0</v>
      </c>
      <c r="M266" t="n">
        <v>0</v>
      </c>
      <c r="N266" t="n">
        <v>0</v>
      </c>
      <c r="O266" t="n">
        <v>0</v>
      </c>
      <c r="P266" t="n">
        <v>0</v>
      </c>
      <c r="Q266" t="n">
        <v>1</v>
      </c>
      <c r="R266" s="2" t="inlineStr">
        <is>
          <t>Kambräken</t>
        </is>
      </c>
      <c r="S266">
        <f>HYPERLINK("https://klasma.github.io/Logging_2309/artfynd/A 1112-2021 artfynd.xlsx", "A 1112-2021")</f>
        <v/>
      </c>
      <c r="T266">
        <f>HYPERLINK("https://klasma.github.io/Logging_2309/kartor/A 1112-2021 karta.png", "A 1112-2021")</f>
        <v/>
      </c>
      <c r="V266">
        <f>HYPERLINK("https://klasma.github.io/Logging_2309/klagomål/A 1112-2021 FSC-klagomål.docx", "A 1112-2021")</f>
        <v/>
      </c>
      <c r="W266">
        <f>HYPERLINK("https://klasma.github.io/Logging_2309/klagomålsmail/A 1112-2021 FSC-klagomål mail.docx", "A 1112-2021")</f>
        <v/>
      </c>
      <c r="X266">
        <f>HYPERLINK("https://klasma.github.io/Logging_2309/tillsyn/A 1112-2021 tillsynsbegäran.docx", "A 1112-2021")</f>
        <v/>
      </c>
      <c r="Y266">
        <f>HYPERLINK("https://klasma.github.io/Logging_2309/tillsynsmail/A 1112-2021 tillsynsbegäran mail.docx", "A 1112-2021")</f>
        <v/>
      </c>
    </row>
    <row r="267" ht="15" customHeight="1">
      <c r="A267" t="inlineStr">
        <is>
          <t>A 11780-2021</t>
        </is>
      </c>
      <c r="B267" s="1" t="n">
        <v>44265</v>
      </c>
      <c r="C267" s="1" t="n">
        <v>45734</v>
      </c>
      <c r="D267" t="inlineStr">
        <is>
          <t>JÄMTLANDS LÄN</t>
        </is>
      </c>
      <c r="E267" t="inlineStr">
        <is>
          <t>KROKOM</t>
        </is>
      </c>
      <c r="G267" t="n">
        <v>1.3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11780-2021 artfynd.xlsx", "A 11780-2021")</f>
        <v/>
      </c>
      <c r="T267">
        <f>HYPERLINK("https://klasma.github.io/Logging_2309/kartor/A 11780-2021 karta.png", "A 11780-2021")</f>
        <v/>
      </c>
      <c r="V267">
        <f>HYPERLINK("https://klasma.github.io/Logging_2309/klagomål/A 11780-2021 FSC-klagomål.docx", "A 11780-2021")</f>
        <v/>
      </c>
      <c r="W267">
        <f>HYPERLINK("https://klasma.github.io/Logging_2309/klagomålsmail/A 11780-2021 FSC-klagomål mail.docx", "A 11780-2021")</f>
        <v/>
      </c>
      <c r="X267">
        <f>HYPERLINK("https://klasma.github.io/Logging_2309/tillsyn/A 11780-2021 tillsynsbegäran.docx", "A 11780-2021")</f>
        <v/>
      </c>
      <c r="Y267">
        <f>HYPERLINK("https://klasma.github.io/Logging_2309/tillsynsmail/A 11780-2021 tillsynsbegäran mail.docx", "A 11780-2021")</f>
        <v/>
      </c>
      <c r="Z267">
        <f>HYPERLINK("https://klasma.github.io/Logging_2309/fåglar/A 11780-2021 prioriterade fågelarter.docx", "A 11780-2021")</f>
        <v/>
      </c>
    </row>
    <row r="268" ht="15" customHeight="1">
      <c r="A268" t="inlineStr">
        <is>
          <t>A 19282-2021</t>
        </is>
      </c>
      <c r="B268" s="1" t="n">
        <v>44308</v>
      </c>
      <c r="C268" s="1" t="n">
        <v>45734</v>
      </c>
      <c r="D268" t="inlineStr">
        <is>
          <t>JÄMTLANDS LÄN</t>
        </is>
      </c>
      <c r="E268" t="inlineStr">
        <is>
          <t>KROKOM</t>
        </is>
      </c>
      <c r="G268" t="n">
        <v>2</v>
      </c>
      <c r="H268" t="n">
        <v>0</v>
      </c>
      <c r="I268" t="n">
        <v>0</v>
      </c>
      <c r="J268" t="n">
        <v>1</v>
      </c>
      <c r="K268" t="n">
        <v>0</v>
      </c>
      <c r="L268" t="n">
        <v>0</v>
      </c>
      <c r="M268" t="n">
        <v>0</v>
      </c>
      <c r="N268" t="n">
        <v>0</v>
      </c>
      <c r="O268" t="n">
        <v>1</v>
      </c>
      <c r="P268" t="n">
        <v>0</v>
      </c>
      <c r="Q268" t="n">
        <v>1</v>
      </c>
      <c r="R268" s="2" t="inlineStr">
        <is>
          <t>Garnlav</t>
        </is>
      </c>
      <c r="S268">
        <f>HYPERLINK("https://klasma.github.io/Logging_2309/artfynd/A 19282-2021 artfynd.xlsx", "A 19282-2021")</f>
        <v/>
      </c>
      <c r="T268">
        <f>HYPERLINK("https://klasma.github.io/Logging_2309/kartor/A 19282-2021 karta.png", "A 19282-2021")</f>
        <v/>
      </c>
      <c r="V268">
        <f>HYPERLINK("https://klasma.github.io/Logging_2309/klagomål/A 19282-2021 FSC-klagomål.docx", "A 19282-2021")</f>
        <v/>
      </c>
      <c r="W268">
        <f>HYPERLINK("https://klasma.github.io/Logging_2309/klagomålsmail/A 19282-2021 FSC-klagomål mail.docx", "A 19282-2021")</f>
        <v/>
      </c>
      <c r="X268">
        <f>HYPERLINK("https://klasma.github.io/Logging_2309/tillsyn/A 19282-2021 tillsynsbegäran.docx", "A 19282-2021")</f>
        <v/>
      </c>
      <c r="Y268">
        <f>HYPERLINK("https://klasma.github.io/Logging_2309/tillsynsmail/A 19282-2021 tillsynsbegäran mail.docx", "A 19282-2021")</f>
        <v/>
      </c>
    </row>
    <row r="269" ht="15" customHeight="1">
      <c r="A269" t="inlineStr">
        <is>
          <t>A 22078-2021</t>
        </is>
      </c>
      <c r="B269" s="1" t="n">
        <v>44323</v>
      </c>
      <c r="C269" s="1" t="n">
        <v>45734</v>
      </c>
      <c r="D269" t="inlineStr">
        <is>
          <t>JÄMTLANDS LÄN</t>
        </is>
      </c>
      <c r="E269" t="inlineStr">
        <is>
          <t>KROKOM</t>
        </is>
      </c>
      <c r="G269" t="n">
        <v>5.9</v>
      </c>
      <c r="H269" t="n">
        <v>0</v>
      </c>
      <c r="I269" t="n">
        <v>0</v>
      </c>
      <c r="J269" t="n">
        <v>1</v>
      </c>
      <c r="K269" t="n">
        <v>0</v>
      </c>
      <c r="L269" t="n">
        <v>0</v>
      </c>
      <c r="M269" t="n">
        <v>0</v>
      </c>
      <c r="N269" t="n">
        <v>0</v>
      </c>
      <c r="O269" t="n">
        <v>1</v>
      </c>
      <c r="P269" t="n">
        <v>0</v>
      </c>
      <c r="Q269" t="n">
        <v>1</v>
      </c>
      <c r="R269" s="2" t="inlineStr">
        <is>
          <t>Granticka</t>
        </is>
      </c>
      <c r="S269">
        <f>HYPERLINK("https://klasma.github.io/Logging_2309/artfynd/A 22078-2021 artfynd.xlsx", "A 22078-2021")</f>
        <v/>
      </c>
      <c r="T269">
        <f>HYPERLINK("https://klasma.github.io/Logging_2309/kartor/A 22078-2021 karta.png", "A 22078-2021")</f>
        <v/>
      </c>
      <c r="V269">
        <f>HYPERLINK("https://klasma.github.io/Logging_2309/klagomål/A 22078-2021 FSC-klagomål.docx", "A 22078-2021")</f>
        <v/>
      </c>
      <c r="W269">
        <f>HYPERLINK("https://klasma.github.io/Logging_2309/klagomålsmail/A 22078-2021 FSC-klagomål mail.docx", "A 22078-2021")</f>
        <v/>
      </c>
      <c r="X269">
        <f>HYPERLINK("https://klasma.github.io/Logging_2309/tillsyn/A 22078-2021 tillsynsbegäran.docx", "A 22078-2021")</f>
        <v/>
      </c>
      <c r="Y269">
        <f>HYPERLINK("https://klasma.github.io/Logging_2309/tillsynsmail/A 22078-2021 tillsynsbegäran mail.docx", "A 22078-2021")</f>
        <v/>
      </c>
    </row>
    <row r="270" ht="15" customHeight="1">
      <c r="A270" t="inlineStr">
        <is>
          <t>A 46787-2021</t>
        </is>
      </c>
      <c r="B270" s="1" t="n">
        <v>44445</v>
      </c>
      <c r="C270" s="1" t="n">
        <v>45734</v>
      </c>
      <c r="D270" t="inlineStr">
        <is>
          <t>JÄMTLANDS LÄN</t>
        </is>
      </c>
      <c r="E270" t="inlineStr">
        <is>
          <t>KROKOM</t>
        </is>
      </c>
      <c r="F270" t="inlineStr">
        <is>
          <t>SCA</t>
        </is>
      </c>
      <c r="G270" t="n">
        <v>4.6</v>
      </c>
      <c r="H270" t="n">
        <v>0</v>
      </c>
      <c r="I270" t="n">
        <v>0</v>
      </c>
      <c r="J270" t="n">
        <v>1</v>
      </c>
      <c r="K270" t="n">
        <v>0</v>
      </c>
      <c r="L270" t="n">
        <v>0</v>
      </c>
      <c r="M270" t="n">
        <v>0</v>
      </c>
      <c r="N270" t="n">
        <v>0</v>
      </c>
      <c r="O270" t="n">
        <v>1</v>
      </c>
      <c r="P270" t="n">
        <v>0</v>
      </c>
      <c r="Q270" t="n">
        <v>1</v>
      </c>
      <c r="R270" s="2" t="inlineStr">
        <is>
          <t>Gammelgransskål</t>
        </is>
      </c>
      <c r="S270">
        <f>HYPERLINK("https://klasma.github.io/Logging_2309/artfynd/A 46787-2021 artfynd.xlsx", "A 46787-2021")</f>
        <v/>
      </c>
      <c r="T270">
        <f>HYPERLINK("https://klasma.github.io/Logging_2309/kartor/A 46787-2021 karta.png", "A 46787-2021")</f>
        <v/>
      </c>
      <c r="V270">
        <f>HYPERLINK("https://klasma.github.io/Logging_2309/klagomål/A 46787-2021 FSC-klagomål.docx", "A 46787-2021")</f>
        <v/>
      </c>
      <c r="W270">
        <f>HYPERLINK("https://klasma.github.io/Logging_2309/klagomålsmail/A 46787-2021 FSC-klagomål mail.docx", "A 46787-2021")</f>
        <v/>
      </c>
      <c r="X270">
        <f>HYPERLINK("https://klasma.github.io/Logging_2309/tillsyn/A 46787-2021 tillsynsbegäran.docx", "A 46787-2021")</f>
        <v/>
      </c>
      <c r="Y270">
        <f>HYPERLINK("https://klasma.github.io/Logging_2309/tillsynsmail/A 46787-2021 tillsynsbegäran mail.docx", "A 46787-2021")</f>
        <v/>
      </c>
    </row>
    <row r="271" ht="15" customHeight="1">
      <c r="A271" t="inlineStr">
        <is>
          <t>A 46785-2021</t>
        </is>
      </c>
      <c r="B271" s="1" t="n">
        <v>44445</v>
      </c>
      <c r="C271" s="1" t="n">
        <v>45734</v>
      </c>
      <c r="D271" t="inlineStr">
        <is>
          <t>JÄMTLANDS LÄN</t>
        </is>
      </c>
      <c r="E271" t="inlineStr">
        <is>
          <t>KROKOM</t>
        </is>
      </c>
      <c r="F271" t="inlineStr">
        <is>
          <t>SCA</t>
        </is>
      </c>
      <c r="G271" t="n">
        <v>1.5</v>
      </c>
      <c r="H271" t="n">
        <v>0</v>
      </c>
      <c r="I271" t="n">
        <v>0</v>
      </c>
      <c r="J271" t="n">
        <v>1</v>
      </c>
      <c r="K271" t="n">
        <v>0</v>
      </c>
      <c r="L271" t="n">
        <v>0</v>
      </c>
      <c r="M271" t="n">
        <v>0</v>
      </c>
      <c r="N271" t="n">
        <v>0</v>
      </c>
      <c r="O271" t="n">
        <v>1</v>
      </c>
      <c r="P271" t="n">
        <v>0</v>
      </c>
      <c r="Q271" t="n">
        <v>1</v>
      </c>
      <c r="R271" s="2" t="inlineStr">
        <is>
          <t>Harticka</t>
        </is>
      </c>
      <c r="S271">
        <f>HYPERLINK("https://klasma.github.io/Logging_2309/artfynd/A 46785-2021 artfynd.xlsx", "A 46785-2021")</f>
        <v/>
      </c>
      <c r="T271">
        <f>HYPERLINK("https://klasma.github.io/Logging_2309/kartor/A 46785-2021 karta.png", "A 46785-2021")</f>
        <v/>
      </c>
      <c r="V271">
        <f>HYPERLINK("https://klasma.github.io/Logging_2309/klagomål/A 46785-2021 FSC-klagomål.docx", "A 46785-2021")</f>
        <v/>
      </c>
      <c r="W271">
        <f>HYPERLINK("https://klasma.github.io/Logging_2309/klagomålsmail/A 46785-2021 FSC-klagomål mail.docx", "A 46785-2021")</f>
        <v/>
      </c>
      <c r="X271">
        <f>HYPERLINK("https://klasma.github.io/Logging_2309/tillsyn/A 46785-2021 tillsynsbegäran.docx", "A 46785-2021")</f>
        <v/>
      </c>
      <c r="Y271">
        <f>HYPERLINK("https://klasma.github.io/Logging_2309/tillsynsmail/A 46785-2021 tillsynsbegäran mail.docx", "A 46785-2021")</f>
        <v/>
      </c>
    </row>
    <row r="272" ht="15" customHeight="1">
      <c r="A272" t="inlineStr">
        <is>
          <t>A 60006-2021</t>
        </is>
      </c>
      <c r="B272" s="1" t="n">
        <v>44494</v>
      </c>
      <c r="C272" s="1" t="n">
        <v>45734</v>
      </c>
      <c r="D272" t="inlineStr">
        <is>
          <t>JÄMTLANDS LÄN</t>
        </is>
      </c>
      <c r="E272" t="inlineStr">
        <is>
          <t>KROKOM</t>
        </is>
      </c>
      <c r="F272" t="inlineStr">
        <is>
          <t>SCA</t>
        </is>
      </c>
      <c r="G272" t="n">
        <v>7.5</v>
      </c>
      <c r="H272" t="n">
        <v>0</v>
      </c>
      <c r="I272" t="n">
        <v>0</v>
      </c>
      <c r="J272" t="n">
        <v>1</v>
      </c>
      <c r="K272" t="n">
        <v>0</v>
      </c>
      <c r="L272" t="n">
        <v>0</v>
      </c>
      <c r="M272" t="n">
        <v>0</v>
      </c>
      <c r="N272" t="n">
        <v>0</v>
      </c>
      <c r="O272" t="n">
        <v>1</v>
      </c>
      <c r="P272" t="n">
        <v>0</v>
      </c>
      <c r="Q272" t="n">
        <v>1</v>
      </c>
      <c r="R272" s="2" t="inlineStr">
        <is>
          <t>Flattoppad klubbsvamp</t>
        </is>
      </c>
      <c r="S272">
        <f>HYPERLINK("https://klasma.github.io/Logging_2309/artfynd/A 60006-2021 artfynd.xlsx", "A 60006-2021")</f>
        <v/>
      </c>
      <c r="T272">
        <f>HYPERLINK("https://klasma.github.io/Logging_2309/kartor/A 60006-2021 karta.png", "A 60006-2021")</f>
        <v/>
      </c>
      <c r="V272">
        <f>HYPERLINK("https://klasma.github.io/Logging_2309/klagomål/A 60006-2021 FSC-klagomål.docx", "A 60006-2021")</f>
        <v/>
      </c>
      <c r="W272">
        <f>HYPERLINK("https://klasma.github.io/Logging_2309/klagomålsmail/A 60006-2021 FSC-klagomål mail.docx", "A 60006-2021")</f>
        <v/>
      </c>
      <c r="X272">
        <f>HYPERLINK("https://klasma.github.io/Logging_2309/tillsyn/A 60006-2021 tillsynsbegäran.docx", "A 60006-2021")</f>
        <v/>
      </c>
      <c r="Y272">
        <f>HYPERLINK("https://klasma.github.io/Logging_2309/tillsynsmail/A 60006-2021 tillsynsbegäran mail.docx", "A 60006-2021")</f>
        <v/>
      </c>
    </row>
    <row r="273" ht="15" customHeight="1">
      <c r="A273" t="inlineStr">
        <is>
          <t>A 64301-2021</t>
        </is>
      </c>
      <c r="B273" s="1" t="n">
        <v>44510</v>
      </c>
      <c r="C273" s="1" t="n">
        <v>45734</v>
      </c>
      <c r="D273" t="inlineStr">
        <is>
          <t>JÄMTLANDS LÄN</t>
        </is>
      </c>
      <c r="E273" t="inlineStr">
        <is>
          <t>KROKOM</t>
        </is>
      </c>
      <c r="G273" t="n">
        <v>3.3</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64301-2021 artfynd.xlsx", "A 64301-2021")</f>
        <v/>
      </c>
      <c r="T273">
        <f>HYPERLINK("https://klasma.github.io/Logging_2309/kartor/A 64301-2021 karta.png", "A 64301-2021")</f>
        <v/>
      </c>
      <c r="V273">
        <f>HYPERLINK("https://klasma.github.io/Logging_2309/klagomål/A 64301-2021 FSC-klagomål.docx", "A 64301-2021")</f>
        <v/>
      </c>
      <c r="W273">
        <f>HYPERLINK("https://klasma.github.io/Logging_2309/klagomålsmail/A 64301-2021 FSC-klagomål mail.docx", "A 64301-2021")</f>
        <v/>
      </c>
      <c r="X273">
        <f>HYPERLINK("https://klasma.github.io/Logging_2309/tillsyn/A 64301-2021 tillsynsbegäran.docx", "A 64301-2021")</f>
        <v/>
      </c>
      <c r="Y273">
        <f>HYPERLINK("https://klasma.github.io/Logging_2309/tillsynsmail/A 64301-2021 tillsynsbegäran mail.docx", "A 64301-2021")</f>
        <v/>
      </c>
      <c r="Z273">
        <f>HYPERLINK("https://klasma.github.io/Logging_2309/fåglar/A 64301-2021 prioriterade fågelarter.docx", "A 64301-2021")</f>
        <v/>
      </c>
    </row>
    <row r="274" ht="15" customHeight="1">
      <c r="A274" t="inlineStr">
        <is>
          <t>A 64951-2021</t>
        </is>
      </c>
      <c r="B274" s="1" t="n">
        <v>44512</v>
      </c>
      <c r="C274" s="1" t="n">
        <v>45734</v>
      </c>
      <c r="D274" t="inlineStr">
        <is>
          <t>JÄMTLANDS LÄN</t>
        </is>
      </c>
      <c r="E274" t="inlineStr">
        <is>
          <t>KROKOM</t>
        </is>
      </c>
      <c r="F274" t="inlineStr">
        <is>
          <t>SCA</t>
        </is>
      </c>
      <c r="G274" t="n">
        <v>2.5</v>
      </c>
      <c r="H274" t="n">
        <v>0</v>
      </c>
      <c r="I274" t="n">
        <v>1</v>
      </c>
      <c r="J274" t="n">
        <v>0</v>
      </c>
      <c r="K274" t="n">
        <v>0</v>
      </c>
      <c r="L274" t="n">
        <v>0</v>
      </c>
      <c r="M274" t="n">
        <v>0</v>
      </c>
      <c r="N274" t="n">
        <v>0</v>
      </c>
      <c r="O274" t="n">
        <v>0</v>
      </c>
      <c r="P274" t="n">
        <v>0</v>
      </c>
      <c r="Q274" t="n">
        <v>1</v>
      </c>
      <c r="R274" s="2" t="inlineStr">
        <is>
          <t>Kransrams</t>
        </is>
      </c>
      <c r="S274">
        <f>HYPERLINK("https://klasma.github.io/Logging_2309/artfynd/A 64951-2021 artfynd.xlsx", "A 64951-2021")</f>
        <v/>
      </c>
      <c r="T274">
        <f>HYPERLINK("https://klasma.github.io/Logging_2309/kartor/A 64951-2021 karta.png", "A 64951-2021")</f>
        <v/>
      </c>
      <c r="V274">
        <f>HYPERLINK("https://klasma.github.io/Logging_2309/klagomål/A 64951-2021 FSC-klagomål.docx", "A 64951-2021")</f>
        <v/>
      </c>
      <c r="W274">
        <f>HYPERLINK("https://klasma.github.io/Logging_2309/klagomålsmail/A 64951-2021 FSC-klagomål mail.docx", "A 64951-2021")</f>
        <v/>
      </c>
      <c r="X274">
        <f>HYPERLINK("https://klasma.github.io/Logging_2309/tillsyn/A 64951-2021 tillsynsbegäran.docx", "A 64951-2021")</f>
        <v/>
      </c>
      <c r="Y274">
        <f>HYPERLINK("https://klasma.github.io/Logging_2309/tillsynsmail/A 64951-2021 tillsynsbegäran mail.docx", "A 64951-2021")</f>
        <v/>
      </c>
    </row>
    <row r="275" ht="15" customHeight="1">
      <c r="A275" t="inlineStr">
        <is>
          <t>A 64968-2021</t>
        </is>
      </c>
      <c r="B275" s="1" t="n">
        <v>44512</v>
      </c>
      <c r="C275" s="1" t="n">
        <v>45734</v>
      </c>
      <c r="D275" t="inlineStr">
        <is>
          <t>JÄMTLANDS LÄN</t>
        </is>
      </c>
      <c r="E275" t="inlineStr">
        <is>
          <t>KROKOM</t>
        </is>
      </c>
      <c r="F275" t="inlineStr">
        <is>
          <t>SCA</t>
        </is>
      </c>
      <c r="G275" t="n">
        <v>3.2</v>
      </c>
      <c r="H275" t="n">
        <v>0</v>
      </c>
      <c r="I275" t="n">
        <v>0</v>
      </c>
      <c r="J275" t="n">
        <v>1</v>
      </c>
      <c r="K275" t="n">
        <v>0</v>
      </c>
      <c r="L275" t="n">
        <v>0</v>
      </c>
      <c r="M275" t="n">
        <v>0</v>
      </c>
      <c r="N275" t="n">
        <v>0</v>
      </c>
      <c r="O275" t="n">
        <v>1</v>
      </c>
      <c r="P275" t="n">
        <v>0</v>
      </c>
      <c r="Q275" t="n">
        <v>1</v>
      </c>
      <c r="R275" s="2" t="inlineStr">
        <is>
          <t>Skrovellav</t>
        </is>
      </c>
      <c r="S275">
        <f>HYPERLINK("https://klasma.github.io/Logging_2309/artfynd/A 64968-2021 artfynd.xlsx", "A 64968-2021")</f>
        <v/>
      </c>
      <c r="T275">
        <f>HYPERLINK("https://klasma.github.io/Logging_2309/kartor/A 64968-2021 karta.png", "A 64968-2021")</f>
        <v/>
      </c>
      <c r="V275">
        <f>HYPERLINK("https://klasma.github.io/Logging_2309/klagomål/A 64968-2021 FSC-klagomål.docx", "A 64968-2021")</f>
        <v/>
      </c>
      <c r="W275">
        <f>HYPERLINK("https://klasma.github.io/Logging_2309/klagomålsmail/A 64968-2021 FSC-klagomål mail.docx", "A 64968-2021")</f>
        <v/>
      </c>
      <c r="X275">
        <f>HYPERLINK("https://klasma.github.io/Logging_2309/tillsyn/A 64968-2021 tillsynsbegäran.docx", "A 64968-2021")</f>
        <v/>
      </c>
      <c r="Y275">
        <f>HYPERLINK("https://klasma.github.io/Logging_2309/tillsynsmail/A 64968-2021 tillsynsbegäran mail.docx", "A 64968-2021")</f>
        <v/>
      </c>
    </row>
    <row r="276" ht="15" customHeight="1">
      <c r="A276" t="inlineStr">
        <is>
          <t>A 67701-2021</t>
        </is>
      </c>
      <c r="B276" s="1" t="n">
        <v>44524</v>
      </c>
      <c r="C276" s="1" t="n">
        <v>45734</v>
      </c>
      <c r="D276" t="inlineStr">
        <is>
          <t>JÄMTLANDS LÄN</t>
        </is>
      </c>
      <c r="E276" t="inlineStr">
        <is>
          <t>KROKOM</t>
        </is>
      </c>
      <c r="F276" t="inlineStr">
        <is>
          <t>SCA</t>
        </is>
      </c>
      <c r="G276" t="n">
        <v>3.1</v>
      </c>
      <c r="H276" t="n">
        <v>0</v>
      </c>
      <c r="I276" t="n">
        <v>1</v>
      </c>
      <c r="J276" t="n">
        <v>0</v>
      </c>
      <c r="K276" t="n">
        <v>0</v>
      </c>
      <c r="L276" t="n">
        <v>0</v>
      </c>
      <c r="M276" t="n">
        <v>0</v>
      </c>
      <c r="N276" t="n">
        <v>0</v>
      </c>
      <c r="O276" t="n">
        <v>0</v>
      </c>
      <c r="P276" t="n">
        <v>0</v>
      </c>
      <c r="Q276" t="n">
        <v>1</v>
      </c>
      <c r="R276" s="2" t="inlineStr">
        <is>
          <t>Trådticka</t>
        </is>
      </c>
      <c r="S276">
        <f>HYPERLINK("https://klasma.github.io/Logging_2309/artfynd/A 67701-2021 artfynd.xlsx", "A 67701-2021")</f>
        <v/>
      </c>
      <c r="T276">
        <f>HYPERLINK("https://klasma.github.io/Logging_2309/kartor/A 67701-2021 karta.png", "A 67701-2021")</f>
        <v/>
      </c>
      <c r="V276">
        <f>HYPERLINK("https://klasma.github.io/Logging_2309/klagomål/A 67701-2021 FSC-klagomål.docx", "A 67701-2021")</f>
        <v/>
      </c>
      <c r="W276">
        <f>HYPERLINK("https://klasma.github.io/Logging_2309/klagomålsmail/A 67701-2021 FSC-klagomål mail.docx", "A 67701-2021")</f>
        <v/>
      </c>
      <c r="X276">
        <f>HYPERLINK("https://klasma.github.io/Logging_2309/tillsyn/A 67701-2021 tillsynsbegäran.docx", "A 67701-2021")</f>
        <v/>
      </c>
      <c r="Y276">
        <f>HYPERLINK("https://klasma.github.io/Logging_2309/tillsynsmail/A 67701-2021 tillsynsbegäran mail.docx", "A 67701-2021")</f>
        <v/>
      </c>
    </row>
    <row r="277" ht="15" customHeight="1">
      <c r="A277" t="inlineStr">
        <is>
          <t>A 69137-2021</t>
        </is>
      </c>
      <c r="B277" s="1" t="n">
        <v>44530</v>
      </c>
      <c r="C277" s="1" t="n">
        <v>45734</v>
      </c>
      <c r="D277" t="inlineStr">
        <is>
          <t>JÄMTLANDS LÄN</t>
        </is>
      </c>
      <c r="E277" t="inlineStr">
        <is>
          <t>KROKOM</t>
        </is>
      </c>
      <c r="F277" t="inlineStr">
        <is>
          <t>SCA</t>
        </is>
      </c>
      <c r="G277" t="n">
        <v>30.5</v>
      </c>
      <c r="H277" t="n">
        <v>0</v>
      </c>
      <c r="I277" t="n">
        <v>0</v>
      </c>
      <c r="J277" t="n">
        <v>1</v>
      </c>
      <c r="K277" t="n">
        <v>0</v>
      </c>
      <c r="L277" t="n">
        <v>0</v>
      </c>
      <c r="M277" t="n">
        <v>0</v>
      </c>
      <c r="N277" t="n">
        <v>0</v>
      </c>
      <c r="O277" t="n">
        <v>1</v>
      </c>
      <c r="P277" t="n">
        <v>0</v>
      </c>
      <c r="Q277" t="n">
        <v>1</v>
      </c>
      <c r="R277" s="2" t="inlineStr">
        <is>
          <t>Garnlav</t>
        </is>
      </c>
      <c r="S277">
        <f>HYPERLINK("https://klasma.github.io/Logging_2309/artfynd/A 69137-2021 artfynd.xlsx", "A 69137-2021")</f>
        <v/>
      </c>
      <c r="T277">
        <f>HYPERLINK("https://klasma.github.io/Logging_2309/kartor/A 69137-2021 karta.png", "A 69137-2021")</f>
        <v/>
      </c>
      <c r="V277">
        <f>HYPERLINK("https://klasma.github.io/Logging_2309/klagomål/A 69137-2021 FSC-klagomål.docx", "A 69137-2021")</f>
        <v/>
      </c>
      <c r="W277">
        <f>HYPERLINK("https://klasma.github.io/Logging_2309/klagomålsmail/A 69137-2021 FSC-klagomål mail.docx", "A 69137-2021")</f>
        <v/>
      </c>
      <c r="X277">
        <f>HYPERLINK("https://klasma.github.io/Logging_2309/tillsyn/A 69137-2021 tillsynsbegäran.docx", "A 69137-2021")</f>
        <v/>
      </c>
      <c r="Y277">
        <f>HYPERLINK("https://klasma.github.io/Logging_2309/tillsynsmail/A 69137-2021 tillsynsbegäran mail.docx", "A 69137-2021")</f>
        <v/>
      </c>
    </row>
    <row r="278" ht="15" customHeight="1">
      <c r="A278" t="inlineStr">
        <is>
          <t>A 71575-2021</t>
        </is>
      </c>
      <c r="B278" s="1" t="n">
        <v>44540</v>
      </c>
      <c r="C278" s="1" t="n">
        <v>45734</v>
      </c>
      <c r="D278" t="inlineStr">
        <is>
          <t>JÄMTLANDS LÄN</t>
        </is>
      </c>
      <c r="E278" t="inlineStr">
        <is>
          <t>KROKOM</t>
        </is>
      </c>
      <c r="G278" t="n">
        <v>0.9</v>
      </c>
      <c r="H278" t="n">
        <v>0</v>
      </c>
      <c r="I278" t="n">
        <v>0</v>
      </c>
      <c r="J278" t="n">
        <v>1</v>
      </c>
      <c r="K278" t="n">
        <v>0</v>
      </c>
      <c r="L278" t="n">
        <v>0</v>
      </c>
      <c r="M278" t="n">
        <v>0</v>
      </c>
      <c r="N278" t="n">
        <v>0</v>
      </c>
      <c r="O278" t="n">
        <v>1</v>
      </c>
      <c r="P278" t="n">
        <v>0</v>
      </c>
      <c r="Q278" t="n">
        <v>1</v>
      </c>
      <c r="R278" s="2" t="inlineStr">
        <is>
          <t>Gultoppig fingersvamp</t>
        </is>
      </c>
      <c r="S278">
        <f>HYPERLINK("https://klasma.github.io/Logging_2309/artfynd/A 71575-2021 artfynd.xlsx", "A 71575-2021")</f>
        <v/>
      </c>
      <c r="T278">
        <f>HYPERLINK("https://klasma.github.io/Logging_2309/kartor/A 71575-2021 karta.png", "A 71575-2021")</f>
        <v/>
      </c>
      <c r="V278">
        <f>HYPERLINK("https://klasma.github.io/Logging_2309/klagomål/A 71575-2021 FSC-klagomål.docx", "A 71575-2021")</f>
        <v/>
      </c>
      <c r="W278">
        <f>HYPERLINK("https://klasma.github.io/Logging_2309/klagomålsmail/A 71575-2021 FSC-klagomål mail.docx", "A 71575-2021")</f>
        <v/>
      </c>
      <c r="X278">
        <f>HYPERLINK("https://klasma.github.io/Logging_2309/tillsyn/A 71575-2021 tillsynsbegäran.docx", "A 71575-2021")</f>
        <v/>
      </c>
      <c r="Y278">
        <f>HYPERLINK("https://klasma.github.io/Logging_2309/tillsynsmail/A 71575-2021 tillsynsbegäran mail.docx", "A 71575-2021")</f>
        <v/>
      </c>
    </row>
    <row r="279" ht="15" customHeight="1">
      <c r="A279" t="inlineStr">
        <is>
          <t>A 71574-2021</t>
        </is>
      </c>
      <c r="B279" s="1" t="n">
        <v>44540</v>
      </c>
      <c r="C279" s="1" t="n">
        <v>45734</v>
      </c>
      <c r="D279" t="inlineStr">
        <is>
          <t>JÄMTLANDS LÄN</t>
        </is>
      </c>
      <c r="E279" t="inlineStr">
        <is>
          <t>KROKOM</t>
        </is>
      </c>
      <c r="G279" t="n">
        <v>1.1</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71574-2021 artfynd.xlsx", "A 71574-2021")</f>
        <v/>
      </c>
      <c r="T279">
        <f>HYPERLINK("https://klasma.github.io/Logging_2309/kartor/A 71574-2021 karta.png", "A 71574-2021")</f>
        <v/>
      </c>
      <c r="V279">
        <f>HYPERLINK("https://klasma.github.io/Logging_2309/klagomål/A 71574-2021 FSC-klagomål.docx", "A 71574-2021")</f>
        <v/>
      </c>
      <c r="W279">
        <f>HYPERLINK("https://klasma.github.io/Logging_2309/klagomålsmail/A 71574-2021 FSC-klagomål mail.docx", "A 71574-2021")</f>
        <v/>
      </c>
      <c r="X279">
        <f>HYPERLINK("https://klasma.github.io/Logging_2309/tillsyn/A 71574-2021 tillsynsbegäran.docx", "A 71574-2021")</f>
        <v/>
      </c>
      <c r="Y279">
        <f>HYPERLINK("https://klasma.github.io/Logging_2309/tillsynsmail/A 71574-2021 tillsynsbegäran mail.docx", "A 71574-2021")</f>
        <v/>
      </c>
    </row>
    <row r="280" ht="15" customHeight="1">
      <c r="A280" t="inlineStr">
        <is>
          <t>A 806-2022</t>
        </is>
      </c>
      <c r="B280" s="1" t="n">
        <v>44568</v>
      </c>
      <c r="C280" s="1" t="n">
        <v>45734</v>
      </c>
      <c r="D280" t="inlineStr">
        <is>
          <t>JÄMTLANDS LÄN</t>
        </is>
      </c>
      <c r="E280" t="inlineStr">
        <is>
          <t>KROKOM</t>
        </is>
      </c>
      <c r="G280" t="n">
        <v>46.8</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806-2022 artfynd.xlsx", "A 806-2022")</f>
        <v/>
      </c>
      <c r="T280">
        <f>HYPERLINK("https://klasma.github.io/Logging_2309/kartor/A 806-2022 karta.png", "A 806-2022")</f>
        <v/>
      </c>
      <c r="V280">
        <f>HYPERLINK("https://klasma.github.io/Logging_2309/klagomål/A 806-2022 FSC-klagomål.docx", "A 806-2022")</f>
        <v/>
      </c>
      <c r="W280">
        <f>HYPERLINK("https://klasma.github.io/Logging_2309/klagomålsmail/A 806-2022 FSC-klagomål mail.docx", "A 806-2022")</f>
        <v/>
      </c>
      <c r="X280">
        <f>HYPERLINK("https://klasma.github.io/Logging_2309/tillsyn/A 806-2022 tillsynsbegäran.docx", "A 806-2022")</f>
        <v/>
      </c>
      <c r="Y280">
        <f>HYPERLINK("https://klasma.github.io/Logging_2309/tillsynsmail/A 806-2022 tillsynsbegäran mail.docx", "A 806-2022")</f>
        <v/>
      </c>
      <c r="Z280">
        <f>HYPERLINK("https://klasma.github.io/Logging_2309/fåglar/A 806-2022 prioriterade fågelarter.docx", "A 806-2022")</f>
        <v/>
      </c>
    </row>
    <row r="281" ht="15" customHeight="1">
      <c r="A281" t="inlineStr">
        <is>
          <t>A 814-2022</t>
        </is>
      </c>
      <c r="B281" s="1" t="n">
        <v>44568</v>
      </c>
      <c r="C281" s="1" t="n">
        <v>45734</v>
      </c>
      <c r="D281" t="inlineStr">
        <is>
          <t>JÄMTLANDS LÄN</t>
        </is>
      </c>
      <c r="E281" t="inlineStr">
        <is>
          <t>KROKOM</t>
        </is>
      </c>
      <c r="G281" t="n">
        <v>2.6</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814-2022 artfynd.xlsx", "A 814-2022")</f>
        <v/>
      </c>
      <c r="T281">
        <f>HYPERLINK("https://klasma.github.io/Logging_2309/kartor/A 814-2022 karta.png", "A 814-2022")</f>
        <v/>
      </c>
      <c r="V281">
        <f>HYPERLINK("https://klasma.github.io/Logging_2309/klagomål/A 814-2022 FSC-klagomål.docx", "A 814-2022")</f>
        <v/>
      </c>
      <c r="W281">
        <f>HYPERLINK("https://klasma.github.io/Logging_2309/klagomålsmail/A 814-2022 FSC-klagomål mail.docx", "A 814-2022")</f>
        <v/>
      </c>
      <c r="X281">
        <f>HYPERLINK("https://klasma.github.io/Logging_2309/tillsyn/A 814-2022 tillsynsbegäran.docx", "A 814-2022")</f>
        <v/>
      </c>
      <c r="Y281">
        <f>HYPERLINK("https://klasma.github.io/Logging_2309/tillsynsmail/A 814-2022 tillsynsbegäran mail.docx", "A 814-2022")</f>
        <v/>
      </c>
      <c r="Z281">
        <f>HYPERLINK("https://klasma.github.io/Logging_2309/fåglar/A 814-2022 prioriterade fågelarter.docx", "A 814-2022")</f>
        <v/>
      </c>
    </row>
    <row r="282" ht="15" customHeight="1">
      <c r="A282" t="inlineStr">
        <is>
          <t>A 804-2022</t>
        </is>
      </c>
      <c r="B282" s="1" t="n">
        <v>44568</v>
      </c>
      <c r="C282" s="1" t="n">
        <v>45734</v>
      </c>
      <c r="D282" t="inlineStr">
        <is>
          <t>JÄMTLANDS LÄN</t>
        </is>
      </c>
      <c r="E282" t="inlineStr">
        <is>
          <t>KROKOM</t>
        </is>
      </c>
      <c r="G282" t="n">
        <v>20</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804-2022 artfynd.xlsx", "A 804-2022")</f>
        <v/>
      </c>
      <c r="T282">
        <f>HYPERLINK("https://klasma.github.io/Logging_2309/kartor/A 804-2022 karta.png", "A 804-2022")</f>
        <v/>
      </c>
      <c r="V282">
        <f>HYPERLINK("https://klasma.github.io/Logging_2309/klagomål/A 804-2022 FSC-klagomål.docx", "A 804-2022")</f>
        <v/>
      </c>
      <c r="W282">
        <f>HYPERLINK("https://klasma.github.io/Logging_2309/klagomålsmail/A 804-2022 FSC-klagomål mail.docx", "A 804-2022")</f>
        <v/>
      </c>
      <c r="X282">
        <f>HYPERLINK("https://klasma.github.io/Logging_2309/tillsyn/A 804-2022 tillsynsbegäran.docx", "A 804-2022")</f>
        <v/>
      </c>
      <c r="Y282">
        <f>HYPERLINK("https://klasma.github.io/Logging_2309/tillsynsmail/A 804-2022 tillsynsbegäran mail.docx", "A 804-2022")</f>
        <v/>
      </c>
      <c r="Z282">
        <f>HYPERLINK("https://klasma.github.io/Logging_2309/fåglar/A 804-2022 prioriterade fågelarter.docx", "A 804-2022")</f>
        <v/>
      </c>
    </row>
    <row r="283" ht="15" customHeight="1">
      <c r="A283" t="inlineStr">
        <is>
          <t>A 7005-2022</t>
        </is>
      </c>
      <c r="B283" s="1" t="n">
        <v>44603</v>
      </c>
      <c r="C283" s="1" t="n">
        <v>45734</v>
      </c>
      <c r="D283" t="inlineStr">
        <is>
          <t>JÄMTLANDS LÄN</t>
        </is>
      </c>
      <c r="E283" t="inlineStr">
        <is>
          <t>KROKOM</t>
        </is>
      </c>
      <c r="G283" t="n">
        <v>46</v>
      </c>
      <c r="H283" t="n">
        <v>0</v>
      </c>
      <c r="I283" t="n">
        <v>1</v>
      </c>
      <c r="J283" t="n">
        <v>0</v>
      </c>
      <c r="K283" t="n">
        <v>0</v>
      </c>
      <c r="L283" t="n">
        <v>0</v>
      </c>
      <c r="M283" t="n">
        <v>0</v>
      </c>
      <c r="N283" t="n">
        <v>0</v>
      </c>
      <c r="O283" t="n">
        <v>0</v>
      </c>
      <c r="P283" t="n">
        <v>0</v>
      </c>
      <c r="Q283" t="n">
        <v>1</v>
      </c>
      <c r="R283" s="2" t="inlineStr">
        <is>
          <t>Stuplav</t>
        </is>
      </c>
      <c r="S283">
        <f>HYPERLINK("https://klasma.github.io/Logging_2309/artfynd/A 7005-2022 artfynd.xlsx", "A 7005-2022")</f>
        <v/>
      </c>
      <c r="T283">
        <f>HYPERLINK("https://klasma.github.io/Logging_2309/kartor/A 7005-2022 karta.png", "A 7005-2022")</f>
        <v/>
      </c>
      <c r="V283">
        <f>HYPERLINK("https://klasma.github.io/Logging_2309/klagomål/A 7005-2022 FSC-klagomål.docx", "A 7005-2022")</f>
        <v/>
      </c>
      <c r="W283">
        <f>HYPERLINK("https://klasma.github.io/Logging_2309/klagomålsmail/A 7005-2022 FSC-klagomål mail.docx", "A 7005-2022")</f>
        <v/>
      </c>
      <c r="X283">
        <f>HYPERLINK("https://klasma.github.io/Logging_2309/tillsyn/A 7005-2022 tillsynsbegäran.docx", "A 7005-2022")</f>
        <v/>
      </c>
      <c r="Y283">
        <f>HYPERLINK("https://klasma.github.io/Logging_2309/tillsynsmail/A 7005-2022 tillsynsbegäran mail.docx", "A 7005-2022")</f>
        <v/>
      </c>
    </row>
    <row r="284" ht="15" customHeight="1">
      <c r="A284" t="inlineStr">
        <is>
          <t>A 18032-2022</t>
        </is>
      </c>
      <c r="B284" s="1" t="n">
        <v>44683</v>
      </c>
      <c r="C284" s="1" t="n">
        <v>45734</v>
      </c>
      <c r="D284" t="inlineStr">
        <is>
          <t>JÄMTLANDS LÄN</t>
        </is>
      </c>
      <c r="E284" t="inlineStr">
        <is>
          <t>KROKOM</t>
        </is>
      </c>
      <c r="G284" t="n">
        <v>15.8</v>
      </c>
      <c r="H284" t="n">
        <v>0</v>
      </c>
      <c r="I284" t="n">
        <v>0</v>
      </c>
      <c r="J284" t="n">
        <v>1</v>
      </c>
      <c r="K284" t="n">
        <v>0</v>
      </c>
      <c r="L284" t="n">
        <v>0</v>
      </c>
      <c r="M284" t="n">
        <v>0</v>
      </c>
      <c r="N284" t="n">
        <v>0</v>
      </c>
      <c r="O284" t="n">
        <v>1</v>
      </c>
      <c r="P284" t="n">
        <v>0</v>
      </c>
      <c r="Q284" t="n">
        <v>1</v>
      </c>
      <c r="R284" s="2" t="inlineStr">
        <is>
          <t>Brunklöver</t>
        </is>
      </c>
      <c r="S284">
        <f>HYPERLINK("https://klasma.github.io/Logging_2309/artfynd/A 18032-2022 artfynd.xlsx", "A 18032-2022")</f>
        <v/>
      </c>
      <c r="T284">
        <f>HYPERLINK("https://klasma.github.io/Logging_2309/kartor/A 18032-2022 karta.png", "A 18032-2022")</f>
        <v/>
      </c>
      <c r="V284">
        <f>HYPERLINK("https://klasma.github.io/Logging_2309/klagomål/A 18032-2022 FSC-klagomål.docx", "A 18032-2022")</f>
        <v/>
      </c>
      <c r="W284">
        <f>HYPERLINK("https://klasma.github.io/Logging_2309/klagomålsmail/A 18032-2022 FSC-klagomål mail.docx", "A 18032-2022")</f>
        <v/>
      </c>
      <c r="X284">
        <f>HYPERLINK("https://klasma.github.io/Logging_2309/tillsyn/A 18032-2022 tillsynsbegäran.docx", "A 18032-2022")</f>
        <v/>
      </c>
      <c r="Y284">
        <f>HYPERLINK("https://klasma.github.io/Logging_2309/tillsynsmail/A 18032-2022 tillsynsbegäran mail.docx", "A 18032-2022")</f>
        <v/>
      </c>
    </row>
    <row r="285" ht="15" customHeight="1">
      <c r="A285" t="inlineStr">
        <is>
          <t>A 25041-2022</t>
        </is>
      </c>
      <c r="B285" s="1" t="n">
        <v>44728</v>
      </c>
      <c r="C285" s="1" t="n">
        <v>45734</v>
      </c>
      <c r="D285" t="inlineStr">
        <is>
          <t>JÄMTLANDS LÄN</t>
        </is>
      </c>
      <c r="E285" t="inlineStr">
        <is>
          <t>KROKOM</t>
        </is>
      </c>
      <c r="F285" t="inlineStr">
        <is>
          <t>SCA</t>
        </is>
      </c>
      <c r="G285" t="n">
        <v>5.5</v>
      </c>
      <c r="H285" t="n">
        <v>0</v>
      </c>
      <c r="I285" t="n">
        <v>0</v>
      </c>
      <c r="J285" t="n">
        <v>1</v>
      </c>
      <c r="K285" t="n">
        <v>0</v>
      </c>
      <c r="L285" t="n">
        <v>0</v>
      </c>
      <c r="M285" t="n">
        <v>0</v>
      </c>
      <c r="N285" t="n">
        <v>0</v>
      </c>
      <c r="O285" t="n">
        <v>1</v>
      </c>
      <c r="P285" t="n">
        <v>0</v>
      </c>
      <c r="Q285" t="n">
        <v>1</v>
      </c>
      <c r="R285" s="2" t="inlineStr">
        <is>
          <t>Harticka</t>
        </is>
      </c>
      <c r="S285">
        <f>HYPERLINK("https://klasma.github.io/Logging_2309/artfynd/A 25041-2022 artfynd.xlsx", "A 25041-2022")</f>
        <v/>
      </c>
      <c r="T285">
        <f>HYPERLINK("https://klasma.github.io/Logging_2309/kartor/A 25041-2022 karta.png", "A 25041-2022")</f>
        <v/>
      </c>
      <c r="V285">
        <f>HYPERLINK("https://klasma.github.io/Logging_2309/klagomål/A 25041-2022 FSC-klagomål.docx", "A 25041-2022")</f>
        <v/>
      </c>
      <c r="W285">
        <f>HYPERLINK("https://klasma.github.io/Logging_2309/klagomålsmail/A 25041-2022 FSC-klagomål mail.docx", "A 25041-2022")</f>
        <v/>
      </c>
      <c r="X285">
        <f>HYPERLINK("https://klasma.github.io/Logging_2309/tillsyn/A 25041-2022 tillsynsbegäran.docx", "A 25041-2022")</f>
        <v/>
      </c>
      <c r="Y285">
        <f>HYPERLINK("https://klasma.github.io/Logging_2309/tillsynsmail/A 25041-2022 tillsynsbegäran mail.docx", "A 25041-2022")</f>
        <v/>
      </c>
    </row>
    <row r="286" ht="15" customHeight="1">
      <c r="A286" t="inlineStr">
        <is>
          <t>A 27579-2022</t>
        </is>
      </c>
      <c r="B286" s="1" t="n">
        <v>44742</v>
      </c>
      <c r="C286" s="1" t="n">
        <v>45734</v>
      </c>
      <c r="D286" t="inlineStr">
        <is>
          <t>JÄMTLANDS LÄN</t>
        </is>
      </c>
      <c r="E286" t="inlineStr">
        <is>
          <t>KROKOM</t>
        </is>
      </c>
      <c r="F286" t="inlineStr">
        <is>
          <t>SCA</t>
        </is>
      </c>
      <c r="G286" t="n">
        <v>1.5</v>
      </c>
      <c r="H286" t="n">
        <v>0</v>
      </c>
      <c r="I286" t="n">
        <v>0</v>
      </c>
      <c r="J286" t="n">
        <v>1</v>
      </c>
      <c r="K286" t="n">
        <v>0</v>
      </c>
      <c r="L286" t="n">
        <v>0</v>
      </c>
      <c r="M286" t="n">
        <v>0</v>
      </c>
      <c r="N286" t="n">
        <v>0</v>
      </c>
      <c r="O286" t="n">
        <v>1</v>
      </c>
      <c r="P286" t="n">
        <v>0</v>
      </c>
      <c r="Q286" t="n">
        <v>1</v>
      </c>
      <c r="R286" s="2" t="inlineStr">
        <is>
          <t>Lunglav</t>
        </is>
      </c>
      <c r="S286">
        <f>HYPERLINK("https://klasma.github.io/Logging_2309/artfynd/A 27579-2022 artfynd.xlsx", "A 27579-2022")</f>
        <v/>
      </c>
      <c r="T286">
        <f>HYPERLINK("https://klasma.github.io/Logging_2309/kartor/A 27579-2022 karta.png", "A 27579-2022")</f>
        <v/>
      </c>
      <c r="V286">
        <f>HYPERLINK("https://klasma.github.io/Logging_2309/klagomål/A 27579-2022 FSC-klagomål.docx", "A 27579-2022")</f>
        <v/>
      </c>
      <c r="W286">
        <f>HYPERLINK("https://klasma.github.io/Logging_2309/klagomålsmail/A 27579-2022 FSC-klagomål mail.docx", "A 27579-2022")</f>
        <v/>
      </c>
      <c r="X286">
        <f>HYPERLINK("https://klasma.github.io/Logging_2309/tillsyn/A 27579-2022 tillsynsbegäran.docx", "A 27579-2022")</f>
        <v/>
      </c>
      <c r="Y286">
        <f>HYPERLINK("https://klasma.github.io/Logging_2309/tillsynsmail/A 27579-2022 tillsynsbegäran mail.docx", "A 27579-2022")</f>
        <v/>
      </c>
    </row>
    <row r="287" ht="15" customHeight="1">
      <c r="A287" t="inlineStr">
        <is>
          <t>A 28490-2022</t>
        </is>
      </c>
      <c r="B287" s="1" t="n">
        <v>44747</v>
      </c>
      <c r="C287" s="1" t="n">
        <v>45734</v>
      </c>
      <c r="D287" t="inlineStr">
        <is>
          <t>JÄMTLANDS LÄN</t>
        </is>
      </c>
      <c r="E287" t="inlineStr">
        <is>
          <t>KROKOM</t>
        </is>
      </c>
      <c r="F287" t="inlineStr">
        <is>
          <t>SCA</t>
        </is>
      </c>
      <c r="G287" t="n">
        <v>57.9</v>
      </c>
      <c r="H287" t="n">
        <v>0</v>
      </c>
      <c r="I287" t="n">
        <v>0</v>
      </c>
      <c r="J287" t="n">
        <v>1</v>
      </c>
      <c r="K287" t="n">
        <v>0</v>
      </c>
      <c r="L287" t="n">
        <v>0</v>
      </c>
      <c r="M287" t="n">
        <v>0</v>
      </c>
      <c r="N287" t="n">
        <v>0</v>
      </c>
      <c r="O287" t="n">
        <v>1</v>
      </c>
      <c r="P287" t="n">
        <v>0</v>
      </c>
      <c r="Q287" t="n">
        <v>1</v>
      </c>
      <c r="R287" s="2" t="inlineStr">
        <is>
          <t>Kolflarnlav</t>
        </is>
      </c>
      <c r="S287">
        <f>HYPERLINK("https://klasma.github.io/Logging_2309/artfynd/A 28490-2022 artfynd.xlsx", "A 28490-2022")</f>
        <v/>
      </c>
      <c r="T287">
        <f>HYPERLINK("https://klasma.github.io/Logging_2309/kartor/A 28490-2022 karta.png", "A 28490-2022")</f>
        <v/>
      </c>
      <c r="V287">
        <f>HYPERLINK("https://klasma.github.io/Logging_2309/klagomål/A 28490-2022 FSC-klagomål.docx", "A 28490-2022")</f>
        <v/>
      </c>
      <c r="W287">
        <f>HYPERLINK("https://klasma.github.io/Logging_2309/klagomålsmail/A 28490-2022 FSC-klagomål mail.docx", "A 28490-2022")</f>
        <v/>
      </c>
      <c r="X287">
        <f>HYPERLINK("https://klasma.github.io/Logging_2309/tillsyn/A 28490-2022 tillsynsbegäran.docx", "A 28490-2022")</f>
        <v/>
      </c>
      <c r="Y287">
        <f>HYPERLINK("https://klasma.github.io/Logging_2309/tillsynsmail/A 28490-2022 tillsynsbegäran mail.docx", "A 28490-2022")</f>
        <v/>
      </c>
    </row>
    <row r="288" ht="15" customHeight="1">
      <c r="A288" t="inlineStr">
        <is>
          <t>A 33316-2022</t>
        </is>
      </c>
      <c r="B288" s="1" t="n">
        <v>44788</v>
      </c>
      <c r="C288" s="1" t="n">
        <v>45734</v>
      </c>
      <c r="D288" t="inlineStr">
        <is>
          <t>JÄMTLANDS LÄN</t>
        </is>
      </c>
      <c r="E288" t="inlineStr">
        <is>
          <t>KROKOM</t>
        </is>
      </c>
      <c r="G288" t="n">
        <v>10.4</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33316-2022 artfynd.xlsx", "A 33316-2022")</f>
        <v/>
      </c>
      <c r="T288">
        <f>HYPERLINK("https://klasma.github.io/Logging_2309/kartor/A 33316-2022 karta.png", "A 33316-2022")</f>
        <v/>
      </c>
      <c r="V288">
        <f>HYPERLINK("https://klasma.github.io/Logging_2309/klagomål/A 33316-2022 FSC-klagomål.docx", "A 33316-2022")</f>
        <v/>
      </c>
      <c r="W288">
        <f>HYPERLINK("https://klasma.github.io/Logging_2309/klagomålsmail/A 33316-2022 FSC-klagomål mail.docx", "A 33316-2022")</f>
        <v/>
      </c>
      <c r="X288">
        <f>HYPERLINK("https://klasma.github.io/Logging_2309/tillsyn/A 33316-2022 tillsynsbegäran.docx", "A 33316-2022")</f>
        <v/>
      </c>
      <c r="Y288">
        <f>HYPERLINK("https://klasma.github.io/Logging_2309/tillsynsmail/A 33316-2022 tillsynsbegäran mail.docx", "A 33316-2022")</f>
        <v/>
      </c>
      <c r="Z288">
        <f>HYPERLINK("https://klasma.github.io/Logging_2309/fåglar/A 33316-2022 prioriterade fågelarter.docx", "A 33316-2022")</f>
        <v/>
      </c>
    </row>
    <row r="289" ht="15" customHeight="1">
      <c r="A289" t="inlineStr">
        <is>
          <t>A 35246-2022</t>
        </is>
      </c>
      <c r="B289" s="1" t="n">
        <v>44797</v>
      </c>
      <c r="C289" s="1" t="n">
        <v>45734</v>
      </c>
      <c r="D289" t="inlineStr">
        <is>
          <t>JÄMTLANDS LÄN</t>
        </is>
      </c>
      <c r="E289" t="inlineStr">
        <is>
          <t>KROKOM</t>
        </is>
      </c>
      <c r="G289" t="n">
        <v>29.4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35246-2022 artfynd.xlsx", "A 35246-2022")</f>
        <v/>
      </c>
      <c r="T289">
        <f>HYPERLINK("https://klasma.github.io/Logging_2309/kartor/A 35246-2022 karta.png", "A 35246-2022")</f>
        <v/>
      </c>
      <c r="V289">
        <f>HYPERLINK("https://klasma.github.io/Logging_2309/klagomål/A 35246-2022 FSC-klagomål.docx", "A 35246-2022")</f>
        <v/>
      </c>
      <c r="W289">
        <f>HYPERLINK("https://klasma.github.io/Logging_2309/klagomålsmail/A 35246-2022 FSC-klagomål mail.docx", "A 35246-2022")</f>
        <v/>
      </c>
      <c r="X289">
        <f>HYPERLINK("https://klasma.github.io/Logging_2309/tillsyn/A 35246-2022 tillsynsbegäran.docx", "A 35246-2022")</f>
        <v/>
      </c>
      <c r="Y289">
        <f>HYPERLINK("https://klasma.github.io/Logging_2309/tillsynsmail/A 35246-2022 tillsynsbegäran mail.docx", "A 35246-2022")</f>
        <v/>
      </c>
      <c r="Z289">
        <f>HYPERLINK("https://klasma.github.io/Logging_2309/fåglar/A 35246-2022 prioriterade fågelarter.docx", "A 35246-2022")</f>
        <v/>
      </c>
    </row>
    <row r="290" ht="15" customHeight="1">
      <c r="A290" t="inlineStr">
        <is>
          <t>A 45595-2022</t>
        </is>
      </c>
      <c r="B290" s="1" t="n">
        <v>44845</v>
      </c>
      <c r="C290" s="1" t="n">
        <v>45734</v>
      </c>
      <c r="D290" t="inlineStr">
        <is>
          <t>JÄMTLANDS LÄN</t>
        </is>
      </c>
      <c r="E290" t="inlineStr">
        <is>
          <t>KROKOM</t>
        </is>
      </c>
      <c r="G290" t="n">
        <v>10.2</v>
      </c>
      <c r="H290" t="n">
        <v>1</v>
      </c>
      <c r="I290" t="n">
        <v>0</v>
      </c>
      <c r="J290" t="n">
        <v>0</v>
      </c>
      <c r="K290" t="n">
        <v>0</v>
      </c>
      <c r="L290" t="n">
        <v>0</v>
      </c>
      <c r="M290" t="n">
        <v>0</v>
      </c>
      <c r="N290" t="n">
        <v>0</v>
      </c>
      <c r="O290" t="n">
        <v>0</v>
      </c>
      <c r="P290" t="n">
        <v>0</v>
      </c>
      <c r="Q290" t="n">
        <v>1</v>
      </c>
      <c r="R290" s="2" t="inlineStr">
        <is>
          <t>Revlummer</t>
        </is>
      </c>
      <c r="S290">
        <f>HYPERLINK("https://klasma.github.io/Logging_2309/artfynd/A 45595-2022 artfynd.xlsx", "A 45595-2022")</f>
        <v/>
      </c>
      <c r="T290">
        <f>HYPERLINK("https://klasma.github.io/Logging_2309/kartor/A 45595-2022 karta.png", "A 45595-2022")</f>
        <v/>
      </c>
      <c r="V290">
        <f>HYPERLINK("https://klasma.github.io/Logging_2309/klagomål/A 45595-2022 FSC-klagomål.docx", "A 45595-2022")</f>
        <v/>
      </c>
      <c r="W290">
        <f>HYPERLINK("https://klasma.github.io/Logging_2309/klagomålsmail/A 45595-2022 FSC-klagomål mail.docx", "A 45595-2022")</f>
        <v/>
      </c>
      <c r="X290">
        <f>HYPERLINK("https://klasma.github.io/Logging_2309/tillsyn/A 45595-2022 tillsynsbegäran.docx", "A 45595-2022")</f>
        <v/>
      </c>
      <c r="Y290">
        <f>HYPERLINK("https://klasma.github.io/Logging_2309/tillsynsmail/A 45595-2022 tillsynsbegäran mail.docx", "A 45595-2022")</f>
        <v/>
      </c>
    </row>
    <row r="291" ht="15" customHeight="1">
      <c r="A291" t="inlineStr">
        <is>
          <t>A 15430-2023</t>
        </is>
      </c>
      <c r="B291" s="1" t="n">
        <v>45020</v>
      </c>
      <c r="C291" s="1" t="n">
        <v>45734</v>
      </c>
      <c r="D291" t="inlineStr">
        <is>
          <t>JÄMTLANDS LÄN</t>
        </is>
      </c>
      <c r="E291" t="inlineStr">
        <is>
          <t>KROKOM</t>
        </is>
      </c>
      <c r="G291" t="n">
        <v>31.8</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15430-2023 artfynd.xlsx", "A 15430-2023")</f>
        <v/>
      </c>
      <c r="T291">
        <f>HYPERLINK("https://klasma.github.io/Logging_2309/kartor/A 15430-2023 karta.png", "A 15430-2023")</f>
        <v/>
      </c>
      <c r="V291">
        <f>HYPERLINK("https://klasma.github.io/Logging_2309/klagomål/A 15430-2023 FSC-klagomål.docx", "A 15430-2023")</f>
        <v/>
      </c>
      <c r="W291">
        <f>HYPERLINK("https://klasma.github.io/Logging_2309/klagomålsmail/A 15430-2023 FSC-klagomål mail.docx", "A 15430-2023")</f>
        <v/>
      </c>
      <c r="X291">
        <f>HYPERLINK("https://klasma.github.io/Logging_2309/tillsyn/A 15430-2023 tillsynsbegäran.docx", "A 15430-2023")</f>
        <v/>
      </c>
      <c r="Y291">
        <f>HYPERLINK("https://klasma.github.io/Logging_2309/tillsynsmail/A 15430-2023 tillsynsbegäran mail.docx", "A 15430-2023")</f>
        <v/>
      </c>
      <c r="Z291">
        <f>HYPERLINK("https://klasma.github.io/Logging_2309/fåglar/A 15430-2023 prioriterade fågelarter.docx", "A 15430-2023")</f>
        <v/>
      </c>
    </row>
    <row r="292" ht="15" customHeight="1">
      <c r="A292" t="inlineStr">
        <is>
          <t>A 25285-2023</t>
        </is>
      </c>
      <c r="B292" s="1" t="n">
        <v>45079</v>
      </c>
      <c r="C292" s="1" t="n">
        <v>45734</v>
      </c>
      <c r="D292" t="inlineStr">
        <is>
          <t>JÄMTLANDS LÄN</t>
        </is>
      </c>
      <c r="E292" t="inlineStr">
        <is>
          <t>KROKOM</t>
        </is>
      </c>
      <c r="G292" t="n">
        <v>14.9</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25285-2023 artfynd.xlsx", "A 25285-2023")</f>
        <v/>
      </c>
      <c r="T292">
        <f>HYPERLINK("https://klasma.github.io/Logging_2309/kartor/A 25285-2023 karta.png", "A 25285-2023")</f>
        <v/>
      </c>
      <c r="V292">
        <f>HYPERLINK("https://klasma.github.io/Logging_2309/klagomål/A 25285-2023 FSC-klagomål.docx", "A 25285-2023")</f>
        <v/>
      </c>
      <c r="W292">
        <f>HYPERLINK("https://klasma.github.io/Logging_2309/klagomålsmail/A 25285-2023 FSC-klagomål mail.docx", "A 25285-2023")</f>
        <v/>
      </c>
      <c r="X292">
        <f>HYPERLINK("https://klasma.github.io/Logging_2309/tillsyn/A 25285-2023 tillsynsbegäran.docx", "A 25285-2023")</f>
        <v/>
      </c>
      <c r="Y292">
        <f>HYPERLINK("https://klasma.github.io/Logging_2309/tillsynsmail/A 25285-2023 tillsynsbegäran mail.docx", "A 25285-2023")</f>
        <v/>
      </c>
      <c r="Z292">
        <f>HYPERLINK("https://klasma.github.io/Logging_2309/fåglar/A 25285-2023 prioriterade fågelarter.docx", "A 25285-2023")</f>
        <v/>
      </c>
    </row>
    <row r="293" ht="15" customHeight="1">
      <c r="A293" t="inlineStr">
        <is>
          <t>A 27753-2023</t>
        </is>
      </c>
      <c r="B293" s="1" t="n">
        <v>45098</v>
      </c>
      <c r="C293" s="1" t="n">
        <v>45734</v>
      </c>
      <c r="D293" t="inlineStr">
        <is>
          <t>JÄMTLANDS LÄN</t>
        </is>
      </c>
      <c r="E293" t="inlineStr">
        <is>
          <t>KROKOM</t>
        </is>
      </c>
      <c r="F293" t="inlineStr">
        <is>
          <t>Övriga Aktiebolag</t>
        </is>
      </c>
      <c r="G293" t="n">
        <v>20.9</v>
      </c>
      <c r="H293" t="n">
        <v>0</v>
      </c>
      <c r="I293" t="n">
        <v>0</v>
      </c>
      <c r="J293" t="n">
        <v>1</v>
      </c>
      <c r="K293" t="n">
        <v>0</v>
      </c>
      <c r="L293" t="n">
        <v>0</v>
      </c>
      <c r="M293" t="n">
        <v>0</v>
      </c>
      <c r="N293" t="n">
        <v>0</v>
      </c>
      <c r="O293" t="n">
        <v>1</v>
      </c>
      <c r="P293" t="n">
        <v>0</v>
      </c>
      <c r="Q293" t="n">
        <v>1</v>
      </c>
      <c r="R293" s="2" t="inlineStr">
        <is>
          <t>Mörk kolflarnlav</t>
        </is>
      </c>
      <c r="S293">
        <f>HYPERLINK("https://klasma.github.io/Logging_2309/artfynd/A 27753-2023 artfynd.xlsx", "A 27753-2023")</f>
        <v/>
      </c>
      <c r="T293">
        <f>HYPERLINK("https://klasma.github.io/Logging_2309/kartor/A 27753-2023 karta.png", "A 27753-2023")</f>
        <v/>
      </c>
      <c r="V293">
        <f>HYPERLINK("https://klasma.github.io/Logging_2309/klagomål/A 27753-2023 FSC-klagomål.docx", "A 27753-2023")</f>
        <v/>
      </c>
      <c r="W293">
        <f>HYPERLINK("https://klasma.github.io/Logging_2309/klagomålsmail/A 27753-2023 FSC-klagomål mail.docx", "A 27753-2023")</f>
        <v/>
      </c>
      <c r="X293">
        <f>HYPERLINK("https://klasma.github.io/Logging_2309/tillsyn/A 27753-2023 tillsynsbegäran.docx", "A 27753-2023")</f>
        <v/>
      </c>
      <c r="Y293">
        <f>HYPERLINK("https://klasma.github.io/Logging_2309/tillsynsmail/A 27753-2023 tillsynsbegäran mail.docx", "A 27753-2023")</f>
        <v/>
      </c>
    </row>
    <row r="294" ht="15" customHeight="1">
      <c r="A294" t="inlineStr">
        <is>
          <t>A 31959-2023</t>
        </is>
      </c>
      <c r="B294" s="1" t="n">
        <v>45107</v>
      </c>
      <c r="C294" s="1" t="n">
        <v>45734</v>
      </c>
      <c r="D294" t="inlineStr">
        <is>
          <t>JÄMTLANDS LÄN</t>
        </is>
      </c>
      <c r="E294" t="inlineStr">
        <is>
          <t>KROKOM</t>
        </is>
      </c>
      <c r="G294" t="n">
        <v>12.1</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31959-2023 artfynd.xlsx", "A 31959-2023")</f>
        <v/>
      </c>
      <c r="T294">
        <f>HYPERLINK("https://klasma.github.io/Logging_2309/kartor/A 31959-2023 karta.png", "A 31959-2023")</f>
        <v/>
      </c>
      <c r="V294">
        <f>HYPERLINK("https://klasma.github.io/Logging_2309/klagomål/A 31959-2023 FSC-klagomål.docx", "A 31959-2023")</f>
        <v/>
      </c>
      <c r="W294">
        <f>HYPERLINK("https://klasma.github.io/Logging_2309/klagomålsmail/A 31959-2023 FSC-klagomål mail.docx", "A 31959-2023")</f>
        <v/>
      </c>
      <c r="X294">
        <f>HYPERLINK("https://klasma.github.io/Logging_2309/tillsyn/A 31959-2023 tillsynsbegäran.docx", "A 31959-2023")</f>
        <v/>
      </c>
      <c r="Y294">
        <f>HYPERLINK("https://klasma.github.io/Logging_2309/tillsynsmail/A 31959-2023 tillsynsbegäran mail.docx", "A 31959-2023")</f>
        <v/>
      </c>
      <c r="Z294">
        <f>HYPERLINK("https://klasma.github.io/Logging_2309/fåglar/A 31959-2023 prioriterade fågelarter.docx", "A 31959-2023")</f>
        <v/>
      </c>
    </row>
    <row r="295" ht="15" customHeight="1">
      <c r="A295" t="inlineStr">
        <is>
          <t>A 32756-2023</t>
        </is>
      </c>
      <c r="B295" s="1" t="n">
        <v>45123</v>
      </c>
      <c r="C295" s="1" t="n">
        <v>45734</v>
      </c>
      <c r="D295" t="inlineStr">
        <is>
          <t>JÄMTLANDS LÄN</t>
        </is>
      </c>
      <c r="E295" t="inlineStr">
        <is>
          <t>KROKOM</t>
        </is>
      </c>
      <c r="F295" t="inlineStr">
        <is>
          <t>Övriga Aktiebolag</t>
        </is>
      </c>
      <c r="G295" t="n">
        <v>6.8</v>
      </c>
      <c r="H295" t="n">
        <v>0</v>
      </c>
      <c r="I295" t="n">
        <v>1</v>
      </c>
      <c r="J295" t="n">
        <v>0</v>
      </c>
      <c r="K295" t="n">
        <v>0</v>
      </c>
      <c r="L295" t="n">
        <v>0</v>
      </c>
      <c r="M295" t="n">
        <v>0</v>
      </c>
      <c r="N295" t="n">
        <v>0</v>
      </c>
      <c r="O295" t="n">
        <v>0</v>
      </c>
      <c r="P295" t="n">
        <v>0</v>
      </c>
      <c r="Q295" t="n">
        <v>1</v>
      </c>
      <c r="R295" s="2" t="inlineStr">
        <is>
          <t>Kransrams</t>
        </is>
      </c>
      <c r="S295">
        <f>HYPERLINK("https://klasma.github.io/Logging_2309/artfynd/A 32756-2023 artfynd.xlsx", "A 32756-2023")</f>
        <v/>
      </c>
      <c r="T295">
        <f>HYPERLINK("https://klasma.github.io/Logging_2309/kartor/A 32756-2023 karta.png", "A 32756-2023")</f>
        <v/>
      </c>
      <c r="V295">
        <f>HYPERLINK("https://klasma.github.io/Logging_2309/klagomål/A 32756-2023 FSC-klagomål.docx", "A 32756-2023")</f>
        <v/>
      </c>
      <c r="W295">
        <f>HYPERLINK("https://klasma.github.io/Logging_2309/klagomålsmail/A 32756-2023 FSC-klagomål mail.docx", "A 32756-2023")</f>
        <v/>
      </c>
      <c r="X295">
        <f>HYPERLINK("https://klasma.github.io/Logging_2309/tillsyn/A 32756-2023 tillsynsbegäran.docx", "A 32756-2023")</f>
        <v/>
      </c>
      <c r="Y295">
        <f>HYPERLINK("https://klasma.github.io/Logging_2309/tillsynsmail/A 32756-2023 tillsynsbegäran mail.docx", "A 32756-2023")</f>
        <v/>
      </c>
    </row>
    <row r="296" ht="15" customHeight="1">
      <c r="A296" t="inlineStr">
        <is>
          <t>A 36639-2023</t>
        </is>
      </c>
      <c r="B296" s="1" t="n">
        <v>45153</v>
      </c>
      <c r="C296" s="1" t="n">
        <v>45734</v>
      </c>
      <c r="D296" t="inlineStr">
        <is>
          <t>JÄMTLANDS LÄN</t>
        </is>
      </c>
      <c r="E296" t="inlineStr">
        <is>
          <t>KROKOM</t>
        </is>
      </c>
      <c r="F296" t="inlineStr">
        <is>
          <t>Övriga Aktiebolag</t>
        </is>
      </c>
      <c r="G296" t="n">
        <v>5.5</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36639-2023 artfynd.xlsx", "A 36639-2023")</f>
        <v/>
      </c>
      <c r="T296">
        <f>HYPERLINK("https://klasma.github.io/Logging_2309/kartor/A 36639-2023 karta.png", "A 36639-2023")</f>
        <v/>
      </c>
      <c r="V296">
        <f>HYPERLINK("https://klasma.github.io/Logging_2309/klagomål/A 36639-2023 FSC-klagomål.docx", "A 36639-2023")</f>
        <v/>
      </c>
      <c r="W296">
        <f>HYPERLINK("https://klasma.github.io/Logging_2309/klagomålsmail/A 36639-2023 FSC-klagomål mail.docx", "A 36639-2023")</f>
        <v/>
      </c>
      <c r="X296">
        <f>HYPERLINK("https://klasma.github.io/Logging_2309/tillsyn/A 36639-2023 tillsynsbegäran.docx", "A 36639-2023")</f>
        <v/>
      </c>
      <c r="Y296">
        <f>HYPERLINK("https://klasma.github.io/Logging_2309/tillsynsmail/A 36639-2023 tillsynsbegäran mail.docx", "A 36639-2023")</f>
        <v/>
      </c>
      <c r="Z296">
        <f>HYPERLINK("https://klasma.github.io/Logging_2309/fåglar/A 36639-2023 prioriterade fågelarter.docx", "A 36639-2023")</f>
        <v/>
      </c>
    </row>
    <row r="297" ht="15" customHeight="1">
      <c r="A297" t="inlineStr">
        <is>
          <t>A 42156-2023</t>
        </is>
      </c>
      <c r="B297" s="1" t="n">
        <v>45177</v>
      </c>
      <c r="C297" s="1" t="n">
        <v>45734</v>
      </c>
      <c r="D297" t="inlineStr">
        <is>
          <t>JÄMTLANDS LÄN</t>
        </is>
      </c>
      <c r="E297" t="inlineStr">
        <is>
          <t>KROKOM</t>
        </is>
      </c>
      <c r="G297" t="n">
        <v>1</v>
      </c>
      <c r="H297" t="n">
        <v>0</v>
      </c>
      <c r="I297" t="n">
        <v>0</v>
      </c>
      <c r="J297" t="n">
        <v>1</v>
      </c>
      <c r="K297" t="n">
        <v>0</v>
      </c>
      <c r="L297" t="n">
        <v>0</v>
      </c>
      <c r="M297" t="n">
        <v>0</v>
      </c>
      <c r="N297" t="n">
        <v>0</v>
      </c>
      <c r="O297" t="n">
        <v>1</v>
      </c>
      <c r="P297" t="n">
        <v>0</v>
      </c>
      <c r="Q297" t="n">
        <v>1</v>
      </c>
      <c r="R297" s="2" t="inlineStr">
        <is>
          <t>Granticka</t>
        </is>
      </c>
      <c r="S297">
        <f>HYPERLINK("https://klasma.github.io/Logging_2309/artfynd/A 42156-2023 artfynd.xlsx", "A 42156-2023")</f>
        <v/>
      </c>
      <c r="T297">
        <f>HYPERLINK("https://klasma.github.io/Logging_2309/kartor/A 42156-2023 karta.png", "A 42156-2023")</f>
        <v/>
      </c>
      <c r="V297">
        <f>HYPERLINK("https://klasma.github.io/Logging_2309/klagomål/A 42156-2023 FSC-klagomål.docx", "A 42156-2023")</f>
        <v/>
      </c>
      <c r="W297">
        <f>HYPERLINK("https://klasma.github.io/Logging_2309/klagomålsmail/A 42156-2023 FSC-klagomål mail.docx", "A 42156-2023")</f>
        <v/>
      </c>
      <c r="X297">
        <f>HYPERLINK("https://klasma.github.io/Logging_2309/tillsyn/A 42156-2023 tillsynsbegäran.docx", "A 42156-2023")</f>
        <v/>
      </c>
      <c r="Y297">
        <f>HYPERLINK("https://klasma.github.io/Logging_2309/tillsynsmail/A 42156-2023 tillsynsbegäran mail.docx", "A 42156-2023")</f>
        <v/>
      </c>
    </row>
    <row r="298" ht="15" customHeight="1">
      <c r="A298" t="inlineStr">
        <is>
          <t>A 42258-2023</t>
        </is>
      </c>
      <c r="B298" s="1" t="n">
        <v>45180</v>
      </c>
      <c r="C298" s="1" t="n">
        <v>45734</v>
      </c>
      <c r="D298" t="inlineStr">
        <is>
          <t>JÄMTLANDS LÄN</t>
        </is>
      </c>
      <c r="E298" t="inlineStr">
        <is>
          <t>KROKOM</t>
        </is>
      </c>
      <c r="F298" t="inlineStr">
        <is>
          <t>Övriga Aktiebolag</t>
        </is>
      </c>
      <c r="G298" t="n">
        <v>0.2</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42258-2023 artfynd.xlsx", "A 42258-2023")</f>
        <v/>
      </c>
      <c r="T298">
        <f>HYPERLINK("https://klasma.github.io/Logging_2309/kartor/A 42258-2023 karta.png", "A 42258-2023")</f>
        <v/>
      </c>
      <c r="V298">
        <f>HYPERLINK("https://klasma.github.io/Logging_2309/klagomål/A 42258-2023 FSC-klagomål.docx", "A 42258-2023")</f>
        <v/>
      </c>
      <c r="W298">
        <f>HYPERLINK("https://klasma.github.io/Logging_2309/klagomålsmail/A 42258-2023 FSC-klagomål mail.docx", "A 42258-2023")</f>
        <v/>
      </c>
      <c r="X298">
        <f>HYPERLINK("https://klasma.github.io/Logging_2309/tillsyn/A 42258-2023 tillsynsbegäran.docx", "A 42258-2023")</f>
        <v/>
      </c>
      <c r="Y298">
        <f>HYPERLINK("https://klasma.github.io/Logging_2309/tillsynsmail/A 42258-2023 tillsynsbegäran mail.docx", "A 42258-2023")</f>
        <v/>
      </c>
      <c r="Z298">
        <f>HYPERLINK("https://klasma.github.io/Logging_2309/fåglar/A 42258-2023 prioriterade fågelarter.docx", "A 42258-2023")</f>
        <v/>
      </c>
    </row>
    <row r="299" ht="15" customHeight="1">
      <c r="A299" t="inlineStr">
        <is>
          <t>A 47338-2023</t>
        </is>
      </c>
      <c r="B299" s="1" t="n">
        <v>45196</v>
      </c>
      <c r="C299" s="1" t="n">
        <v>45734</v>
      </c>
      <c r="D299" t="inlineStr">
        <is>
          <t>JÄMTLANDS LÄN</t>
        </is>
      </c>
      <c r="E299" t="inlineStr">
        <is>
          <t>KROKOM</t>
        </is>
      </c>
      <c r="G299" t="n">
        <v>13</v>
      </c>
      <c r="H299" t="n">
        <v>0</v>
      </c>
      <c r="I299" t="n">
        <v>1</v>
      </c>
      <c r="J299" t="n">
        <v>0</v>
      </c>
      <c r="K299" t="n">
        <v>0</v>
      </c>
      <c r="L299" t="n">
        <v>0</v>
      </c>
      <c r="M299" t="n">
        <v>0</v>
      </c>
      <c r="N299" t="n">
        <v>0</v>
      </c>
      <c r="O299" t="n">
        <v>0</v>
      </c>
      <c r="P299" t="n">
        <v>0</v>
      </c>
      <c r="Q299" t="n">
        <v>1</v>
      </c>
      <c r="R299" s="2" t="inlineStr">
        <is>
          <t>Skinnlav</t>
        </is>
      </c>
      <c r="S299">
        <f>HYPERLINK("https://klasma.github.io/Logging_2309/artfynd/A 47338-2023 artfynd.xlsx", "A 47338-2023")</f>
        <v/>
      </c>
      <c r="T299">
        <f>HYPERLINK("https://klasma.github.io/Logging_2309/kartor/A 47338-2023 karta.png", "A 47338-2023")</f>
        <v/>
      </c>
      <c r="V299">
        <f>HYPERLINK("https://klasma.github.io/Logging_2309/klagomål/A 47338-2023 FSC-klagomål.docx", "A 47338-2023")</f>
        <v/>
      </c>
      <c r="W299">
        <f>HYPERLINK("https://klasma.github.io/Logging_2309/klagomålsmail/A 47338-2023 FSC-klagomål mail.docx", "A 47338-2023")</f>
        <v/>
      </c>
      <c r="X299">
        <f>HYPERLINK("https://klasma.github.io/Logging_2309/tillsyn/A 47338-2023 tillsynsbegäran.docx", "A 47338-2023")</f>
        <v/>
      </c>
      <c r="Y299">
        <f>HYPERLINK("https://klasma.github.io/Logging_2309/tillsynsmail/A 47338-2023 tillsynsbegäran mail.docx", "A 47338-2023")</f>
        <v/>
      </c>
    </row>
    <row r="300" ht="15" customHeight="1">
      <c r="A300" t="inlineStr">
        <is>
          <t>A 56572-2023</t>
        </is>
      </c>
      <c r="B300" s="1" t="n">
        <v>45243</v>
      </c>
      <c r="C300" s="1" t="n">
        <v>45734</v>
      </c>
      <c r="D300" t="inlineStr">
        <is>
          <t>JÄMTLANDS LÄN</t>
        </is>
      </c>
      <c r="E300" t="inlineStr">
        <is>
          <t>KROKOM</t>
        </is>
      </c>
      <c r="F300" t="inlineStr">
        <is>
          <t>Övriga Aktiebolag</t>
        </is>
      </c>
      <c r="G300" t="n">
        <v>0.8</v>
      </c>
      <c r="H300" t="n">
        <v>1</v>
      </c>
      <c r="I300" t="n">
        <v>0</v>
      </c>
      <c r="J300" t="n">
        <v>0</v>
      </c>
      <c r="K300" t="n">
        <v>0</v>
      </c>
      <c r="L300" t="n">
        <v>0</v>
      </c>
      <c r="M300" t="n">
        <v>0</v>
      </c>
      <c r="N300" t="n">
        <v>0</v>
      </c>
      <c r="O300" t="n">
        <v>0</v>
      </c>
      <c r="P300" t="n">
        <v>0</v>
      </c>
      <c r="Q300" t="n">
        <v>1</v>
      </c>
      <c r="R300" s="2" t="inlineStr">
        <is>
          <t>Vanlig groda</t>
        </is>
      </c>
      <c r="S300">
        <f>HYPERLINK("https://klasma.github.io/Logging_2309/artfynd/A 56572-2023 artfynd.xlsx", "A 56572-2023")</f>
        <v/>
      </c>
      <c r="T300">
        <f>HYPERLINK("https://klasma.github.io/Logging_2309/kartor/A 56572-2023 karta.png", "A 56572-2023")</f>
        <v/>
      </c>
      <c r="V300">
        <f>HYPERLINK("https://klasma.github.io/Logging_2309/klagomål/A 56572-2023 FSC-klagomål.docx", "A 56572-2023")</f>
        <v/>
      </c>
      <c r="W300">
        <f>HYPERLINK("https://klasma.github.io/Logging_2309/klagomålsmail/A 56572-2023 FSC-klagomål mail.docx", "A 56572-2023")</f>
        <v/>
      </c>
      <c r="X300">
        <f>HYPERLINK("https://klasma.github.io/Logging_2309/tillsyn/A 56572-2023 tillsynsbegäran.docx", "A 56572-2023")</f>
        <v/>
      </c>
      <c r="Y300">
        <f>HYPERLINK("https://klasma.github.io/Logging_2309/tillsynsmail/A 56572-2023 tillsynsbegäran mail.docx", "A 56572-2023")</f>
        <v/>
      </c>
    </row>
    <row r="301" ht="15" customHeight="1">
      <c r="A301" t="inlineStr">
        <is>
          <t>A 56628-2023</t>
        </is>
      </c>
      <c r="B301" s="1" t="n">
        <v>45243</v>
      </c>
      <c r="C301" s="1" t="n">
        <v>45734</v>
      </c>
      <c r="D301" t="inlineStr">
        <is>
          <t>JÄMTLANDS LÄN</t>
        </is>
      </c>
      <c r="E301" t="inlineStr">
        <is>
          <t>KROKOM</t>
        </is>
      </c>
      <c r="G301" t="n">
        <v>17.8</v>
      </c>
      <c r="H301" t="n">
        <v>1</v>
      </c>
      <c r="I301" t="n">
        <v>0</v>
      </c>
      <c r="J301" t="n">
        <v>0</v>
      </c>
      <c r="K301" t="n">
        <v>0</v>
      </c>
      <c r="L301" t="n">
        <v>0</v>
      </c>
      <c r="M301" t="n">
        <v>0</v>
      </c>
      <c r="N301" t="n">
        <v>0</v>
      </c>
      <c r="O301" t="n">
        <v>0</v>
      </c>
      <c r="P301" t="n">
        <v>0</v>
      </c>
      <c r="Q301" t="n">
        <v>1</v>
      </c>
      <c r="R301" s="2" t="inlineStr">
        <is>
          <t>Blåsippa</t>
        </is>
      </c>
      <c r="S301">
        <f>HYPERLINK("https://klasma.github.io/Logging_2309/artfynd/A 56628-2023 artfynd.xlsx", "A 56628-2023")</f>
        <v/>
      </c>
      <c r="T301">
        <f>HYPERLINK("https://klasma.github.io/Logging_2309/kartor/A 56628-2023 karta.png", "A 56628-2023")</f>
        <v/>
      </c>
      <c r="V301">
        <f>HYPERLINK("https://klasma.github.io/Logging_2309/klagomål/A 56628-2023 FSC-klagomål.docx", "A 56628-2023")</f>
        <v/>
      </c>
      <c r="W301">
        <f>HYPERLINK("https://klasma.github.io/Logging_2309/klagomålsmail/A 56628-2023 FSC-klagomål mail.docx", "A 56628-2023")</f>
        <v/>
      </c>
      <c r="X301">
        <f>HYPERLINK("https://klasma.github.io/Logging_2309/tillsyn/A 56628-2023 tillsynsbegäran.docx", "A 56628-2023")</f>
        <v/>
      </c>
      <c r="Y301">
        <f>HYPERLINK("https://klasma.github.io/Logging_2309/tillsynsmail/A 56628-2023 tillsynsbegäran mail.docx", "A 56628-2023")</f>
        <v/>
      </c>
    </row>
    <row r="302" ht="15" customHeight="1">
      <c r="A302" t="inlineStr">
        <is>
          <t>A 62936-2023</t>
        </is>
      </c>
      <c r="B302" s="1" t="n">
        <v>45271</v>
      </c>
      <c r="C302" s="1" t="n">
        <v>45734</v>
      </c>
      <c r="D302" t="inlineStr">
        <is>
          <t>JÄMTLANDS LÄN</t>
        </is>
      </c>
      <c r="E302" t="inlineStr">
        <is>
          <t>KROKOM</t>
        </is>
      </c>
      <c r="G302" t="n">
        <v>55.4</v>
      </c>
      <c r="H302" t="n">
        <v>0</v>
      </c>
      <c r="I302" t="n">
        <v>1</v>
      </c>
      <c r="J302" t="n">
        <v>0</v>
      </c>
      <c r="K302" t="n">
        <v>0</v>
      </c>
      <c r="L302" t="n">
        <v>0</v>
      </c>
      <c r="M302" t="n">
        <v>0</v>
      </c>
      <c r="N302" t="n">
        <v>0</v>
      </c>
      <c r="O302" t="n">
        <v>0</v>
      </c>
      <c r="P302" t="n">
        <v>0</v>
      </c>
      <c r="Q302" t="n">
        <v>1</v>
      </c>
      <c r="R302" s="2" t="inlineStr">
        <is>
          <t>Stuplav</t>
        </is>
      </c>
      <c r="S302">
        <f>HYPERLINK("https://klasma.github.io/Logging_2309/artfynd/A 62936-2023 artfynd.xlsx", "A 62936-2023")</f>
        <v/>
      </c>
      <c r="T302">
        <f>HYPERLINK("https://klasma.github.io/Logging_2309/kartor/A 62936-2023 karta.png", "A 62936-2023")</f>
        <v/>
      </c>
      <c r="V302">
        <f>HYPERLINK("https://klasma.github.io/Logging_2309/klagomål/A 62936-2023 FSC-klagomål.docx", "A 62936-2023")</f>
        <v/>
      </c>
      <c r="W302">
        <f>HYPERLINK("https://klasma.github.io/Logging_2309/klagomålsmail/A 62936-2023 FSC-klagomål mail.docx", "A 62936-2023")</f>
        <v/>
      </c>
      <c r="X302">
        <f>HYPERLINK("https://klasma.github.io/Logging_2309/tillsyn/A 62936-2023 tillsynsbegäran.docx", "A 62936-2023")</f>
        <v/>
      </c>
      <c r="Y302">
        <f>HYPERLINK("https://klasma.github.io/Logging_2309/tillsynsmail/A 62936-2023 tillsynsbegäran mail.docx", "A 62936-2023")</f>
        <v/>
      </c>
    </row>
    <row r="303" ht="15" customHeight="1">
      <c r="A303" t="inlineStr">
        <is>
          <t>A 12818-2024</t>
        </is>
      </c>
      <c r="B303" s="1" t="n">
        <v>45384</v>
      </c>
      <c r="C303" s="1" t="n">
        <v>45734</v>
      </c>
      <c r="D303" t="inlineStr">
        <is>
          <t>JÄMTLANDS LÄN</t>
        </is>
      </c>
      <c r="E303" t="inlineStr">
        <is>
          <t>KROKOM</t>
        </is>
      </c>
      <c r="G303" t="n">
        <v>12.1</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12818-2024 artfynd.xlsx", "A 12818-2024")</f>
        <v/>
      </c>
      <c r="T303">
        <f>HYPERLINK("https://klasma.github.io/Logging_2309/kartor/A 12818-2024 karta.png", "A 12818-2024")</f>
        <v/>
      </c>
      <c r="V303">
        <f>HYPERLINK("https://klasma.github.io/Logging_2309/klagomål/A 12818-2024 FSC-klagomål.docx", "A 12818-2024")</f>
        <v/>
      </c>
      <c r="W303">
        <f>HYPERLINK("https://klasma.github.io/Logging_2309/klagomålsmail/A 12818-2024 FSC-klagomål mail.docx", "A 12818-2024")</f>
        <v/>
      </c>
      <c r="X303">
        <f>HYPERLINK("https://klasma.github.io/Logging_2309/tillsyn/A 12818-2024 tillsynsbegäran.docx", "A 12818-2024")</f>
        <v/>
      </c>
      <c r="Y303">
        <f>HYPERLINK("https://klasma.github.io/Logging_2309/tillsynsmail/A 12818-2024 tillsynsbegäran mail.docx", "A 12818-2024")</f>
        <v/>
      </c>
      <c r="Z303">
        <f>HYPERLINK("https://klasma.github.io/Logging_2309/fåglar/A 12818-2024 prioriterade fågelarter.docx", "A 12818-2024")</f>
        <v/>
      </c>
    </row>
    <row r="304" ht="15" customHeight="1">
      <c r="A304" t="inlineStr">
        <is>
          <t>A 16426-2024</t>
        </is>
      </c>
      <c r="B304" s="1" t="n">
        <v>45407</v>
      </c>
      <c r="C304" s="1" t="n">
        <v>45734</v>
      </c>
      <c r="D304" t="inlineStr">
        <is>
          <t>JÄMTLANDS LÄN</t>
        </is>
      </c>
      <c r="E304" t="inlineStr">
        <is>
          <t>KROKOM</t>
        </is>
      </c>
      <c r="G304" t="n">
        <v>1.3</v>
      </c>
      <c r="H304" t="n">
        <v>0</v>
      </c>
      <c r="I304" t="n">
        <v>0</v>
      </c>
      <c r="J304" t="n">
        <v>1</v>
      </c>
      <c r="K304" t="n">
        <v>0</v>
      </c>
      <c r="L304" t="n">
        <v>0</v>
      </c>
      <c r="M304" t="n">
        <v>0</v>
      </c>
      <c r="N304" t="n">
        <v>0</v>
      </c>
      <c r="O304" t="n">
        <v>1</v>
      </c>
      <c r="P304" t="n">
        <v>0</v>
      </c>
      <c r="Q304" t="n">
        <v>1</v>
      </c>
      <c r="R304" s="2" t="inlineStr">
        <is>
          <t>Slåtterfibbla</t>
        </is>
      </c>
      <c r="S304">
        <f>HYPERLINK("https://klasma.github.io/Logging_2309/artfynd/A 16426-2024 artfynd.xlsx", "A 16426-2024")</f>
        <v/>
      </c>
      <c r="T304">
        <f>HYPERLINK("https://klasma.github.io/Logging_2309/kartor/A 16426-2024 karta.png", "A 16426-2024")</f>
        <v/>
      </c>
      <c r="V304">
        <f>HYPERLINK("https://klasma.github.io/Logging_2309/klagomål/A 16426-2024 FSC-klagomål.docx", "A 16426-2024")</f>
        <v/>
      </c>
      <c r="W304">
        <f>HYPERLINK("https://klasma.github.io/Logging_2309/klagomålsmail/A 16426-2024 FSC-klagomål mail.docx", "A 16426-2024")</f>
        <v/>
      </c>
      <c r="X304">
        <f>HYPERLINK("https://klasma.github.io/Logging_2309/tillsyn/A 16426-2024 tillsynsbegäran.docx", "A 16426-2024")</f>
        <v/>
      </c>
      <c r="Y304">
        <f>HYPERLINK("https://klasma.github.io/Logging_2309/tillsynsmail/A 16426-2024 tillsynsbegäran mail.docx", "A 16426-2024")</f>
        <v/>
      </c>
    </row>
    <row r="305" ht="15" customHeight="1">
      <c r="A305" t="inlineStr">
        <is>
          <t>A 19534-2024</t>
        </is>
      </c>
      <c r="B305" s="1" t="n">
        <v>45429</v>
      </c>
      <c r="C305" s="1" t="n">
        <v>45734</v>
      </c>
      <c r="D305" t="inlineStr">
        <is>
          <t>JÄMTLANDS LÄN</t>
        </is>
      </c>
      <c r="E305" t="inlineStr">
        <is>
          <t>KROKOM</t>
        </is>
      </c>
      <c r="F305" t="inlineStr">
        <is>
          <t>Övriga Aktiebolag</t>
        </is>
      </c>
      <c r="G305" t="n">
        <v>4.8</v>
      </c>
      <c r="H305" t="n">
        <v>1</v>
      </c>
      <c r="I305" t="n">
        <v>1</v>
      </c>
      <c r="J305" t="n">
        <v>0</v>
      </c>
      <c r="K305" t="n">
        <v>0</v>
      </c>
      <c r="L305" t="n">
        <v>0</v>
      </c>
      <c r="M305" t="n">
        <v>0</v>
      </c>
      <c r="N305" t="n">
        <v>0</v>
      </c>
      <c r="O305" t="n">
        <v>0</v>
      </c>
      <c r="P305" t="n">
        <v>0</v>
      </c>
      <c r="Q305" t="n">
        <v>1</v>
      </c>
      <c r="R305" s="2" t="inlineStr">
        <is>
          <t>Spindelblomster</t>
        </is>
      </c>
      <c r="S305">
        <f>HYPERLINK("https://klasma.github.io/Logging_2309/artfynd/A 19534-2024 artfynd.xlsx", "A 19534-2024")</f>
        <v/>
      </c>
      <c r="T305">
        <f>HYPERLINK("https://klasma.github.io/Logging_2309/kartor/A 19534-2024 karta.png", "A 19534-2024")</f>
        <v/>
      </c>
      <c r="V305">
        <f>HYPERLINK("https://klasma.github.io/Logging_2309/klagomål/A 19534-2024 FSC-klagomål.docx", "A 19534-2024")</f>
        <v/>
      </c>
      <c r="W305">
        <f>HYPERLINK("https://klasma.github.io/Logging_2309/klagomålsmail/A 19534-2024 FSC-klagomål mail.docx", "A 19534-2024")</f>
        <v/>
      </c>
      <c r="X305">
        <f>HYPERLINK("https://klasma.github.io/Logging_2309/tillsyn/A 19534-2024 tillsynsbegäran.docx", "A 19534-2024")</f>
        <v/>
      </c>
      <c r="Y305">
        <f>HYPERLINK("https://klasma.github.io/Logging_2309/tillsynsmail/A 19534-2024 tillsynsbegäran mail.docx", "A 19534-2024")</f>
        <v/>
      </c>
    </row>
    <row r="306" ht="15" customHeight="1">
      <c r="A306" t="inlineStr">
        <is>
          <t>A 22966-2024</t>
        </is>
      </c>
      <c r="B306" s="1" t="n">
        <v>45449</v>
      </c>
      <c r="C306" s="1" t="n">
        <v>45734</v>
      </c>
      <c r="D306" t="inlineStr">
        <is>
          <t>JÄMTLANDS LÄN</t>
        </is>
      </c>
      <c r="E306" t="inlineStr">
        <is>
          <t>KROKOM</t>
        </is>
      </c>
      <c r="G306" t="n">
        <v>1.8</v>
      </c>
      <c r="H306" t="n">
        <v>0</v>
      </c>
      <c r="I306" t="n">
        <v>0</v>
      </c>
      <c r="J306" t="n">
        <v>1</v>
      </c>
      <c r="K306" t="n">
        <v>0</v>
      </c>
      <c r="L306" t="n">
        <v>0</v>
      </c>
      <c r="M306" t="n">
        <v>0</v>
      </c>
      <c r="N306" t="n">
        <v>0</v>
      </c>
      <c r="O306" t="n">
        <v>1</v>
      </c>
      <c r="P306" t="n">
        <v>0</v>
      </c>
      <c r="Q306" t="n">
        <v>1</v>
      </c>
      <c r="R306" s="2" t="inlineStr">
        <is>
          <t>Kronskål</t>
        </is>
      </c>
      <c r="S306">
        <f>HYPERLINK("https://klasma.github.io/Logging_2309/artfynd/A 22966-2024 artfynd.xlsx", "A 22966-2024")</f>
        <v/>
      </c>
      <c r="T306">
        <f>HYPERLINK("https://klasma.github.io/Logging_2309/kartor/A 22966-2024 karta.png", "A 22966-2024")</f>
        <v/>
      </c>
      <c r="V306">
        <f>HYPERLINK("https://klasma.github.io/Logging_2309/klagomål/A 22966-2024 FSC-klagomål.docx", "A 22966-2024")</f>
        <v/>
      </c>
      <c r="W306">
        <f>HYPERLINK("https://klasma.github.io/Logging_2309/klagomålsmail/A 22966-2024 FSC-klagomål mail.docx", "A 22966-2024")</f>
        <v/>
      </c>
      <c r="X306">
        <f>HYPERLINK("https://klasma.github.io/Logging_2309/tillsyn/A 22966-2024 tillsynsbegäran.docx", "A 22966-2024")</f>
        <v/>
      </c>
      <c r="Y306">
        <f>HYPERLINK("https://klasma.github.io/Logging_2309/tillsynsmail/A 22966-2024 tillsynsbegäran mail.docx", "A 22966-2024")</f>
        <v/>
      </c>
    </row>
    <row r="307" ht="15" customHeight="1">
      <c r="A307" t="inlineStr">
        <is>
          <t>A 26290-2024</t>
        </is>
      </c>
      <c r="B307" s="1" t="n">
        <v>45468</v>
      </c>
      <c r="C307" s="1" t="n">
        <v>45734</v>
      </c>
      <c r="D307" t="inlineStr">
        <is>
          <t>JÄMTLANDS LÄN</t>
        </is>
      </c>
      <c r="E307" t="inlineStr">
        <is>
          <t>KROKOM</t>
        </is>
      </c>
      <c r="F307" t="inlineStr">
        <is>
          <t>Övriga Aktiebolag</t>
        </is>
      </c>
      <c r="G307" t="n">
        <v>1.3</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26290-2024 artfynd.xlsx", "A 26290-2024")</f>
        <v/>
      </c>
      <c r="T307">
        <f>HYPERLINK("https://klasma.github.io/Logging_2309/kartor/A 26290-2024 karta.png", "A 26290-2024")</f>
        <v/>
      </c>
      <c r="V307">
        <f>HYPERLINK("https://klasma.github.io/Logging_2309/klagomål/A 26290-2024 FSC-klagomål.docx", "A 26290-2024")</f>
        <v/>
      </c>
      <c r="W307">
        <f>HYPERLINK("https://klasma.github.io/Logging_2309/klagomålsmail/A 26290-2024 FSC-klagomål mail.docx", "A 26290-2024")</f>
        <v/>
      </c>
      <c r="X307">
        <f>HYPERLINK("https://klasma.github.io/Logging_2309/tillsyn/A 26290-2024 tillsynsbegäran.docx", "A 26290-2024")</f>
        <v/>
      </c>
      <c r="Y307">
        <f>HYPERLINK("https://klasma.github.io/Logging_2309/tillsynsmail/A 26290-2024 tillsynsbegäran mail.docx", "A 26290-2024")</f>
        <v/>
      </c>
      <c r="Z307">
        <f>HYPERLINK("https://klasma.github.io/Logging_2309/fåglar/A 26290-2024 prioriterade fågelarter.docx", "A 26290-2024")</f>
        <v/>
      </c>
    </row>
    <row r="308" ht="15" customHeight="1">
      <c r="A308" t="inlineStr">
        <is>
          <t>A 27133-2024</t>
        </is>
      </c>
      <c r="B308" s="1" t="n">
        <v>45471</v>
      </c>
      <c r="C308" s="1" t="n">
        <v>45734</v>
      </c>
      <c r="D308" t="inlineStr">
        <is>
          <t>JÄMTLANDS LÄN</t>
        </is>
      </c>
      <c r="E308" t="inlineStr">
        <is>
          <t>KROKOM</t>
        </is>
      </c>
      <c r="G308" t="n">
        <v>5.4</v>
      </c>
      <c r="H308" t="n">
        <v>1</v>
      </c>
      <c r="I308" t="n">
        <v>1</v>
      </c>
      <c r="J308" t="n">
        <v>0</v>
      </c>
      <c r="K308" t="n">
        <v>0</v>
      </c>
      <c r="L308" t="n">
        <v>0</v>
      </c>
      <c r="M308" t="n">
        <v>0</v>
      </c>
      <c r="N308" t="n">
        <v>0</v>
      </c>
      <c r="O308" t="n">
        <v>0</v>
      </c>
      <c r="P308" t="n">
        <v>0</v>
      </c>
      <c r="Q308" t="n">
        <v>1</v>
      </c>
      <c r="R308" s="2" t="inlineStr">
        <is>
          <t>Spindelblomster</t>
        </is>
      </c>
      <c r="S308">
        <f>HYPERLINK("https://klasma.github.io/Logging_2309/artfynd/A 27133-2024 artfynd.xlsx", "A 27133-2024")</f>
        <v/>
      </c>
      <c r="T308">
        <f>HYPERLINK("https://klasma.github.io/Logging_2309/kartor/A 27133-2024 karta.png", "A 27133-2024")</f>
        <v/>
      </c>
      <c r="V308">
        <f>HYPERLINK("https://klasma.github.io/Logging_2309/klagomål/A 27133-2024 FSC-klagomål.docx", "A 27133-2024")</f>
        <v/>
      </c>
      <c r="W308">
        <f>HYPERLINK("https://klasma.github.io/Logging_2309/klagomålsmail/A 27133-2024 FSC-klagomål mail.docx", "A 27133-2024")</f>
        <v/>
      </c>
      <c r="X308">
        <f>HYPERLINK("https://klasma.github.io/Logging_2309/tillsyn/A 27133-2024 tillsynsbegäran.docx", "A 27133-2024")</f>
        <v/>
      </c>
      <c r="Y308">
        <f>HYPERLINK("https://klasma.github.io/Logging_2309/tillsynsmail/A 27133-2024 tillsynsbegäran mail.docx", "A 27133-2024")</f>
        <v/>
      </c>
    </row>
    <row r="309" ht="15" customHeight="1">
      <c r="A309" t="inlineStr">
        <is>
          <t>A 32770-2024</t>
        </is>
      </c>
      <c r="B309" s="1" t="n">
        <v>45516</v>
      </c>
      <c r="C309" s="1" t="n">
        <v>45734</v>
      </c>
      <c r="D309" t="inlineStr">
        <is>
          <t>JÄMTLANDS LÄN</t>
        </is>
      </c>
      <c r="E309" t="inlineStr">
        <is>
          <t>KROKOM</t>
        </is>
      </c>
      <c r="G309" t="n">
        <v>1</v>
      </c>
      <c r="H309" t="n">
        <v>0</v>
      </c>
      <c r="I309" t="n">
        <v>1</v>
      </c>
      <c r="J309" t="n">
        <v>0</v>
      </c>
      <c r="K309" t="n">
        <v>0</v>
      </c>
      <c r="L309" t="n">
        <v>0</v>
      </c>
      <c r="M309" t="n">
        <v>0</v>
      </c>
      <c r="N309" t="n">
        <v>0</v>
      </c>
      <c r="O309" t="n">
        <v>0</v>
      </c>
      <c r="P309" t="n">
        <v>0</v>
      </c>
      <c r="Q309" t="n">
        <v>1</v>
      </c>
      <c r="R309" s="2" t="inlineStr">
        <is>
          <t>Finbräken</t>
        </is>
      </c>
      <c r="S309">
        <f>HYPERLINK("https://klasma.github.io/Logging_2309/artfynd/A 32770-2024 artfynd.xlsx", "A 32770-2024")</f>
        <v/>
      </c>
      <c r="T309">
        <f>HYPERLINK("https://klasma.github.io/Logging_2309/kartor/A 32770-2024 karta.png", "A 32770-2024")</f>
        <v/>
      </c>
      <c r="V309">
        <f>HYPERLINK("https://klasma.github.io/Logging_2309/klagomål/A 32770-2024 FSC-klagomål.docx", "A 32770-2024")</f>
        <v/>
      </c>
      <c r="W309">
        <f>HYPERLINK("https://klasma.github.io/Logging_2309/klagomålsmail/A 32770-2024 FSC-klagomål mail.docx", "A 32770-2024")</f>
        <v/>
      </c>
      <c r="X309">
        <f>HYPERLINK("https://klasma.github.io/Logging_2309/tillsyn/A 32770-2024 tillsynsbegäran.docx", "A 32770-2024")</f>
        <v/>
      </c>
      <c r="Y309">
        <f>HYPERLINK("https://klasma.github.io/Logging_2309/tillsynsmail/A 32770-2024 tillsynsbegäran mail.docx", "A 32770-2024")</f>
        <v/>
      </c>
    </row>
    <row r="310" ht="15" customHeight="1">
      <c r="A310" t="inlineStr">
        <is>
          <t>A 49175-2024</t>
        </is>
      </c>
      <c r="B310" s="1" t="n">
        <v>45595</v>
      </c>
      <c r="C310" s="1" t="n">
        <v>45734</v>
      </c>
      <c r="D310" t="inlineStr">
        <is>
          <t>JÄMTLANDS LÄN</t>
        </is>
      </c>
      <c r="E310" t="inlineStr">
        <is>
          <t>KROKOM</t>
        </is>
      </c>
      <c r="G310" t="n">
        <v>172.9</v>
      </c>
      <c r="H310" t="n">
        <v>0</v>
      </c>
      <c r="I310" t="n">
        <v>0</v>
      </c>
      <c r="J310" t="n">
        <v>1</v>
      </c>
      <c r="K310" t="n">
        <v>0</v>
      </c>
      <c r="L310" t="n">
        <v>0</v>
      </c>
      <c r="M310" t="n">
        <v>0</v>
      </c>
      <c r="N310" t="n">
        <v>0</v>
      </c>
      <c r="O310" t="n">
        <v>1</v>
      </c>
      <c r="P310" t="n">
        <v>0</v>
      </c>
      <c r="Q310" t="n">
        <v>1</v>
      </c>
      <c r="R310" s="2" t="inlineStr">
        <is>
          <t>Granticka</t>
        </is>
      </c>
      <c r="S310">
        <f>HYPERLINK("https://klasma.github.io/Logging_2309/artfynd/A 49175-2024 artfynd.xlsx", "A 49175-2024")</f>
        <v/>
      </c>
      <c r="T310">
        <f>HYPERLINK("https://klasma.github.io/Logging_2309/kartor/A 49175-2024 karta.png", "A 49175-2024")</f>
        <v/>
      </c>
      <c r="V310">
        <f>HYPERLINK("https://klasma.github.io/Logging_2309/klagomål/A 49175-2024 FSC-klagomål.docx", "A 49175-2024")</f>
        <v/>
      </c>
      <c r="W310">
        <f>HYPERLINK("https://klasma.github.io/Logging_2309/klagomålsmail/A 49175-2024 FSC-klagomål mail.docx", "A 49175-2024")</f>
        <v/>
      </c>
      <c r="X310">
        <f>HYPERLINK("https://klasma.github.io/Logging_2309/tillsyn/A 49175-2024 tillsynsbegäran.docx", "A 49175-2024")</f>
        <v/>
      </c>
      <c r="Y310">
        <f>HYPERLINK("https://klasma.github.io/Logging_2309/tillsynsmail/A 49175-2024 tillsynsbegäran mail.docx", "A 49175-2024")</f>
        <v/>
      </c>
    </row>
    <row r="311" ht="15" customHeight="1">
      <c r="A311" t="inlineStr">
        <is>
          <t>A 49212-2024</t>
        </is>
      </c>
      <c r="B311" s="1" t="n">
        <v>45595</v>
      </c>
      <c r="C311" s="1" t="n">
        <v>45734</v>
      </c>
      <c r="D311" t="inlineStr">
        <is>
          <t>JÄMTLANDS LÄN</t>
        </is>
      </c>
      <c r="E311" t="inlineStr">
        <is>
          <t>KROKOM</t>
        </is>
      </c>
      <c r="G311" t="n">
        <v>2.8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49212-2024 artfynd.xlsx", "A 49212-2024")</f>
        <v/>
      </c>
      <c r="T311">
        <f>HYPERLINK("https://klasma.github.io/Logging_2309/kartor/A 49212-2024 karta.png", "A 49212-2024")</f>
        <v/>
      </c>
      <c r="V311">
        <f>HYPERLINK("https://klasma.github.io/Logging_2309/klagomål/A 49212-2024 FSC-klagomål.docx", "A 49212-2024")</f>
        <v/>
      </c>
      <c r="W311">
        <f>HYPERLINK("https://klasma.github.io/Logging_2309/klagomålsmail/A 49212-2024 FSC-klagomål mail.docx", "A 49212-2024")</f>
        <v/>
      </c>
      <c r="X311">
        <f>HYPERLINK("https://klasma.github.io/Logging_2309/tillsyn/A 49212-2024 tillsynsbegäran.docx", "A 49212-2024")</f>
        <v/>
      </c>
      <c r="Y311">
        <f>HYPERLINK("https://klasma.github.io/Logging_2309/tillsynsmail/A 49212-2024 tillsynsbegäran mail.docx", "A 49212-2024")</f>
        <v/>
      </c>
      <c r="Z311">
        <f>HYPERLINK("https://klasma.github.io/Logging_2309/fåglar/A 49212-2024 prioriterade fågelarter.docx", "A 49212-2024")</f>
        <v/>
      </c>
    </row>
    <row r="312" ht="15" customHeight="1">
      <c r="A312" t="inlineStr">
        <is>
          <t>A 49385-2024</t>
        </is>
      </c>
      <c r="B312" s="1" t="n">
        <v>45595</v>
      </c>
      <c r="C312" s="1" t="n">
        <v>45734</v>
      </c>
      <c r="D312" t="inlineStr">
        <is>
          <t>JÄMTLANDS LÄN</t>
        </is>
      </c>
      <c r="E312" t="inlineStr">
        <is>
          <t>KROKOM</t>
        </is>
      </c>
      <c r="G312" t="n">
        <v>10.5</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49385-2024 artfynd.xlsx", "A 49385-2024")</f>
        <v/>
      </c>
      <c r="T312">
        <f>HYPERLINK("https://klasma.github.io/Logging_2309/kartor/A 49385-2024 karta.png", "A 49385-2024")</f>
        <v/>
      </c>
      <c r="V312">
        <f>HYPERLINK("https://klasma.github.io/Logging_2309/klagomål/A 49385-2024 FSC-klagomål.docx", "A 49385-2024")</f>
        <v/>
      </c>
      <c r="W312">
        <f>HYPERLINK("https://klasma.github.io/Logging_2309/klagomålsmail/A 49385-2024 FSC-klagomål mail.docx", "A 49385-2024")</f>
        <v/>
      </c>
      <c r="X312">
        <f>HYPERLINK("https://klasma.github.io/Logging_2309/tillsyn/A 49385-2024 tillsynsbegäran.docx", "A 49385-2024")</f>
        <v/>
      </c>
      <c r="Y312">
        <f>HYPERLINK("https://klasma.github.io/Logging_2309/tillsynsmail/A 49385-2024 tillsynsbegäran mail.docx", "A 49385-2024")</f>
        <v/>
      </c>
      <c r="Z312">
        <f>HYPERLINK("https://klasma.github.io/Logging_2309/fåglar/A 49385-2024 prioriterade fågelarter.docx", "A 49385-2024")</f>
        <v/>
      </c>
    </row>
    <row r="313" ht="15" customHeight="1">
      <c r="A313" t="inlineStr">
        <is>
          <t>A 49387-2024</t>
        </is>
      </c>
      <c r="B313" s="1" t="n">
        <v>45595</v>
      </c>
      <c r="C313" s="1" t="n">
        <v>45734</v>
      </c>
      <c r="D313" t="inlineStr">
        <is>
          <t>JÄMTLANDS LÄN</t>
        </is>
      </c>
      <c r="E313" t="inlineStr">
        <is>
          <t>KROKOM</t>
        </is>
      </c>
      <c r="G313" t="n">
        <v>0.8</v>
      </c>
      <c r="H313" t="n">
        <v>0</v>
      </c>
      <c r="I313" t="n">
        <v>0</v>
      </c>
      <c r="J313" t="n">
        <v>1</v>
      </c>
      <c r="K313" t="n">
        <v>0</v>
      </c>
      <c r="L313" t="n">
        <v>0</v>
      </c>
      <c r="M313" t="n">
        <v>0</v>
      </c>
      <c r="N313" t="n">
        <v>0</v>
      </c>
      <c r="O313" t="n">
        <v>1</v>
      </c>
      <c r="P313" t="n">
        <v>0</v>
      </c>
      <c r="Q313" t="n">
        <v>1</v>
      </c>
      <c r="R313" s="2" t="inlineStr">
        <is>
          <t>Garnlav</t>
        </is>
      </c>
      <c r="S313">
        <f>HYPERLINK("https://klasma.github.io/Logging_2309/artfynd/A 49387-2024 artfynd.xlsx", "A 49387-2024")</f>
        <v/>
      </c>
      <c r="T313">
        <f>HYPERLINK("https://klasma.github.io/Logging_2309/kartor/A 49387-2024 karta.png", "A 49387-2024")</f>
        <v/>
      </c>
      <c r="V313">
        <f>HYPERLINK("https://klasma.github.io/Logging_2309/klagomål/A 49387-2024 FSC-klagomål.docx", "A 49387-2024")</f>
        <v/>
      </c>
      <c r="W313">
        <f>HYPERLINK("https://klasma.github.io/Logging_2309/klagomålsmail/A 49387-2024 FSC-klagomål mail.docx", "A 49387-2024")</f>
        <v/>
      </c>
      <c r="X313">
        <f>HYPERLINK("https://klasma.github.io/Logging_2309/tillsyn/A 49387-2024 tillsynsbegäran.docx", "A 49387-2024")</f>
        <v/>
      </c>
      <c r="Y313">
        <f>HYPERLINK("https://klasma.github.io/Logging_2309/tillsynsmail/A 49387-2024 tillsynsbegäran mail.docx", "A 49387-2024")</f>
        <v/>
      </c>
    </row>
    <row r="314" ht="15" customHeight="1">
      <c r="A314" t="inlineStr">
        <is>
          <t>A 49388-2024</t>
        </is>
      </c>
      <c r="B314" s="1" t="n">
        <v>45595</v>
      </c>
      <c r="C314" s="1" t="n">
        <v>45734</v>
      </c>
      <c r="D314" t="inlineStr">
        <is>
          <t>JÄMTLANDS LÄN</t>
        </is>
      </c>
      <c r="E314" t="inlineStr">
        <is>
          <t>KROKOM</t>
        </is>
      </c>
      <c r="G314" t="n">
        <v>7.4</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49388-2024 artfynd.xlsx", "A 49388-2024")</f>
        <v/>
      </c>
      <c r="T314">
        <f>HYPERLINK("https://klasma.github.io/Logging_2309/kartor/A 49388-2024 karta.png", "A 49388-2024")</f>
        <v/>
      </c>
      <c r="V314">
        <f>HYPERLINK("https://klasma.github.io/Logging_2309/klagomål/A 49388-2024 FSC-klagomål.docx", "A 49388-2024")</f>
        <v/>
      </c>
      <c r="W314">
        <f>HYPERLINK("https://klasma.github.io/Logging_2309/klagomålsmail/A 49388-2024 FSC-klagomål mail.docx", "A 49388-2024")</f>
        <v/>
      </c>
      <c r="X314">
        <f>HYPERLINK("https://klasma.github.io/Logging_2309/tillsyn/A 49388-2024 tillsynsbegäran.docx", "A 49388-2024")</f>
        <v/>
      </c>
      <c r="Y314">
        <f>HYPERLINK("https://klasma.github.io/Logging_2309/tillsynsmail/A 49388-2024 tillsynsbegäran mail.docx", "A 49388-2024")</f>
        <v/>
      </c>
      <c r="Z314">
        <f>HYPERLINK("https://klasma.github.io/Logging_2309/fåglar/A 49388-2024 prioriterade fågelarter.docx", "A 49388-2024")</f>
        <v/>
      </c>
    </row>
    <row r="315" ht="15" customHeight="1">
      <c r="A315" t="inlineStr">
        <is>
          <t>A 52182-2024</t>
        </is>
      </c>
      <c r="B315" s="1" t="n">
        <v>45608</v>
      </c>
      <c r="C315" s="1" t="n">
        <v>45734</v>
      </c>
      <c r="D315" t="inlineStr">
        <is>
          <t>JÄMTLANDS LÄN</t>
        </is>
      </c>
      <c r="E315" t="inlineStr">
        <is>
          <t>KROKOM</t>
        </is>
      </c>
      <c r="G315" t="n">
        <v>11.3</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52182-2024 artfynd.xlsx", "A 52182-2024")</f>
        <v/>
      </c>
      <c r="T315">
        <f>HYPERLINK("https://klasma.github.io/Logging_2309/kartor/A 52182-2024 karta.png", "A 52182-2024")</f>
        <v/>
      </c>
      <c r="V315">
        <f>HYPERLINK("https://klasma.github.io/Logging_2309/klagomål/A 52182-2024 FSC-klagomål.docx", "A 52182-2024")</f>
        <v/>
      </c>
      <c r="W315">
        <f>HYPERLINK("https://klasma.github.io/Logging_2309/klagomålsmail/A 52182-2024 FSC-klagomål mail.docx", "A 52182-2024")</f>
        <v/>
      </c>
      <c r="X315">
        <f>HYPERLINK("https://klasma.github.io/Logging_2309/tillsyn/A 52182-2024 tillsynsbegäran.docx", "A 52182-2024")</f>
        <v/>
      </c>
      <c r="Y315">
        <f>HYPERLINK("https://klasma.github.io/Logging_2309/tillsynsmail/A 52182-2024 tillsynsbegäran mail.docx", "A 52182-2024")</f>
        <v/>
      </c>
      <c r="Z315">
        <f>HYPERLINK("https://klasma.github.io/Logging_2309/fåglar/A 52182-2024 prioriterade fågelarter.docx", "A 52182-2024")</f>
        <v/>
      </c>
    </row>
    <row r="316" ht="15" customHeight="1">
      <c r="A316" t="inlineStr">
        <is>
          <t>A 52473-2024</t>
        </is>
      </c>
      <c r="B316" s="1" t="n">
        <v>45609</v>
      </c>
      <c r="C316" s="1" t="n">
        <v>45734</v>
      </c>
      <c r="D316" t="inlineStr">
        <is>
          <t>JÄMTLANDS LÄN</t>
        </is>
      </c>
      <c r="E316" t="inlineStr">
        <is>
          <t>KROKOM</t>
        </is>
      </c>
      <c r="G316" t="n">
        <v>38.5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52473-2024 artfynd.xlsx", "A 52473-2024")</f>
        <v/>
      </c>
      <c r="T316">
        <f>HYPERLINK("https://klasma.github.io/Logging_2309/kartor/A 52473-2024 karta.png", "A 52473-2024")</f>
        <v/>
      </c>
      <c r="V316">
        <f>HYPERLINK("https://klasma.github.io/Logging_2309/klagomål/A 52473-2024 FSC-klagomål.docx", "A 52473-2024")</f>
        <v/>
      </c>
      <c r="W316">
        <f>HYPERLINK("https://klasma.github.io/Logging_2309/klagomålsmail/A 52473-2024 FSC-klagomål mail.docx", "A 52473-2024")</f>
        <v/>
      </c>
      <c r="X316">
        <f>HYPERLINK("https://klasma.github.io/Logging_2309/tillsyn/A 52473-2024 tillsynsbegäran.docx", "A 52473-2024")</f>
        <v/>
      </c>
      <c r="Y316">
        <f>HYPERLINK("https://klasma.github.io/Logging_2309/tillsynsmail/A 52473-2024 tillsynsbegäran mail.docx", "A 52473-2024")</f>
        <v/>
      </c>
      <c r="Z316">
        <f>HYPERLINK("https://klasma.github.io/Logging_2309/fåglar/A 52473-2024 prioriterade fågelarter.docx", "A 52473-2024")</f>
        <v/>
      </c>
    </row>
    <row r="317" ht="15" customHeight="1">
      <c r="A317" t="inlineStr">
        <is>
          <t>A 52486-2024</t>
        </is>
      </c>
      <c r="B317" s="1" t="n">
        <v>45609</v>
      </c>
      <c r="C317" s="1" t="n">
        <v>45734</v>
      </c>
      <c r="D317" t="inlineStr">
        <is>
          <t>JÄMTLANDS LÄN</t>
        </is>
      </c>
      <c r="E317" t="inlineStr">
        <is>
          <t>KROKOM</t>
        </is>
      </c>
      <c r="G317" t="n">
        <v>20.6</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52486-2024 artfynd.xlsx", "A 52486-2024")</f>
        <v/>
      </c>
      <c r="T317">
        <f>HYPERLINK("https://klasma.github.io/Logging_2309/kartor/A 52486-2024 karta.png", "A 52486-2024")</f>
        <v/>
      </c>
      <c r="V317">
        <f>HYPERLINK("https://klasma.github.io/Logging_2309/klagomål/A 52486-2024 FSC-klagomål.docx", "A 52486-2024")</f>
        <v/>
      </c>
      <c r="W317">
        <f>HYPERLINK("https://klasma.github.io/Logging_2309/klagomålsmail/A 52486-2024 FSC-klagomål mail.docx", "A 52486-2024")</f>
        <v/>
      </c>
      <c r="X317">
        <f>HYPERLINK("https://klasma.github.io/Logging_2309/tillsyn/A 52486-2024 tillsynsbegäran.docx", "A 52486-2024")</f>
        <v/>
      </c>
      <c r="Y317">
        <f>HYPERLINK("https://klasma.github.io/Logging_2309/tillsynsmail/A 52486-2024 tillsynsbegäran mail.docx", "A 52486-2024")</f>
        <v/>
      </c>
      <c r="Z317">
        <f>HYPERLINK("https://klasma.github.io/Logging_2309/fåglar/A 52486-2024 prioriterade fågelarter.docx", "A 52486-2024")</f>
        <v/>
      </c>
    </row>
    <row r="318" ht="15" customHeight="1">
      <c r="A318" t="inlineStr">
        <is>
          <t>A 55387-2024</t>
        </is>
      </c>
      <c r="B318" s="1" t="n">
        <v>45622</v>
      </c>
      <c r="C318" s="1" t="n">
        <v>45734</v>
      </c>
      <c r="D318" t="inlineStr">
        <is>
          <t>JÄMTLANDS LÄN</t>
        </is>
      </c>
      <c r="E318" t="inlineStr">
        <is>
          <t>KROKOM</t>
        </is>
      </c>
      <c r="G318" t="n">
        <v>8.6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55387-2024 artfynd.xlsx", "A 55387-2024")</f>
        <v/>
      </c>
      <c r="T318">
        <f>HYPERLINK("https://klasma.github.io/Logging_2309/kartor/A 55387-2024 karta.png", "A 55387-2024")</f>
        <v/>
      </c>
      <c r="V318">
        <f>HYPERLINK("https://klasma.github.io/Logging_2309/klagomål/A 55387-2024 FSC-klagomål.docx", "A 55387-2024")</f>
        <v/>
      </c>
      <c r="W318">
        <f>HYPERLINK("https://klasma.github.io/Logging_2309/klagomålsmail/A 55387-2024 FSC-klagomål mail.docx", "A 55387-2024")</f>
        <v/>
      </c>
      <c r="X318">
        <f>HYPERLINK("https://klasma.github.io/Logging_2309/tillsyn/A 55387-2024 tillsynsbegäran.docx", "A 55387-2024")</f>
        <v/>
      </c>
      <c r="Y318">
        <f>HYPERLINK("https://klasma.github.io/Logging_2309/tillsynsmail/A 55387-2024 tillsynsbegäran mail.docx", "A 55387-2024")</f>
        <v/>
      </c>
      <c r="Z318">
        <f>HYPERLINK("https://klasma.github.io/Logging_2309/fåglar/A 55387-2024 prioriterade fågelarter.docx", "A 55387-2024")</f>
        <v/>
      </c>
    </row>
    <row r="319" ht="15" customHeight="1">
      <c r="A319" t="inlineStr">
        <is>
          <t>A 56122-2024</t>
        </is>
      </c>
      <c r="B319" s="1" t="n">
        <v>45624</v>
      </c>
      <c r="C319" s="1" t="n">
        <v>45734</v>
      </c>
      <c r="D319" t="inlineStr">
        <is>
          <t>JÄMTLANDS LÄN</t>
        </is>
      </c>
      <c r="E319" t="inlineStr">
        <is>
          <t>KROKOM</t>
        </is>
      </c>
      <c r="G319" t="n">
        <v>5.1</v>
      </c>
      <c r="H319" t="n">
        <v>0</v>
      </c>
      <c r="I319" t="n">
        <v>1</v>
      </c>
      <c r="J319" t="n">
        <v>0</v>
      </c>
      <c r="K319" t="n">
        <v>0</v>
      </c>
      <c r="L319" t="n">
        <v>0</v>
      </c>
      <c r="M319" t="n">
        <v>0</v>
      </c>
      <c r="N319" t="n">
        <v>0</v>
      </c>
      <c r="O319" t="n">
        <v>0</v>
      </c>
      <c r="P319" t="n">
        <v>0</v>
      </c>
      <c r="Q319" t="n">
        <v>1</v>
      </c>
      <c r="R319" s="2" t="inlineStr">
        <is>
          <t>Kransrams</t>
        </is>
      </c>
      <c r="S319">
        <f>HYPERLINK("https://klasma.github.io/Logging_2309/artfynd/A 56122-2024 artfynd.xlsx", "A 56122-2024")</f>
        <v/>
      </c>
      <c r="T319">
        <f>HYPERLINK("https://klasma.github.io/Logging_2309/kartor/A 56122-2024 karta.png", "A 56122-2024")</f>
        <v/>
      </c>
      <c r="V319">
        <f>HYPERLINK("https://klasma.github.io/Logging_2309/klagomål/A 56122-2024 FSC-klagomål.docx", "A 56122-2024")</f>
        <v/>
      </c>
      <c r="W319">
        <f>HYPERLINK("https://klasma.github.io/Logging_2309/klagomålsmail/A 56122-2024 FSC-klagomål mail.docx", "A 56122-2024")</f>
        <v/>
      </c>
      <c r="X319">
        <f>HYPERLINK("https://klasma.github.io/Logging_2309/tillsyn/A 56122-2024 tillsynsbegäran.docx", "A 56122-2024")</f>
        <v/>
      </c>
      <c r="Y319">
        <f>HYPERLINK("https://klasma.github.io/Logging_2309/tillsynsmail/A 56122-2024 tillsynsbegäran mail.docx", "A 56122-2024")</f>
        <v/>
      </c>
    </row>
    <row r="320" ht="15" customHeight="1">
      <c r="A320" t="inlineStr">
        <is>
          <t>A 57468-2024</t>
        </is>
      </c>
      <c r="B320" s="1" t="n">
        <v>45630</v>
      </c>
      <c r="C320" s="1" t="n">
        <v>45734</v>
      </c>
      <c r="D320" t="inlineStr">
        <is>
          <t>JÄMTLANDS LÄN</t>
        </is>
      </c>
      <c r="E320" t="inlineStr">
        <is>
          <t>KROKOM</t>
        </is>
      </c>
      <c r="G320" t="n">
        <v>38.8</v>
      </c>
      <c r="H320" t="n">
        <v>0</v>
      </c>
      <c r="I320" t="n">
        <v>0</v>
      </c>
      <c r="J320" t="n">
        <v>1</v>
      </c>
      <c r="K320" t="n">
        <v>0</v>
      </c>
      <c r="L320" t="n">
        <v>0</v>
      </c>
      <c r="M320" t="n">
        <v>0</v>
      </c>
      <c r="N320" t="n">
        <v>0</v>
      </c>
      <c r="O320" t="n">
        <v>1</v>
      </c>
      <c r="P320" t="n">
        <v>0</v>
      </c>
      <c r="Q320" t="n">
        <v>1</v>
      </c>
      <c r="R320" s="2" t="inlineStr">
        <is>
          <t>Gränsticka</t>
        </is>
      </c>
      <c r="S320">
        <f>HYPERLINK("https://klasma.github.io/Logging_2309/artfynd/A 57468-2024 artfynd.xlsx", "A 57468-2024")</f>
        <v/>
      </c>
      <c r="T320">
        <f>HYPERLINK("https://klasma.github.io/Logging_2309/kartor/A 57468-2024 karta.png", "A 57468-2024")</f>
        <v/>
      </c>
      <c r="V320">
        <f>HYPERLINK("https://klasma.github.io/Logging_2309/klagomål/A 57468-2024 FSC-klagomål.docx", "A 57468-2024")</f>
        <v/>
      </c>
      <c r="W320">
        <f>HYPERLINK("https://klasma.github.io/Logging_2309/klagomålsmail/A 57468-2024 FSC-klagomål mail.docx", "A 57468-2024")</f>
        <v/>
      </c>
      <c r="X320">
        <f>HYPERLINK("https://klasma.github.io/Logging_2309/tillsyn/A 57468-2024 tillsynsbegäran.docx", "A 57468-2024")</f>
        <v/>
      </c>
      <c r="Y320">
        <f>HYPERLINK("https://klasma.github.io/Logging_2309/tillsynsmail/A 57468-2024 tillsynsbegäran mail.docx", "A 57468-2024")</f>
        <v/>
      </c>
    </row>
    <row r="321" ht="15" customHeight="1">
      <c r="A321" t="inlineStr">
        <is>
          <t>A 58805-2024</t>
        </is>
      </c>
      <c r="B321" s="1" t="n">
        <v>45635</v>
      </c>
      <c r="C321" s="1" t="n">
        <v>45734</v>
      </c>
      <c r="D321" t="inlineStr">
        <is>
          <t>JÄMTLANDS LÄN</t>
        </is>
      </c>
      <c r="E321" t="inlineStr">
        <is>
          <t>KROKOM</t>
        </is>
      </c>
      <c r="G321" t="n">
        <v>4.7</v>
      </c>
      <c r="H321" t="n">
        <v>1</v>
      </c>
      <c r="I321" t="n">
        <v>0</v>
      </c>
      <c r="J321" t="n">
        <v>0</v>
      </c>
      <c r="K321" t="n">
        <v>0</v>
      </c>
      <c r="L321" t="n">
        <v>0</v>
      </c>
      <c r="M321" t="n">
        <v>0</v>
      </c>
      <c r="N321" t="n">
        <v>0</v>
      </c>
      <c r="O321" t="n">
        <v>0</v>
      </c>
      <c r="P321" t="n">
        <v>0</v>
      </c>
      <c r="Q321" t="n">
        <v>1</v>
      </c>
      <c r="R321" s="2" t="inlineStr">
        <is>
          <t>Brudsporre</t>
        </is>
      </c>
      <c r="S321">
        <f>HYPERLINK("https://klasma.github.io/Logging_2309/artfynd/A 58805-2024 artfynd.xlsx", "A 58805-2024")</f>
        <v/>
      </c>
      <c r="T321">
        <f>HYPERLINK("https://klasma.github.io/Logging_2309/kartor/A 58805-2024 karta.png", "A 58805-2024")</f>
        <v/>
      </c>
      <c r="V321">
        <f>HYPERLINK("https://klasma.github.io/Logging_2309/klagomål/A 58805-2024 FSC-klagomål.docx", "A 58805-2024")</f>
        <v/>
      </c>
      <c r="W321">
        <f>HYPERLINK("https://klasma.github.io/Logging_2309/klagomålsmail/A 58805-2024 FSC-klagomål mail.docx", "A 58805-2024")</f>
        <v/>
      </c>
      <c r="X321">
        <f>HYPERLINK("https://klasma.github.io/Logging_2309/tillsyn/A 58805-2024 tillsynsbegäran.docx", "A 58805-2024")</f>
        <v/>
      </c>
      <c r="Y321">
        <f>HYPERLINK("https://klasma.github.io/Logging_2309/tillsynsmail/A 58805-2024 tillsynsbegäran mail.docx", "A 58805-2024")</f>
        <v/>
      </c>
    </row>
    <row r="322" ht="15" customHeight="1">
      <c r="A322" t="inlineStr">
        <is>
          <t>A 60415-2024</t>
        </is>
      </c>
      <c r="B322" s="1" t="n">
        <v>45643</v>
      </c>
      <c r="C322" s="1" t="n">
        <v>45734</v>
      </c>
      <c r="D322" t="inlineStr">
        <is>
          <t>JÄMTLANDS LÄN</t>
        </is>
      </c>
      <c r="E322" t="inlineStr">
        <is>
          <t>KROKOM</t>
        </is>
      </c>
      <c r="G322" t="n">
        <v>21.4</v>
      </c>
      <c r="H322" t="n">
        <v>0</v>
      </c>
      <c r="I322" t="n">
        <v>1</v>
      </c>
      <c r="J322" t="n">
        <v>0</v>
      </c>
      <c r="K322" t="n">
        <v>0</v>
      </c>
      <c r="L322" t="n">
        <v>0</v>
      </c>
      <c r="M322" t="n">
        <v>0</v>
      </c>
      <c r="N322" t="n">
        <v>0</v>
      </c>
      <c r="O322" t="n">
        <v>0</v>
      </c>
      <c r="P322" t="n">
        <v>0</v>
      </c>
      <c r="Q322" t="n">
        <v>1</v>
      </c>
      <c r="R322" s="2" t="inlineStr">
        <is>
          <t>Kransrams</t>
        </is>
      </c>
      <c r="S322">
        <f>HYPERLINK("https://klasma.github.io/Logging_2309/artfynd/A 60415-2024 artfynd.xlsx", "A 60415-2024")</f>
        <v/>
      </c>
      <c r="T322">
        <f>HYPERLINK("https://klasma.github.io/Logging_2309/kartor/A 60415-2024 karta.png", "A 60415-2024")</f>
        <v/>
      </c>
      <c r="V322">
        <f>HYPERLINK("https://klasma.github.io/Logging_2309/klagomål/A 60415-2024 FSC-klagomål.docx", "A 60415-2024")</f>
        <v/>
      </c>
      <c r="W322">
        <f>HYPERLINK("https://klasma.github.io/Logging_2309/klagomålsmail/A 60415-2024 FSC-klagomål mail.docx", "A 60415-2024")</f>
        <v/>
      </c>
      <c r="X322">
        <f>HYPERLINK("https://klasma.github.io/Logging_2309/tillsyn/A 60415-2024 tillsynsbegäran.docx", "A 60415-2024")</f>
        <v/>
      </c>
      <c r="Y322">
        <f>HYPERLINK("https://klasma.github.io/Logging_2309/tillsynsmail/A 60415-2024 tillsynsbegäran mail.docx", "A 60415-2024")</f>
        <v/>
      </c>
    </row>
    <row r="323" ht="15" customHeight="1">
      <c r="A323" t="inlineStr">
        <is>
          <t>A 60824-2024</t>
        </is>
      </c>
      <c r="B323" s="1" t="n">
        <v>45644</v>
      </c>
      <c r="C323" s="1" t="n">
        <v>45734</v>
      </c>
      <c r="D323" t="inlineStr">
        <is>
          <t>JÄMTLANDS LÄN</t>
        </is>
      </c>
      <c r="E323" t="inlineStr">
        <is>
          <t>KROKOM</t>
        </is>
      </c>
      <c r="G323" t="n">
        <v>19.5</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60824-2024 artfynd.xlsx", "A 60824-2024")</f>
        <v/>
      </c>
      <c r="T323">
        <f>HYPERLINK("https://klasma.github.io/Logging_2309/kartor/A 60824-2024 karta.png", "A 60824-2024")</f>
        <v/>
      </c>
      <c r="V323">
        <f>HYPERLINK("https://klasma.github.io/Logging_2309/klagomål/A 60824-2024 FSC-klagomål.docx", "A 60824-2024")</f>
        <v/>
      </c>
      <c r="W323">
        <f>HYPERLINK("https://klasma.github.io/Logging_2309/klagomålsmail/A 60824-2024 FSC-klagomål mail.docx", "A 60824-2024")</f>
        <v/>
      </c>
      <c r="X323">
        <f>HYPERLINK("https://klasma.github.io/Logging_2309/tillsyn/A 60824-2024 tillsynsbegäran.docx", "A 60824-2024")</f>
        <v/>
      </c>
      <c r="Y323">
        <f>HYPERLINK("https://klasma.github.io/Logging_2309/tillsynsmail/A 60824-2024 tillsynsbegäran mail.docx", "A 60824-2024")</f>
        <v/>
      </c>
      <c r="Z323">
        <f>HYPERLINK("https://klasma.github.io/Logging_2309/fåglar/A 60824-2024 prioriterade fågelarter.docx", "A 60824-2024")</f>
        <v/>
      </c>
    </row>
    <row r="324" ht="15" customHeight="1">
      <c r="A324" t="inlineStr">
        <is>
          <t>A 61240-2024</t>
        </is>
      </c>
      <c r="B324" s="1" t="n">
        <v>45645</v>
      </c>
      <c r="C324" s="1" t="n">
        <v>45734</v>
      </c>
      <c r="D324" t="inlineStr">
        <is>
          <t>JÄMTLANDS LÄN</t>
        </is>
      </c>
      <c r="E324" t="inlineStr">
        <is>
          <t>KROKOM</t>
        </is>
      </c>
      <c r="G324" t="n">
        <v>5.7</v>
      </c>
      <c r="H324" t="n">
        <v>1</v>
      </c>
      <c r="I324" t="n">
        <v>0</v>
      </c>
      <c r="J324" t="n">
        <v>0</v>
      </c>
      <c r="K324" t="n">
        <v>0</v>
      </c>
      <c r="L324" t="n">
        <v>0</v>
      </c>
      <c r="M324" t="n">
        <v>0</v>
      </c>
      <c r="N324" t="n">
        <v>0</v>
      </c>
      <c r="O324" t="n">
        <v>0</v>
      </c>
      <c r="P324" t="n">
        <v>0</v>
      </c>
      <c r="Q324" t="n">
        <v>1</v>
      </c>
      <c r="R324" s="2" t="inlineStr">
        <is>
          <t>Pärluggla</t>
        </is>
      </c>
      <c r="S324">
        <f>HYPERLINK("https://klasma.github.io/Logging_2309/artfynd/A 61240-2024 artfynd.xlsx", "A 61240-2024")</f>
        <v/>
      </c>
      <c r="T324">
        <f>HYPERLINK("https://klasma.github.io/Logging_2309/kartor/A 61240-2024 karta.png", "A 61240-2024")</f>
        <v/>
      </c>
      <c r="V324">
        <f>HYPERLINK("https://klasma.github.io/Logging_2309/klagomål/A 61240-2024 FSC-klagomål.docx", "A 61240-2024")</f>
        <v/>
      </c>
      <c r="W324">
        <f>HYPERLINK("https://klasma.github.io/Logging_2309/klagomålsmail/A 61240-2024 FSC-klagomål mail.docx", "A 61240-2024")</f>
        <v/>
      </c>
      <c r="X324">
        <f>HYPERLINK("https://klasma.github.io/Logging_2309/tillsyn/A 61240-2024 tillsynsbegäran.docx", "A 61240-2024")</f>
        <v/>
      </c>
      <c r="Y324">
        <f>HYPERLINK("https://klasma.github.io/Logging_2309/tillsynsmail/A 61240-2024 tillsynsbegäran mail.docx", "A 61240-2024")</f>
        <v/>
      </c>
      <c r="Z324">
        <f>HYPERLINK("https://klasma.github.io/Logging_2309/fåglar/A 61240-2024 prioriterade fågelarter.docx", "A 61240-2024")</f>
        <v/>
      </c>
    </row>
    <row r="325" ht="15" customHeight="1">
      <c r="A325" t="inlineStr">
        <is>
          <t>A 62165-2024</t>
        </is>
      </c>
      <c r="B325" s="1" t="n">
        <v>45657</v>
      </c>
      <c r="C325" s="1" t="n">
        <v>45734</v>
      </c>
      <c r="D325" t="inlineStr">
        <is>
          <t>JÄMTLANDS LÄN</t>
        </is>
      </c>
      <c r="E325" t="inlineStr">
        <is>
          <t>KROKOM</t>
        </is>
      </c>
      <c r="G325" t="n">
        <v>5</v>
      </c>
      <c r="H325" t="n">
        <v>1</v>
      </c>
      <c r="I325" t="n">
        <v>1</v>
      </c>
      <c r="J325" t="n">
        <v>0</v>
      </c>
      <c r="K325" t="n">
        <v>0</v>
      </c>
      <c r="L325" t="n">
        <v>0</v>
      </c>
      <c r="M325" t="n">
        <v>0</v>
      </c>
      <c r="N325" t="n">
        <v>0</v>
      </c>
      <c r="O325" t="n">
        <v>0</v>
      </c>
      <c r="P325" t="n">
        <v>0</v>
      </c>
      <c r="Q325" t="n">
        <v>1</v>
      </c>
      <c r="R325" s="2" t="inlineStr">
        <is>
          <t>Guckusko</t>
        </is>
      </c>
      <c r="S325">
        <f>HYPERLINK("https://klasma.github.io/Logging_2309/artfynd/A 62165-2024 artfynd.xlsx", "A 62165-2024")</f>
        <v/>
      </c>
      <c r="T325">
        <f>HYPERLINK("https://klasma.github.io/Logging_2309/kartor/A 62165-2024 karta.png", "A 62165-2024")</f>
        <v/>
      </c>
      <c r="V325">
        <f>HYPERLINK("https://klasma.github.io/Logging_2309/klagomål/A 62165-2024 FSC-klagomål.docx", "A 62165-2024")</f>
        <v/>
      </c>
      <c r="W325">
        <f>HYPERLINK("https://klasma.github.io/Logging_2309/klagomålsmail/A 62165-2024 FSC-klagomål mail.docx", "A 62165-2024")</f>
        <v/>
      </c>
      <c r="X325">
        <f>HYPERLINK("https://klasma.github.io/Logging_2309/tillsyn/A 62165-2024 tillsynsbegäran.docx", "A 62165-2024")</f>
        <v/>
      </c>
      <c r="Y325">
        <f>HYPERLINK("https://klasma.github.io/Logging_2309/tillsynsmail/A 62165-2024 tillsynsbegäran mail.docx", "A 62165-2024")</f>
        <v/>
      </c>
    </row>
    <row r="326" ht="15" customHeight="1">
      <c r="A326" t="inlineStr">
        <is>
          <t>A 2021-2025</t>
        </is>
      </c>
      <c r="B326" s="1" t="n">
        <v>45672</v>
      </c>
      <c r="C326" s="1" t="n">
        <v>45734</v>
      </c>
      <c r="D326" t="inlineStr">
        <is>
          <t>JÄMTLANDS LÄN</t>
        </is>
      </c>
      <c r="E326" t="inlineStr">
        <is>
          <t>KROKOM</t>
        </is>
      </c>
      <c r="G326" t="n">
        <v>5.4</v>
      </c>
      <c r="H326" t="n">
        <v>1</v>
      </c>
      <c r="I326" t="n">
        <v>1</v>
      </c>
      <c r="J326" t="n">
        <v>0</v>
      </c>
      <c r="K326" t="n">
        <v>0</v>
      </c>
      <c r="L326" t="n">
        <v>0</v>
      </c>
      <c r="M326" t="n">
        <v>0</v>
      </c>
      <c r="N326" t="n">
        <v>0</v>
      </c>
      <c r="O326" t="n">
        <v>0</v>
      </c>
      <c r="P326" t="n">
        <v>0</v>
      </c>
      <c r="Q326" t="n">
        <v>1</v>
      </c>
      <c r="R326" s="2" t="inlineStr">
        <is>
          <t>Guckusko</t>
        </is>
      </c>
      <c r="S326">
        <f>HYPERLINK("https://klasma.github.io/Logging_2309/artfynd/A 2021-2025 artfynd.xlsx", "A 2021-2025")</f>
        <v/>
      </c>
      <c r="T326">
        <f>HYPERLINK("https://klasma.github.io/Logging_2309/kartor/A 2021-2025 karta.png", "A 2021-2025")</f>
        <v/>
      </c>
      <c r="V326">
        <f>HYPERLINK("https://klasma.github.io/Logging_2309/klagomål/A 2021-2025 FSC-klagomål.docx", "A 2021-2025")</f>
        <v/>
      </c>
      <c r="W326">
        <f>HYPERLINK("https://klasma.github.io/Logging_2309/klagomålsmail/A 2021-2025 FSC-klagomål mail.docx", "A 2021-2025")</f>
        <v/>
      </c>
      <c r="X326">
        <f>HYPERLINK("https://klasma.github.io/Logging_2309/tillsyn/A 2021-2025 tillsynsbegäran.docx", "A 2021-2025")</f>
        <v/>
      </c>
      <c r="Y326">
        <f>HYPERLINK("https://klasma.github.io/Logging_2309/tillsynsmail/A 2021-2025 tillsynsbegäran mail.docx", "A 2021-2025")</f>
        <v/>
      </c>
    </row>
    <row r="327" ht="15" customHeight="1">
      <c r="A327" t="inlineStr">
        <is>
          <t>A 4331-2025</t>
        </is>
      </c>
      <c r="B327" s="1" t="n">
        <v>45685</v>
      </c>
      <c r="C327" s="1" t="n">
        <v>45734</v>
      </c>
      <c r="D327" t="inlineStr">
        <is>
          <t>JÄMTLANDS LÄN</t>
        </is>
      </c>
      <c r="E327" t="inlineStr">
        <is>
          <t>KROKOM</t>
        </is>
      </c>
      <c r="G327" t="n">
        <v>9.199999999999999</v>
      </c>
      <c r="H327" t="n">
        <v>0</v>
      </c>
      <c r="I327" t="n">
        <v>1</v>
      </c>
      <c r="J327" t="n">
        <v>0</v>
      </c>
      <c r="K327" t="n">
        <v>0</v>
      </c>
      <c r="L327" t="n">
        <v>0</v>
      </c>
      <c r="M327" t="n">
        <v>0</v>
      </c>
      <c r="N327" t="n">
        <v>0</v>
      </c>
      <c r="O327" t="n">
        <v>0</v>
      </c>
      <c r="P327" t="n">
        <v>0</v>
      </c>
      <c r="Q327" t="n">
        <v>1</v>
      </c>
      <c r="R327" s="2" t="inlineStr">
        <is>
          <t>Gytterlav</t>
        </is>
      </c>
      <c r="S327">
        <f>HYPERLINK("https://klasma.github.io/Logging_2309/artfynd/A 4331-2025 artfynd.xlsx", "A 4331-2025")</f>
        <v/>
      </c>
      <c r="T327">
        <f>HYPERLINK("https://klasma.github.io/Logging_2309/kartor/A 4331-2025 karta.png", "A 4331-2025")</f>
        <v/>
      </c>
      <c r="V327">
        <f>HYPERLINK("https://klasma.github.io/Logging_2309/klagomål/A 4331-2025 FSC-klagomål.docx", "A 4331-2025")</f>
        <v/>
      </c>
      <c r="W327">
        <f>HYPERLINK("https://klasma.github.io/Logging_2309/klagomålsmail/A 4331-2025 FSC-klagomål mail.docx", "A 4331-2025")</f>
        <v/>
      </c>
      <c r="X327">
        <f>HYPERLINK("https://klasma.github.io/Logging_2309/tillsyn/A 4331-2025 tillsynsbegäran.docx", "A 4331-2025")</f>
        <v/>
      </c>
      <c r="Y327">
        <f>HYPERLINK("https://klasma.github.io/Logging_2309/tillsynsmail/A 4331-2025 tillsynsbegäran mail.docx", "A 4331-2025")</f>
        <v/>
      </c>
    </row>
    <row r="328" ht="15" customHeight="1">
      <c r="A328" t="inlineStr">
        <is>
          <t>A 4348-2025</t>
        </is>
      </c>
      <c r="B328" s="1" t="n">
        <v>45686</v>
      </c>
      <c r="C328" s="1" t="n">
        <v>45734</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4348-2025 artfynd.xlsx", "A 4348-2025")</f>
        <v/>
      </c>
      <c r="T328">
        <f>HYPERLINK("https://klasma.github.io/Logging_2309/kartor/A 4348-2025 karta.png", "A 4348-2025")</f>
        <v/>
      </c>
      <c r="V328">
        <f>HYPERLINK("https://klasma.github.io/Logging_2309/klagomål/A 4348-2025 FSC-klagomål.docx", "A 4348-2025")</f>
        <v/>
      </c>
      <c r="W328">
        <f>HYPERLINK("https://klasma.github.io/Logging_2309/klagomålsmail/A 4348-2025 FSC-klagomål mail.docx", "A 4348-2025")</f>
        <v/>
      </c>
      <c r="X328">
        <f>HYPERLINK("https://klasma.github.io/Logging_2309/tillsyn/A 4348-2025 tillsynsbegäran.docx", "A 4348-2025")</f>
        <v/>
      </c>
      <c r="Y328">
        <f>HYPERLINK("https://klasma.github.io/Logging_2309/tillsynsmail/A 4348-2025 tillsynsbegäran mail.docx", "A 4348-2025")</f>
        <v/>
      </c>
    </row>
    <row r="329" ht="15" customHeight="1">
      <c r="A329" t="inlineStr">
        <is>
          <t>A 5919-2025</t>
        </is>
      </c>
      <c r="B329" s="1" t="n">
        <v>45695</v>
      </c>
      <c r="C329" s="1" t="n">
        <v>45734</v>
      </c>
      <c r="D329" t="inlineStr">
        <is>
          <t>JÄMTLANDS LÄN</t>
        </is>
      </c>
      <c r="E329" t="inlineStr">
        <is>
          <t>KROKOM</t>
        </is>
      </c>
      <c r="G329" t="n">
        <v>2.7</v>
      </c>
      <c r="H329" t="n">
        <v>0</v>
      </c>
      <c r="I329" t="n">
        <v>0</v>
      </c>
      <c r="J329" t="n">
        <v>1</v>
      </c>
      <c r="K329" t="n">
        <v>0</v>
      </c>
      <c r="L329" t="n">
        <v>0</v>
      </c>
      <c r="M329" t="n">
        <v>0</v>
      </c>
      <c r="N329" t="n">
        <v>0</v>
      </c>
      <c r="O329" t="n">
        <v>1</v>
      </c>
      <c r="P329" t="n">
        <v>0</v>
      </c>
      <c r="Q329" t="n">
        <v>1</v>
      </c>
      <c r="R329" s="2" t="inlineStr">
        <is>
          <t>Skogshare</t>
        </is>
      </c>
      <c r="S329">
        <f>HYPERLINK("https://klasma.github.io/Logging_2309/artfynd/A 5919-2025 artfynd.xlsx", "A 5919-2025")</f>
        <v/>
      </c>
      <c r="T329">
        <f>HYPERLINK("https://klasma.github.io/Logging_2309/kartor/A 5919-2025 karta.png", "A 5919-2025")</f>
        <v/>
      </c>
      <c r="V329">
        <f>HYPERLINK("https://klasma.github.io/Logging_2309/klagomål/A 5919-2025 FSC-klagomål.docx", "A 5919-2025")</f>
        <v/>
      </c>
      <c r="W329">
        <f>HYPERLINK("https://klasma.github.io/Logging_2309/klagomålsmail/A 5919-2025 FSC-klagomål mail.docx", "A 5919-2025")</f>
        <v/>
      </c>
      <c r="X329">
        <f>HYPERLINK("https://klasma.github.io/Logging_2309/tillsyn/A 5919-2025 tillsynsbegäran.docx", "A 5919-2025")</f>
        <v/>
      </c>
      <c r="Y329">
        <f>HYPERLINK("https://klasma.github.io/Logging_2309/tillsynsmail/A 5919-2025 tillsynsbegäran mail.docx", "A 5919-2025")</f>
        <v/>
      </c>
    </row>
    <row r="330" ht="15" customHeight="1">
      <c r="A330" t="inlineStr">
        <is>
          <t>A 5918-2025</t>
        </is>
      </c>
      <c r="B330" s="1" t="n">
        <v>45695</v>
      </c>
      <c r="C330" s="1" t="n">
        <v>45734</v>
      </c>
      <c r="D330" t="inlineStr">
        <is>
          <t>JÄMTLANDS LÄN</t>
        </is>
      </c>
      <c r="E330" t="inlineStr">
        <is>
          <t>KROKOM</t>
        </is>
      </c>
      <c r="G330" t="n">
        <v>5.7</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5918-2025 artfynd.xlsx", "A 5918-2025")</f>
        <v/>
      </c>
      <c r="T330">
        <f>HYPERLINK("https://klasma.github.io/Logging_2309/kartor/A 5918-2025 karta.png", "A 5918-2025")</f>
        <v/>
      </c>
      <c r="V330">
        <f>HYPERLINK("https://klasma.github.io/Logging_2309/klagomål/A 5918-2025 FSC-klagomål.docx", "A 5918-2025")</f>
        <v/>
      </c>
      <c r="W330">
        <f>HYPERLINK("https://klasma.github.io/Logging_2309/klagomålsmail/A 5918-2025 FSC-klagomål mail.docx", "A 5918-2025")</f>
        <v/>
      </c>
      <c r="X330">
        <f>HYPERLINK("https://klasma.github.io/Logging_2309/tillsyn/A 5918-2025 tillsynsbegäran.docx", "A 5918-2025")</f>
        <v/>
      </c>
      <c r="Y330">
        <f>HYPERLINK("https://klasma.github.io/Logging_2309/tillsynsmail/A 5918-2025 tillsynsbegäran mail.docx", "A 5918-2025")</f>
        <v/>
      </c>
      <c r="Z330">
        <f>HYPERLINK("https://klasma.github.io/Logging_2309/fåglar/A 5918-2025 prioriterade fågelarter.docx", "A 5918-2025")</f>
        <v/>
      </c>
    </row>
    <row r="331" ht="15" customHeight="1">
      <c r="A331" t="inlineStr">
        <is>
          <t>A 6398-2025</t>
        </is>
      </c>
      <c r="B331" s="1" t="n">
        <v>45699</v>
      </c>
      <c r="C331" s="1" t="n">
        <v>45734</v>
      </c>
      <c r="D331" t="inlineStr">
        <is>
          <t>JÄMTLANDS LÄN</t>
        </is>
      </c>
      <c r="E331" t="inlineStr">
        <is>
          <t>KROKOM</t>
        </is>
      </c>
      <c r="G331" t="n">
        <v>5.2</v>
      </c>
      <c r="H331" t="n">
        <v>0</v>
      </c>
      <c r="I331" t="n">
        <v>0</v>
      </c>
      <c r="J331" t="n">
        <v>0</v>
      </c>
      <c r="K331" t="n">
        <v>0</v>
      </c>
      <c r="L331" t="n">
        <v>1</v>
      </c>
      <c r="M331" t="n">
        <v>0</v>
      </c>
      <c r="N331" t="n">
        <v>0</v>
      </c>
      <c r="O331" t="n">
        <v>1</v>
      </c>
      <c r="P331" t="n">
        <v>1</v>
      </c>
      <c r="Q331" t="n">
        <v>1</v>
      </c>
      <c r="R331" s="2" t="inlineStr">
        <is>
          <t>Fältgentiana</t>
        </is>
      </c>
      <c r="S331">
        <f>HYPERLINK("https://klasma.github.io/Logging_2309/artfynd/A 6398-2025 artfynd.xlsx", "A 6398-2025")</f>
        <v/>
      </c>
      <c r="T331">
        <f>HYPERLINK("https://klasma.github.io/Logging_2309/kartor/A 6398-2025 karta.png", "A 6398-2025")</f>
        <v/>
      </c>
      <c r="V331">
        <f>HYPERLINK("https://klasma.github.io/Logging_2309/klagomål/A 6398-2025 FSC-klagomål.docx", "A 6398-2025")</f>
        <v/>
      </c>
      <c r="W331">
        <f>HYPERLINK("https://klasma.github.io/Logging_2309/klagomålsmail/A 6398-2025 FSC-klagomål mail.docx", "A 6398-2025")</f>
        <v/>
      </c>
      <c r="X331">
        <f>HYPERLINK("https://klasma.github.io/Logging_2309/tillsyn/A 6398-2025 tillsynsbegäran.docx", "A 6398-2025")</f>
        <v/>
      </c>
      <c r="Y331">
        <f>HYPERLINK("https://klasma.github.io/Logging_2309/tillsynsmail/A 6398-2025 tillsynsbegäran mail.docx", "A 6398-2025")</f>
        <v/>
      </c>
    </row>
    <row r="332" ht="15" customHeight="1">
      <c r="A332" t="inlineStr">
        <is>
          <t>A 7175-2025</t>
        </is>
      </c>
      <c r="B332" s="1" t="n">
        <v>45702</v>
      </c>
      <c r="C332" s="1" t="n">
        <v>45734</v>
      </c>
      <c r="D332" t="inlineStr">
        <is>
          <t>JÄMTLANDS LÄN</t>
        </is>
      </c>
      <c r="E332" t="inlineStr">
        <is>
          <t>KROKOM</t>
        </is>
      </c>
      <c r="F332" t="inlineStr">
        <is>
          <t>Övriga Aktiebolag</t>
        </is>
      </c>
      <c r="G332" t="n">
        <v>23</v>
      </c>
      <c r="H332" t="n">
        <v>0</v>
      </c>
      <c r="I332" t="n">
        <v>0</v>
      </c>
      <c r="J332" t="n">
        <v>1</v>
      </c>
      <c r="K332" t="n">
        <v>0</v>
      </c>
      <c r="L332" t="n">
        <v>0</v>
      </c>
      <c r="M332" t="n">
        <v>0</v>
      </c>
      <c r="N332" t="n">
        <v>0</v>
      </c>
      <c r="O332" t="n">
        <v>1</v>
      </c>
      <c r="P332" t="n">
        <v>0</v>
      </c>
      <c r="Q332" t="n">
        <v>1</v>
      </c>
      <c r="R332" s="2" t="inlineStr">
        <is>
          <t>Gränsticka</t>
        </is>
      </c>
      <c r="S332">
        <f>HYPERLINK("https://klasma.github.io/Logging_2309/artfynd/A 7175-2025 artfynd.xlsx", "A 7175-2025")</f>
        <v/>
      </c>
      <c r="T332">
        <f>HYPERLINK("https://klasma.github.io/Logging_2309/kartor/A 7175-2025 karta.png", "A 7175-2025")</f>
        <v/>
      </c>
      <c r="V332">
        <f>HYPERLINK("https://klasma.github.io/Logging_2309/klagomål/A 7175-2025 FSC-klagomål.docx", "A 7175-2025")</f>
        <v/>
      </c>
      <c r="W332">
        <f>HYPERLINK("https://klasma.github.io/Logging_2309/klagomålsmail/A 7175-2025 FSC-klagomål mail.docx", "A 7175-2025")</f>
        <v/>
      </c>
      <c r="X332">
        <f>HYPERLINK("https://klasma.github.io/Logging_2309/tillsyn/A 7175-2025 tillsynsbegäran.docx", "A 7175-2025")</f>
        <v/>
      </c>
      <c r="Y332">
        <f>HYPERLINK("https://klasma.github.io/Logging_2309/tillsynsmail/A 7175-2025 tillsynsbegäran mail.docx", "A 7175-2025")</f>
        <v/>
      </c>
    </row>
    <row r="333" ht="15" customHeight="1">
      <c r="A333" t="inlineStr">
        <is>
          <t>A 7208-2025</t>
        </is>
      </c>
      <c r="B333" s="1" t="n">
        <v>45702</v>
      </c>
      <c r="C333" s="1" t="n">
        <v>45734</v>
      </c>
      <c r="D333" t="inlineStr">
        <is>
          <t>JÄMTLANDS LÄN</t>
        </is>
      </c>
      <c r="E333" t="inlineStr">
        <is>
          <t>KROKOM</t>
        </is>
      </c>
      <c r="F333" t="inlineStr">
        <is>
          <t>Övriga Aktiebolag</t>
        </is>
      </c>
      <c r="G333" t="n">
        <v>39.4</v>
      </c>
      <c r="H333" t="n">
        <v>0</v>
      </c>
      <c r="I333" t="n">
        <v>0</v>
      </c>
      <c r="J333" t="n">
        <v>1</v>
      </c>
      <c r="K333" t="n">
        <v>0</v>
      </c>
      <c r="L333" t="n">
        <v>0</v>
      </c>
      <c r="M333" t="n">
        <v>0</v>
      </c>
      <c r="N333" t="n">
        <v>0</v>
      </c>
      <c r="O333" t="n">
        <v>1</v>
      </c>
      <c r="P333" t="n">
        <v>0</v>
      </c>
      <c r="Q333" t="n">
        <v>1</v>
      </c>
      <c r="R333" s="2" t="inlineStr">
        <is>
          <t>Ullticka</t>
        </is>
      </c>
      <c r="S333">
        <f>HYPERLINK("https://klasma.github.io/Logging_2309/artfynd/A 7208-2025 artfynd.xlsx", "A 7208-2025")</f>
        <v/>
      </c>
      <c r="T333">
        <f>HYPERLINK("https://klasma.github.io/Logging_2309/kartor/A 7208-2025 karta.png", "A 7208-2025")</f>
        <v/>
      </c>
      <c r="V333">
        <f>HYPERLINK("https://klasma.github.io/Logging_2309/klagomål/A 7208-2025 FSC-klagomål.docx", "A 7208-2025")</f>
        <v/>
      </c>
      <c r="W333">
        <f>HYPERLINK("https://klasma.github.io/Logging_2309/klagomålsmail/A 7208-2025 FSC-klagomål mail.docx", "A 7208-2025")</f>
        <v/>
      </c>
      <c r="X333">
        <f>HYPERLINK("https://klasma.github.io/Logging_2309/tillsyn/A 7208-2025 tillsynsbegäran.docx", "A 7208-2025")</f>
        <v/>
      </c>
      <c r="Y333">
        <f>HYPERLINK("https://klasma.github.io/Logging_2309/tillsynsmail/A 7208-2025 tillsynsbegäran mail.docx", "A 7208-2025")</f>
        <v/>
      </c>
    </row>
    <row r="334" ht="15" customHeight="1">
      <c r="A334" t="inlineStr">
        <is>
          <t>A 17853-2019</t>
        </is>
      </c>
      <c r="B334" s="1" t="n">
        <v>43556</v>
      </c>
      <c r="C334" s="1" t="n">
        <v>45734</v>
      </c>
      <c r="D334" t="inlineStr">
        <is>
          <t>JÄMTLANDS LÄN</t>
        </is>
      </c>
      <c r="E334" t="inlineStr">
        <is>
          <t>KROKOM</t>
        </is>
      </c>
      <c r="F334" t="inlineStr">
        <is>
          <t>SCA</t>
        </is>
      </c>
      <c r="G334" t="n">
        <v>4.7</v>
      </c>
      <c r="H334" t="n">
        <v>0</v>
      </c>
      <c r="I334" t="n">
        <v>0</v>
      </c>
      <c r="J334" t="n">
        <v>0</v>
      </c>
      <c r="K334" t="n">
        <v>0</v>
      </c>
      <c r="L334" t="n">
        <v>0</v>
      </c>
      <c r="M334" t="n">
        <v>0</v>
      </c>
      <c r="N334" t="n">
        <v>0</v>
      </c>
      <c r="O334" t="n">
        <v>0</v>
      </c>
      <c r="P334" t="n">
        <v>0</v>
      </c>
      <c r="Q334" t="n">
        <v>0</v>
      </c>
      <c r="R334" s="2" t="inlineStr"/>
    </row>
    <row r="335" ht="15" customHeight="1">
      <c r="A335" t="inlineStr">
        <is>
          <t>A 18183-2019</t>
        </is>
      </c>
      <c r="B335" s="1" t="n">
        <v>43558</v>
      </c>
      <c r="C335" s="1" t="n">
        <v>45734</v>
      </c>
      <c r="D335" t="inlineStr">
        <is>
          <t>JÄMTLANDS LÄN</t>
        </is>
      </c>
      <c r="E335" t="inlineStr">
        <is>
          <t>KROKOM</t>
        </is>
      </c>
      <c r="G335" t="n">
        <v>5.3</v>
      </c>
      <c r="H335" t="n">
        <v>0</v>
      </c>
      <c r="I335" t="n">
        <v>0</v>
      </c>
      <c r="J335" t="n">
        <v>0</v>
      </c>
      <c r="K335" t="n">
        <v>0</v>
      </c>
      <c r="L335" t="n">
        <v>0</v>
      </c>
      <c r="M335" t="n">
        <v>0</v>
      </c>
      <c r="N335" t="n">
        <v>0</v>
      </c>
      <c r="O335" t="n">
        <v>0</v>
      </c>
      <c r="P335" t="n">
        <v>0</v>
      </c>
      <c r="Q335" t="n">
        <v>0</v>
      </c>
      <c r="R335" s="2" t="inlineStr"/>
    </row>
    <row r="336" ht="15" customHeight="1">
      <c r="A336" t="inlineStr">
        <is>
          <t>A 18477-2019</t>
        </is>
      </c>
      <c r="B336" s="1" t="n">
        <v>43559</v>
      </c>
      <c r="C336" s="1" t="n">
        <v>45734</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18565-2019</t>
        </is>
      </c>
      <c r="B337" s="1" t="n">
        <v>43559</v>
      </c>
      <c r="C337" s="1" t="n">
        <v>45734</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row>
    <row r="338" ht="15" customHeight="1">
      <c r="A338" t="inlineStr">
        <is>
          <t>A 18407-2019</t>
        </is>
      </c>
      <c r="B338" s="1" t="n">
        <v>43559</v>
      </c>
      <c r="C338" s="1" t="n">
        <v>45734</v>
      </c>
      <c r="D338" t="inlineStr">
        <is>
          <t>JÄMTLANDS LÄN</t>
        </is>
      </c>
      <c r="E338" t="inlineStr">
        <is>
          <t>KROKOM</t>
        </is>
      </c>
      <c r="G338" t="n">
        <v>43.1</v>
      </c>
      <c r="H338" t="n">
        <v>0</v>
      </c>
      <c r="I338" t="n">
        <v>0</v>
      </c>
      <c r="J338" t="n">
        <v>0</v>
      </c>
      <c r="K338" t="n">
        <v>0</v>
      </c>
      <c r="L338" t="n">
        <v>0</v>
      </c>
      <c r="M338" t="n">
        <v>0</v>
      </c>
      <c r="N338" t="n">
        <v>0</v>
      </c>
      <c r="O338" t="n">
        <v>0</v>
      </c>
      <c r="P338" t="n">
        <v>0</v>
      </c>
      <c r="Q338" t="n">
        <v>0</v>
      </c>
      <c r="R338" s="2" t="inlineStr"/>
    </row>
    <row r="339" ht="15" customHeight="1">
      <c r="A339" t="inlineStr">
        <is>
          <t>A 18397-2019</t>
        </is>
      </c>
      <c r="B339" s="1" t="n">
        <v>43559</v>
      </c>
      <c r="C339" s="1" t="n">
        <v>45734</v>
      </c>
      <c r="D339" t="inlineStr">
        <is>
          <t>JÄMTLANDS LÄN</t>
        </is>
      </c>
      <c r="E339" t="inlineStr">
        <is>
          <t>KROKOM</t>
        </is>
      </c>
      <c r="G339" t="n">
        <v>2.8</v>
      </c>
      <c r="H339" t="n">
        <v>0</v>
      </c>
      <c r="I339" t="n">
        <v>0</v>
      </c>
      <c r="J339" t="n">
        <v>0</v>
      </c>
      <c r="K339" t="n">
        <v>0</v>
      </c>
      <c r="L339" t="n">
        <v>0</v>
      </c>
      <c r="M339" t="n">
        <v>0</v>
      </c>
      <c r="N339" t="n">
        <v>0</v>
      </c>
      <c r="O339" t="n">
        <v>0</v>
      </c>
      <c r="P339" t="n">
        <v>0</v>
      </c>
      <c r="Q339" t="n">
        <v>0</v>
      </c>
      <c r="R339" s="2" t="inlineStr"/>
    </row>
    <row r="340" ht="15" customHeight="1">
      <c r="A340" t="inlineStr">
        <is>
          <t>A 18602-2019</t>
        </is>
      </c>
      <c r="B340" s="1" t="n">
        <v>43560</v>
      </c>
      <c r="C340" s="1" t="n">
        <v>45734</v>
      </c>
      <c r="D340" t="inlineStr">
        <is>
          <t>JÄMTLANDS LÄN</t>
        </is>
      </c>
      <c r="E340" t="inlineStr">
        <is>
          <t>KROKOM</t>
        </is>
      </c>
      <c r="G340" t="n">
        <v>1.7</v>
      </c>
      <c r="H340" t="n">
        <v>0</v>
      </c>
      <c r="I340" t="n">
        <v>0</v>
      </c>
      <c r="J340" t="n">
        <v>0</v>
      </c>
      <c r="K340" t="n">
        <v>0</v>
      </c>
      <c r="L340" t="n">
        <v>0</v>
      </c>
      <c r="M340" t="n">
        <v>0</v>
      </c>
      <c r="N340" t="n">
        <v>0</v>
      </c>
      <c r="O340" t="n">
        <v>0</v>
      </c>
      <c r="P340" t="n">
        <v>0</v>
      </c>
      <c r="Q340" t="n">
        <v>0</v>
      </c>
      <c r="R340" s="2" t="inlineStr"/>
    </row>
    <row r="341" ht="15" customHeight="1">
      <c r="A341" t="inlineStr">
        <is>
          <t>A 18831-2019</t>
        </is>
      </c>
      <c r="B341" s="1" t="n">
        <v>43563</v>
      </c>
      <c r="C341" s="1" t="n">
        <v>45734</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18847-2019</t>
        </is>
      </c>
      <c r="B342" s="1" t="n">
        <v>43563</v>
      </c>
      <c r="C342" s="1" t="n">
        <v>45734</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19152-2019</t>
        </is>
      </c>
      <c r="B343" s="1" t="n">
        <v>43564</v>
      </c>
      <c r="C343" s="1" t="n">
        <v>45734</v>
      </c>
      <c r="D343" t="inlineStr">
        <is>
          <t>JÄMTLANDS LÄN</t>
        </is>
      </c>
      <c r="E343" t="inlineStr">
        <is>
          <t>KROKOM</t>
        </is>
      </c>
      <c r="G343" t="n">
        <v>4.1</v>
      </c>
      <c r="H343" t="n">
        <v>0</v>
      </c>
      <c r="I343" t="n">
        <v>0</v>
      </c>
      <c r="J343" t="n">
        <v>0</v>
      </c>
      <c r="K343" t="n">
        <v>0</v>
      </c>
      <c r="L343" t="n">
        <v>0</v>
      </c>
      <c r="M343" t="n">
        <v>0</v>
      </c>
      <c r="N343" t="n">
        <v>0</v>
      </c>
      <c r="O343" t="n">
        <v>0</v>
      </c>
      <c r="P343" t="n">
        <v>0</v>
      </c>
      <c r="Q343" t="n">
        <v>0</v>
      </c>
      <c r="R343" s="2" t="inlineStr"/>
    </row>
    <row r="344" ht="15" customHeight="1">
      <c r="A344" t="inlineStr">
        <is>
          <t>A 19325-2019</t>
        </is>
      </c>
      <c r="B344" s="1" t="n">
        <v>43565</v>
      </c>
      <c r="C344" s="1" t="n">
        <v>45734</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19708-2019</t>
        </is>
      </c>
      <c r="B345" s="1" t="n">
        <v>43566</v>
      </c>
      <c r="C345" s="1" t="n">
        <v>45734</v>
      </c>
      <c r="D345" t="inlineStr">
        <is>
          <t>JÄMTLANDS LÄN</t>
        </is>
      </c>
      <c r="E345" t="inlineStr">
        <is>
          <t>KROKOM</t>
        </is>
      </c>
      <c r="G345" t="n">
        <v>8.9</v>
      </c>
      <c r="H345" t="n">
        <v>0</v>
      </c>
      <c r="I345" t="n">
        <v>0</v>
      </c>
      <c r="J345" t="n">
        <v>0</v>
      </c>
      <c r="K345" t="n">
        <v>0</v>
      </c>
      <c r="L345" t="n">
        <v>0</v>
      </c>
      <c r="M345" t="n">
        <v>0</v>
      </c>
      <c r="N345" t="n">
        <v>0</v>
      </c>
      <c r="O345" t="n">
        <v>0</v>
      </c>
      <c r="P345" t="n">
        <v>0</v>
      </c>
      <c r="Q345" t="n">
        <v>0</v>
      </c>
      <c r="R345" s="2" t="inlineStr"/>
    </row>
    <row r="346" ht="15" customHeight="1">
      <c r="A346" t="inlineStr">
        <is>
          <t>A 20378-2019</t>
        </is>
      </c>
      <c r="B346" s="1" t="n">
        <v>43571</v>
      </c>
      <c r="C346" s="1" t="n">
        <v>45734</v>
      </c>
      <c r="D346" t="inlineStr">
        <is>
          <t>JÄMTLANDS LÄN</t>
        </is>
      </c>
      <c r="E346" t="inlineStr">
        <is>
          <t>KROKOM</t>
        </is>
      </c>
      <c r="G346" t="n">
        <v>2.7</v>
      </c>
      <c r="H346" t="n">
        <v>0</v>
      </c>
      <c r="I346" t="n">
        <v>0</v>
      </c>
      <c r="J346" t="n">
        <v>0</v>
      </c>
      <c r="K346" t="n">
        <v>0</v>
      </c>
      <c r="L346" t="n">
        <v>0</v>
      </c>
      <c r="M346" t="n">
        <v>0</v>
      </c>
      <c r="N346" t="n">
        <v>0</v>
      </c>
      <c r="O346" t="n">
        <v>0</v>
      </c>
      <c r="P346" t="n">
        <v>0</v>
      </c>
      <c r="Q346" t="n">
        <v>0</v>
      </c>
      <c r="R346" s="2" t="inlineStr"/>
    </row>
    <row r="347" ht="15" customHeight="1">
      <c r="A347" t="inlineStr">
        <is>
          <t>A 20596-2019</t>
        </is>
      </c>
      <c r="B347" s="1" t="n">
        <v>43572</v>
      </c>
      <c r="C347" s="1" t="n">
        <v>45734</v>
      </c>
      <c r="D347" t="inlineStr">
        <is>
          <t>JÄMTLANDS LÄN</t>
        </is>
      </c>
      <c r="E347" t="inlineStr">
        <is>
          <t>KROKOM</t>
        </is>
      </c>
      <c r="G347" t="n">
        <v>10.6</v>
      </c>
      <c r="H347" t="n">
        <v>0</v>
      </c>
      <c r="I347" t="n">
        <v>0</v>
      </c>
      <c r="J347" t="n">
        <v>0</v>
      </c>
      <c r="K347" t="n">
        <v>0</v>
      </c>
      <c r="L347" t="n">
        <v>0</v>
      </c>
      <c r="M347" t="n">
        <v>0</v>
      </c>
      <c r="N347" t="n">
        <v>0</v>
      </c>
      <c r="O347" t="n">
        <v>0</v>
      </c>
      <c r="P347" t="n">
        <v>0</v>
      </c>
      <c r="Q347" t="n">
        <v>0</v>
      </c>
      <c r="R347" s="2" t="inlineStr"/>
    </row>
    <row r="348" ht="15" customHeight="1">
      <c r="A348" t="inlineStr">
        <is>
          <t>A 21269-2019</t>
        </is>
      </c>
      <c r="B348" s="1" t="n">
        <v>43579</v>
      </c>
      <c r="C348" s="1" t="n">
        <v>45734</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21421-2019</t>
        </is>
      </c>
      <c r="B349" s="1" t="n">
        <v>43580</v>
      </c>
      <c r="C349" s="1" t="n">
        <v>45734</v>
      </c>
      <c r="D349" t="inlineStr">
        <is>
          <t>JÄMTLANDS LÄN</t>
        </is>
      </c>
      <c r="E349" t="inlineStr">
        <is>
          <t>KROKOM</t>
        </is>
      </c>
      <c r="G349" t="n">
        <v>13.1</v>
      </c>
      <c r="H349" t="n">
        <v>0</v>
      </c>
      <c r="I349" t="n">
        <v>0</v>
      </c>
      <c r="J349" t="n">
        <v>0</v>
      </c>
      <c r="K349" t="n">
        <v>0</v>
      </c>
      <c r="L349" t="n">
        <v>0</v>
      </c>
      <c r="M349" t="n">
        <v>0</v>
      </c>
      <c r="N349" t="n">
        <v>0</v>
      </c>
      <c r="O349" t="n">
        <v>0</v>
      </c>
      <c r="P349" t="n">
        <v>0</v>
      </c>
      <c r="Q349" t="n">
        <v>0</v>
      </c>
      <c r="R349" s="2" t="inlineStr"/>
    </row>
    <row r="350" ht="15" customHeight="1">
      <c r="A350" t="inlineStr">
        <is>
          <t>A 21716-2019</t>
        </is>
      </c>
      <c r="B350" s="1" t="n">
        <v>43581</v>
      </c>
      <c r="C350" s="1" t="n">
        <v>45734</v>
      </c>
      <c r="D350" t="inlineStr">
        <is>
          <t>JÄMTLANDS LÄN</t>
        </is>
      </c>
      <c r="E350" t="inlineStr">
        <is>
          <t>KROKOM</t>
        </is>
      </c>
      <c r="G350" t="n">
        <v>4.2</v>
      </c>
      <c r="H350" t="n">
        <v>0</v>
      </c>
      <c r="I350" t="n">
        <v>0</v>
      </c>
      <c r="J350" t="n">
        <v>0</v>
      </c>
      <c r="K350" t="n">
        <v>0</v>
      </c>
      <c r="L350" t="n">
        <v>0</v>
      </c>
      <c r="M350" t="n">
        <v>0</v>
      </c>
      <c r="N350" t="n">
        <v>0</v>
      </c>
      <c r="O350" t="n">
        <v>0</v>
      </c>
      <c r="P350" t="n">
        <v>0</v>
      </c>
      <c r="Q350" t="n">
        <v>0</v>
      </c>
      <c r="R350" s="2" t="inlineStr"/>
    </row>
    <row r="351" ht="15" customHeight="1">
      <c r="A351" t="inlineStr">
        <is>
          <t>A 21933-2019</t>
        </is>
      </c>
      <c r="B351" s="1" t="n">
        <v>43584</v>
      </c>
      <c r="C351" s="1" t="n">
        <v>45734</v>
      </c>
      <c r="D351" t="inlineStr">
        <is>
          <t>JÄMTLANDS LÄN</t>
        </is>
      </c>
      <c r="E351" t="inlineStr">
        <is>
          <t>KROKOM</t>
        </is>
      </c>
      <c r="G351" t="n">
        <v>12.8</v>
      </c>
      <c r="H351" t="n">
        <v>0</v>
      </c>
      <c r="I351" t="n">
        <v>0</v>
      </c>
      <c r="J351" t="n">
        <v>0</v>
      </c>
      <c r="K351" t="n">
        <v>0</v>
      </c>
      <c r="L351" t="n">
        <v>0</v>
      </c>
      <c r="M351" t="n">
        <v>0</v>
      </c>
      <c r="N351" t="n">
        <v>0</v>
      </c>
      <c r="O351" t="n">
        <v>0</v>
      </c>
      <c r="P351" t="n">
        <v>0</v>
      </c>
      <c r="Q351" t="n">
        <v>0</v>
      </c>
      <c r="R351" s="2" t="inlineStr"/>
    </row>
    <row r="352" ht="15" customHeight="1">
      <c r="A352" t="inlineStr">
        <is>
          <t>A 22208-2019</t>
        </is>
      </c>
      <c r="B352" s="1" t="n">
        <v>43585</v>
      </c>
      <c r="C352" s="1" t="n">
        <v>45734</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22135-2019</t>
        </is>
      </c>
      <c r="B353" s="1" t="n">
        <v>43585</v>
      </c>
      <c r="C353" s="1" t="n">
        <v>45734</v>
      </c>
      <c r="D353" t="inlineStr">
        <is>
          <t>JÄMTLANDS LÄN</t>
        </is>
      </c>
      <c r="E353" t="inlineStr">
        <is>
          <t>KROKOM</t>
        </is>
      </c>
      <c r="G353" t="n">
        <v>8.1</v>
      </c>
      <c r="H353" t="n">
        <v>0</v>
      </c>
      <c r="I353" t="n">
        <v>0</v>
      </c>
      <c r="J353" t="n">
        <v>0</v>
      </c>
      <c r="K353" t="n">
        <v>0</v>
      </c>
      <c r="L353" t="n">
        <v>0</v>
      </c>
      <c r="M353" t="n">
        <v>0</v>
      </c>
      <c r="N353" t="n">
        <v>0</v>
      </c>
      <c r="O353" t="n">
        <v>0</v>
      </c>
      <c r="P353" t="n">
        <v>0</v>
      </c>
      <c r="Q353" t="n">
        <v>0</v>
      </c>
      <c r="R353" s="2" t="inlineStr"/>
    </row>
    <row r="354" ht="15" customHeight="1">
      <c r="A354" t="inlineStr">
        <is>
          <t>A 22129-2019</t>
        </is>
      </c>
      <c r="B354" s="1" t="n">
        <v>43585</v>
      </c>
      <c r="C354" s="1" t="n">
        <v>45734</v>
      </c>
      <c r="D354" t="inlineStr">
        <is>
          <t>JÄMTLANDS LÄN</t>
        </is>
      </c>
      <c r="E354" t="inlineStr">
        <is>
          <t>KROKOM</t>
        </is>
      </c>
      <c r="G354" t="n">
        <v>7</v>
      </c>
      <c r="H354" t="n">
        <v>0</v>
      </c>
      <c r="I354" t="n">
        <v>0</v>
      </c>
      <c r="J354" t="n">
        <v>0</v>
      </c>
      <c r="K354" t="n">
        <v>0</v>
      </c>
      <c r="L354" t="n">
        <v>0</v>
      </c>
      <c r="M354" t="n">
        <v>0</v>
      </c>
      <c r="N354" t="n">
        <v>0</v>
      </c>
      <c r="O354" t="n">
        <v>0</v>
      </c>
      <c r="P354" t="n">
        <v>0</v>
      </c>
      <c r="Q354" t="n">
        <v>0</v>
      </c>
      <c r="R354" s="2" t="inlineStr"/>
    </row>
    <row r="355" ht="15" customHeight="1">
      <c r="A355" t="inlineStr">
        <is>
          <t>A 22521-2019</t>
        </is>
      </c>
      <c r="B355" s="1" t="n">
        <v>43587</v>
      </c>
      <c r="C355" s="1" t="n">
        <v>45734</v>
      </c>
      <c r="D355" t="inlineStr">
        <is>
          <t>JÄMTLANDS LÄN</t>
        </is>
      </c>
      <c r="E355" t="inlineStr">
        <is>
          <t>KROKOM</t>
        </is>
      </c>
      <c r="F355" t="inlineStr">
        <is>
          <t>Kyrkan</t>
        </is>
      </c>
      <c r="G355" t="n">
        <v>14.5</v>
      </c>
      <c r="H355" t="n">
        <v>0</v>
      </c>
      <c r="I355" t="n">
        <v>0</v>
      </c>
      <c r="J355" t="n">
        <v>0</v>
      </c>
      <c r="K355" t="n">
        <v>0</v>
      </c>
      <c r="L355" t="n">
        <v>0</v>
      </c>
      <c r="M355" t="n">
        <v>0</v>
      </c>
      <c r="N355" t="n">
        <v>0</v>
      </c>
      <c r="O355" t="n">
        <v>0</v>
      </c>
      <c r="P355" t="n">
        <v>0</v>
      </c>
      <c r="Q355" t="n">
        <v>0</v>
      </c>
      <c r="R355" s="2" t="inlineStr"/>
    </row>
    <row r="356" ht="15" customHeight="1">
      <c r="A356" t="inlineStr">
        <is>
          <t>A 22533-2019</t>
        </is>
      </c>
      <c r="B356" s="1" t="n">
        <v>43587</v>
      </c>
      <c r="C356" s="1" t="n">
        <v>45734</v>
      </c>
      <c r="D356" t="inlineStr">
        <is>
          <t>JÄMTLANDS LÄN</t>
        </is>
      </c>
      <c r="E356" t="inlineStr">
        <is>
          <t>KROKOM</t>
        </is>
      </c>
      <c r="F356" t="inlineStr">
        <is>
          <t>Kyrkan</t>
        </is>
      </c>
      <c r="G356" t="n">
        <v>1.5</v>
      </c>
      <c r="H356" t="n">
        <v>0</v>
      </c>
      <c r="I356" t="n">
        <v>0</v>
      </c>
      <c r="J356" t="n">
        <v>0</v>
      </c>
      <c r="K356" t="n">
        <v>0</v>
      </c>
      <c r="L356" t="n">
        <v>0</v>
      </c>
      <c r="M356" t="n">
        <v>0</v>
      </c>
      <c r="N356" t="n">
        <v>0</v>
      </c>
      <c r="O356" t="n">
        <v>0</v>
      </c>
      <c r="P356" t="n">
        <v>0</v>
      </c>
      <c r="Q356" t="n">
        <v>0</v>
      </c>
      <c r="R356" s="2" t="inlineStr"/>
    </row>
    <row r="357" ht="15" customHeight="1">
      <c r="A357" t="inlineStr">
        <is>
          <t>A 22877-2019</t>
        </is>
      </c>
      <c r="B357" s="1" t="n">
        <v>43591</v>
      </c>
      <c r="C357" s="1" t="n">
        <v>45734</v>
      </c>
      <c r="D357" t="inlineStr">
        <is>
          <t>JÄMTLANDS LÄN</t>
        </is>
      </c>
      <c r="E357" t="inlineStr">
        <is>
          <t>KROKOM</t>
        </is>
      </c>
      <c r="G357" t="n">
        <v>11</v>
      </c>
      <c r="H357" t="n">
        <v>0</v>
      </c>
      <c r="I357" t="n">
        <v>0</v>
      </c>
      <c r="J357" t="n">
        <v>0</v>
      </c>
      <c r="K357" t="n">
        <v>0</v>
      </c>
      <c r="L357" t="n">
        <v>0</v>
      </c>
      <c r="M357" t="n">
        <v>0</v>
      </c>
      <c r="N357" t="n">
        <v>0</v>
      </c>
      <c r="O357" t="n">
        <v>0</v>
      </c>
      <c r="P357" t="n">
        <v>0</v>
      </c>
      <c r="Q357" t="n">
        <v>0</v>
      </c>
      <c r="R357" s="2" t="inlineStr"/>
    </row>
    <row r="358" ht="15" customHeight="1">
      <c r="A358" t="inlineStr">
        <is>
          <t>A 23698-2019</t>
        </is>
      </c>
      <c r="B358" s="1" t="n">
        <v>43594</v>
      </c>
      <c r="C358" s="1" t="n">
        <v>45734</v>
      </c>
      <c r="D358" t="inlineStr">
        <is>
          <t>JÄMTLANDS LÄN</t>
        </is>
      </c>
      <c r="E358" t="inlineStr">
        <is>
          <t>KROKOM</t>
        </is>
      </c>
      <c r="G358" t="n">
        <v>14.3</v>
      </c>
      <c r="H358" t="n">
        <v>0</v>
      </c>
      <c r="I358" t="n">
        <v>0</v>
      </c>
      <c r="J358" t="n">
        <v>0</v>
      </c>
      <c r="K358" t="n">
        <v>0</v>
      </c>
      <c r="L358" t="n">
        <v>0</v>
      </c>
      <c r="M358" t="n">
        <v>0</v>
      </c>
      <c r="N358" t="n">
        <v>0</v>
      </c>
      <c r="O358" t="n">
        <v>0</v>
      </c>
      <c r="P358" t="n">
        <v>0</v>
      </c>
      <c r="Q358" t="n">
        <v>0</v>
      </c>
      <c r="R358" s="2" t="inlineStr"/>
    </row>
    <row r="359" ht="15" customHeight="1">
      <c r="A359" t="inlineStr">
        <is>
          <t>A 24900-2019</t>
        </is>
      </c>
      <c r="B359" s="1" t="n">
        <v>43599</v>
      </c>
      <c r="C359" s="1" t="n">
        <v>45734</v>
      </c>
      <c r="D359" t="inlineStr">
        <is>
          <t>JÄMTLANDS LÄN</t>
        </is>
      </c>
      <c r="E359" t="inlineStr">
        <is>
          <t>KROKOM</t>
        </is>
      </c>
      <c r="G359" t="n">
        <v>3.3</v>
      </c>
      <c r="H359" t="n">
        <v>0</v>
      </c>
      <c r="I359" t="n">
        <v>0</v>
      </c>
      <c r="J359" t="n">
        <v>0</v>
      </c>
      <c r="K359" t="n">
        <v>0</v>
      </c>
      <c r="L359" t="n">
        <v>0</v>
      </c>
      <c r="M359" t="n">
        <v>0</v>
      </c>
      <c r="N359" t="n">
        <v>0</v>
      </c>
      <c r="O359" t="n">
        <v>0</v>
      </c>
      <c r="P359" t="n">
        <v>0</v>
      </c>
      <c r="Q359" t="n">
        <v>0</v>
      </c>
      <c r="R359" s="2" t="inlineStr"/>
    </row>
    <row r="360" ht="15" customHeight="1">
      <c r="A360" t="inlineStr">
        <is>
          <t>A 25641-2019</t>
        </is>
      </c>
      <c r="B360" s="1" t="n">
        <v>43602</v>
      </c>
      <c r="C360" s="1" t="n">
        <v>45734</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25644-2019</t>
        </is>
      </c>
      <c r="B361" s="1" t="n">
        <v>43602</v>
      </c>
      <c r="C361" s="1" t="n">
        <v>45734</v>
      </c>
      <c r="D361" t="inlineStr">
        <is>
          <t>JÄMTLANDS LÄN</t>
        </is>
      </c>
      <c r="E361" t="inlineStr">
        <is>
          <t>KROKOM</t>
        </is>
      </c>
      <c r="G361" t="n">
        <v>0.4</v>
      </c>
      <c r="H361" t="n">
        <v>0</v>
      </c>
      <c r="I361" t="n">
        <v>0</v>
      </c>
      <c r="J361" t="n">
        <v>0</v>
      </c>
      <c r="K361" t="n">
        <v>0</v>
      </c>
      <c r="L361" t="n">
        <v>0</v>
      </c>
      <c r="M361" t="n">
        <v>0</v>
      </c>
      <c r="N361" t="n">
        <v>0</v>
      </c>
      <c r="O361" t="n">
        <v>0</v>
      </c>
      <c r="P361" t="n">
        <v>0</v>
      </c>
      <c r="Q361" t="n">
        <v>0</v>
      </c>
      <c r="R361" s="2" t="inlineStr"/>
    </row>
    <row r="362" ht="15" customHeight="1">
      <c r="A362" t="inlineStr">
        <is>
          <t>A 25634-2019</t>
        </is>
      </c>
      <c r="B362" s="1" t="n">
        <v>43602</v>
      </c>
      <c r="C362" s="1" t="n">
        <v>45734</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25115-2019</t>
        </is>
      </c>
      <c r="B363" s="1" t="n">
        <v>43605</v>
      </c>
      <c r="C363" s="1" t="n">
        <v>45734</v>
      </c>
      <c r="D363" t="inlineStr">
        <is>
          <t>JÄMTLANDS LÄN</t>
        </is>
      </c>
      <c r="E363" t="inlineStr">
        <is>
          <t>KROKOM</t>
        </is>
      </c>
      <c r="G363" t="n">
        <v>2.2</v>
      </c>
      <c r="H363" t="n">
        <v>0</v>
      </c>
      <c r="I363" t="n">
        <v>0</v>
      </c>
      <c r="J363" t="n">
        <v>0</v>
      </c>
      <c r="K363" t="n">
        <v>0</v>
      </c>
      <c r="L363" t="n">
        <v>0</v>
      </c>
      <c r="M363" t="n">
        <v>0</v>
      </c>
      <c r="N363" t="n">
        <v>0</v>
      </c>
      <c r="O363" t="n">
        <v>0</v>
      </c>
      <c r="P363" t="n">
        <v>0</v>
      </c>
      <c r="Q363" t="n">
        <v>0</v>
      </c>
      <c r="R363" s="2" t="inlineStr"/>
    </row>
    <row r="364" ht="15" customHeight="1">
      <c r="A364" t="inlineStr">
        <is>
          <t>A 25858-2019</t>
        </is>
      </c>
      <c r="B364" s="1" t="n">
        <v>43608</v>
      </c>
      <c r="C364" s="1" t="n">
        <v>45734</v>
      </c>
      <c r="D364" t="inlineStr">
        <is>
          <t>JÄMTLANDS LÄN</t>
        </is>
      </c>
      <c r="E364" t="inlineStr">
        <is>
          <t>KROKOM</t>
        </is>
      </c>
      <c r="F364" t="inlineStr">
        <is>
          <t>Övriga Aktiebolag</t>
        </is>
      </c>
      <c r="G364" t="n">
        <v>32.2</v>
      </c>
      <c r="H364" t="n">
        <v>0</v>
      </c>
      <c r="I364" t="n">
        <v>0</v>
      </c>
      <c r="J364" t="n">
        <v>0</v>
      </c>
      <c r="K364" t="n">
        <v>0</v>
      </c>
      <c r="L364" t="n">
        <v>0</v>
      </c>
      <c r="M364" t="n">
        <v>0</v>
      </c>
      <c r="N364" t="n">
        <v>0</v>
      </c>
      <c r="O364" t="n">
        <v>0</v>
      </c>
      <c r="P364" t="n">
        <v>0</v>
      </c>
      <c r="Q364" t="n">
        <v>0</v>
      </c>
      <c r="R364" s="2" t="inlineStr"/>
    </row>
    <row r="365" ht="15" customHeight="1">
      <c r="A365" t="inlineStr">
        <is>
          <t>A 26486-2019</t>
        </is>
      </c>
      <c r="B365" s="1" t="n">
        <v>43612</v>
      </c>
      <c r="C365" s="1" t="n">
        <v>45734</v>
      </c>
      <c r="D365" t="inlineStr">
        <is>
          <t>JÄMTLANDS LÄN</t>
        </is>
      </c>
      <c r="E365" t="inlineStr">
        <is>
          <t>KROKOM</t>
        </is>
      </c>
      <c r="G365" t="n">
        <v>3.5</v>
      </c>
      <c r="H365" t="n">
        <v>0</v>
      </c>
      <c r="I365" t="n">
        <v>0</v>
      </c>
      <c r="J365" t="n">
        <v>0</v>
      </c>
      <c r="K365" t="n">
        <v>0</v>
      </c>
      <c r="L365" t="n">
        <v>0</v>
      </c>
      <c r="M365" t="n">
        <v>0</v>
      </c>
      <c r="N365" t="n">
        <v>0</v>
      </c>
      <c r="O365" t="n">
        <v>0</v>
      </c>
      <c r="P365" t="n">
        <v>0</v>
      </c>
      <c r="Q365" t="n">
        <v>0</v>
      </c>
      <c r="R365" s="2" t="inlineStr"/>
    </row>
    <row r="366" ht="15" customHeight="1">
      <c r="A366" t="inlineStr">
        <is>
          <t>A 26408-2019</t>
        </is>
      </c>
      <c r="B366" s="1" t="n">
        <v>43612</v>
      </c>
      <c r="C366" s="1" t="n">
        <v>45734</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28077-2019</t>
        </is>
      </c>
      <c r="B367" s="1" t="n">
        <v>43613</v>
      </c>
      <c r="C367" s="1" t="n">
        <v>45734</v>
      </c>
      <c r="D367" t="inlineStr">
        <is>
          <t>JÄMTLANDS LÄN</t>
        </is>
      </c>
      <c r="E367" t="inlineStr">
        <is>
          <t>KROKOM</t>
        </is>
      </c>
      <c r="F367" t="inlineStr">
        <is>
          <t>Övriga Aktiebolag</t>
        </is>
      </c>
      <c r="G367" t="n">
        <v>26.1</v>
      </c>
      <c r="H367" t="n">
        <v>0</v>
      </c>
      <c r="I367" t="n">
        <v>0</v>
      </c>
      <c r="J367" t="n">
        <v>0</v>
      </c>
      <c r="K367" t="n">
        <v>0</v>
      </c>
      <c r="L367" t="n">
        <v>0</v>
      </c>
      <c r="M367" t="n">
        <v>0</v>
      </c>
      <c r="N367" t="n">
        <v>0</v>
      </c>
      <c r="O367" t="n">
        <v>0</v>
      </c>
      <c r="P367" t="n">
        <v>0</v>
      </c>
      <c r="Q367" t="n">
        <v>0</v>
      </c>
      <c r="R367" s="2" t="inlineStr"/>
    </row>
    <row r="368" ht="15" customHeight="1">
      <c r="A368" t="inlineStr">
        <is>
          <t>A 27031-2019</t>
        </is>
      </c>
      <c r="B368" s="1" t="n">
        <v>43614</v>
      </c>
      <c r="C368" s="1" t="n">
        <v>45734</v>
      </c>
      <c r="D368" t="inlineStr">
        <is>
          <t>JÄMTLANDS LÄN</t>
        </is>
      </c>
      <c r="E368" t="inlineStr">
        <is>
          <t>KROKOM</t>
        </is>
      </c>
      <c r="G368" t="n">
        <v>3.4</v>
      </c>
      <c r="H368" t="n">
        <v>0</v>
      </c>
      <c r="I368" t="n">
        <v>0</v>
      </c>
      <c r="J368" t="n">
        <v>0</v>
      </c>
      <c r="K368" t="n">
        <v>0</v>
      </c>
      <c r="L368" t="n">
        <v>0</v>
      </c>
      <c r="M368" t="n">
        <v>0</v>
      </c>
      <c r="N368" t="n">
        <v>0</v>
      </c>
      <c r="O368" t="n">
        <v>0</v>
      </c>
      <c r="P368" t="n">
        <v>0</v>
      </c>
      <c r="Q368" t="n">
        <v>0</v>
      </c>
      <c r="R368" s="2" t="inlineStr"/>
    </row>
    <row r="369" ht="15" customHeight="1">
      <c r="A369" t="inlineStr">
        <is>
          <t>A 27348-2019</t>
        </is>
      </c>
      <c r="B369" s="1" t="n">
        <v>43616</v>
      </c>
      <c r="C369" s="1" t="n">
        <v>45734</v>
      </c>
      <c r="D369" t="inlineStr">
        <is>
          <t>JÄMTLANDS LÄN</t>
        </is>
      </c>
      <c r="E369" t="inlineStr">
        <is>
          <t>KROKOM</t>
        </is>
      </c>
      <c r="G369" t="n">
        <v>3.3</v>
      </c>
      <c r="H369" t="n">
        <v>0</v>
      </c>
      <c r="I369" t="n">
        <v>0</v>
      </c>
      <c r="J369" t="n">
        <v>0</v>
      </c>
      <c r="K369" t="n">
        <v>0</v>
      </c>
      <c r="L369" t="n">
        <v>0</v>
      </c>
      <c r="M369" t="n">
        <v>0</v>
      </c>
      <c r="N369" t="n">
        <v>0</v>
      </c>
      <c r="O369" t="n">
        <v>0</v>
      </c>
      <c r="P369" t="n">
        <v>0</v>
      </c>
      <c r="Q369" t="n">
        <v>0</v>
      </c>
      <c r="R369" s="2" t="inlineStr"/>
    </row>
    <row r="370" ht="15" customHeight="1">
      <c r="A370" t="inlineStr">
        <is>
          <t>A 27765-2019</t>
        </is>
      </c>
      <c r="B370" s="1" t="n">
        <v>43619</v>
      </c>
      <c r="C370" s="1" t="n">
        <v>45734</v>
      </c>
      <c r="D370" t="inlineStr">
        <is>
          <t>JÄMTLANDS LÄN</t>
        </is>
      </c>
      <c r="E370" t="inlineStr">
        <is>
          <t>KROKOM</t>
        </is>
      </c>
      <c r="G370" t="n">
        <v>20.1</v>
      </c>
      <c r="H370" t="n">
        <v>0</v>
      </c>
      <c r="I370" t="n">
        <v>0</v>
      </c>
      <c r="J370" t="n">
        <v>0</v>
      </c>
      <c r="K370" t="n">
        <v>0</v>
      </c>
      <c r="L370" t="n">
        <v>0</v>
      </c>
      <c r="M370" t="n">
        <v>0</v>
      </c>
      <c r="N370" t="n">
        <v>0</v>
      </c>
      <c r="O370" t="n">
        <v>0</v>
      </c>
      <c r="P370" t="n">
        <v>0</v>
      </c>
      <c r="Q370" t="n">
        <v>0</v>
      </c>
      <c r="R370" s="2" t="inlineStr"/>
    </row>
    <row r="371" ht="15" customHeight="1">
      <c r="A371" t="inlineStr">
        <is>
          <t>A 27766-2019</t>
        </is>
      </c>
      <c r="B371" s="1" t="n">
        <v>43619</v>
      </c>
      <c r="C371" s="1" t="n">
        <v>45734</v>
      </c>
      <c r="D371" t="inlineStr">
        <is>
          <t>JÄMTLANDS LÄN</t>
        </is>
      </c>
      <c r="E371" t="inlineStr">
        <is>
          <t>KROKOM</t>
        </is>
      </c>
      <c r="G371" t="n">
        <v>17.7</v>
      </c>
      <c r="H371" t="n">
        <v>0</v>
      </c>
      <c r="I371" t="n">
        <v>0</v>
      </c>
      <c r="J371" t="n">
        <v>0</v>
      </c>
      <c r="K371" t="n">
        <v>0</v>
      </c>
      <c r="L371" t="n">
        <v>0</v>
      </c>
      <c r="M371" t="n">
        <v>0</v>
      </c>
      <c r="N371" t="n">
        <v>0</v>
      </c>
      <c r="O371" t="n">
        <v>0</v>
      </c>
      <c r="P371" t="n">
        <v>0</v>
      </c>
      <c r="Q371" t="n">
        <v>0</v>
      </c>
      <c r="R371" s="2" t="inlineStr"/>
    </row>
    <row r="372" ht="15" customHeight="1">
      <c r="A372" t="inlineStr">
        <is>
          <t>A 27764-2019</t>
        </is>
      </c>
      <c r="B372" s="1" t="n">
        <v>43619</v>
      </c>
      <c r="C372" s="1" t="n">
        <v>45734</v>
      </c>
      <c r="D372" t="inlineStr">
        <is>
          <t>JÄMTLANDS LÄN</t>
        </is>
      </c>
      <c r="E372" t="inlineStr">
        <is>
          <t>KROKOM</t>
        </is>
      </c>
      <c r="G372" t="n">
        <v>41.8</v>
      </c>
      <c r="H372" t="n">
        <v>0</v>
      </c>
      <c r="I372" t="n">
        <v>0</v>
      </c>
      <c r="J372" t="n">
        <v>0</v>
      </c>
      <c r="K372" t="n">
        <v>0</v>
      </c>
      <c r="L372" t="n">
        <v>0</v>
      </c>
      <c r="M372" t="n">
        <v>0</v>
      </c>
      <c r="N372" t="n">
        <v>0</v>
      </c>
      <c r="O372" t="n">
        <v>0</v>
      </c>
      <c r="P372" t="n">
        <v>0</v>
      </c>
      <c r="Q372" t="n">
        <v>0</v>
      </c>
      <c r="R372" s="2" t="inlineStr"/>
    </row>
    <row r="373" ht="15" customHeight="1">
      <c r="A373" t="inlineStr">
        <is>
          <t>A 27763-2019</t>
        </is>
      </c>
      <c r="B373" s="1" t="n">
        <v>43619</v>
      </c>
      <c r="C373" s="1" t="n">
        <v>45734</v>
      </c>
      <c r="D373" t="inlineStr">
        <is>
          <t>JÄMTLANDS LÄN</t>
        </is>
      </c>
      <c r="E373" t="inlineStr">
        <is>
          <t>KROKOM</t>
        </is>
      </c>
      <c r="G373" t="n">
        <v>15.1</v>
      </c>
      <c r="H373" t="n">
        <v>0</v>
      </c>
      <c r="I373" t="n">
        <v>0</v>
      </c>
      <c r="J373" t="n">
        <v>0</v>
      </c>
      <c r="K373" t="n">
        <v>0</v>
      </c>
      <c r="L373" t="n">
        <v>0</v>
      </c>
      <c r="M373" t="n">
        <v>0</v>
      </c>
      <c r="N373" t="n">
        <v>0</v>
      </c>
      <c r="O373" t="n">
        <v>0</v>
      </c>
      <c r="P373" t="n">
        <v>0</v>
      </c>
      <c r="Q373" t="n">
        <v>0</v>
      </c>
      <c r="R373" s="2" t="inlineStr"/>
    </row>
    <row r="374" ht="15" customHeight="1">
      <c r="A374" t="inlineStr">
        <is>
          <t>A 29270-2019</t>
        </is>
      </c>
      <c r="B374" s="1" t="n">
        <v>43623</v>
      </c>
      <c r="C374" s="1" t="n">
        <v>45734</v>
      </c>
      <c r="D374" t="inlineStr">
        <is>
          <t>JÄMTLANDS LÄN</t>
        </is>
      </c>
      <c r="E374" t="inlineStr">
        <is>
          <t>KROKOM</t>
        </is>
      </c>
      <c r="G374" t="n">
        <v>0.3</v>
      </c>
      <c r="H374" t="n">
        <v>0</v>
      </c>
      <c r="I374" t="n">
        <v>0</v>
      </c>
      <c r="J374" t="n">
        <v>0</v>
      </c>
      <c r="K374" t="n">
        <v>0</v>
      </c>
      <c r="L374" t="n">
        <v>0</v>
      </c>
      <c r="M374" t="n">
        <v>0</v>
      </c>
      <c r="N374" t="n">
        <v>0</v>
      </c>
      <c r="O374" t="n">
        <v>0</v>
      </c>
      <c r="P374" t="n">
        <v>0</v>
      </c>
      <c r="Q374" t="n">
        <v>0</v>
      </c>
      <c r="R374" s="2" t="inlineStr"/>
    </row>
    <row r="375" ht="15" customHeight="1">
      <c r="A375" t="inlineStr">
        <is>
          <t>A 29222-2019</t>
        </is>
      </c>
      <c r="B375" s="1" t="n">
        <v>43623</v>
      </c>
      <c r="C375" s="1" t="n">
        <v>45734</v>
      </c>
      <c r="D375" t="inlineStr">
        <is>
          <t>JÄMTLANDS LÄN</t>
        </is>
      </c>
      <c r="E375" t="inlineStr">
        <is>
          <t>KROKOM</t>
        </is>
      </c>
      <c r="G375" t="n">
        <v>5.9</v>
      </c>
      <c r="H375" t="n">
        <v>0</v>
      </c>
      <c r="I375" t="n">
        <v>0</v>
      </c>
      <c r="J375" t="n">
        <v>0</v>
      </c>
      <c r="K375" t="n">
        <v>0</v>
      </c>
      <c r="L375" t="n">
        <v>0</v>
      </c>
      <c r="M375" t="n">
        <v>0</v>
      </c>
      <c r="N375" t="n">
        <v>0</v>
      </c>
      <c r="O375" t="n">
        <v>0</v>
      </c>
      <c r="P375" t="n">
        <v>0</v>
      </c>
      <c r="Q375" t="n">
        <v>0</v>
      </c>
      <c r="R375" s="2" t="inlineStr"/>
    </row>
    <row r="376" ht="15" customHeight="1">
      <c r="A376" t="inlineStr">
        <is>
          <t>A 29211-2019</t>
        </is>
      </c>
      <c r="B376" s="1" t="n">
        <v>43623</v>
      </c>
      <c r="C376" s="1" t="n">
        <v>45734</v>
      </c>
      <c r="D376" t="inlineStr">
        <is>
          <t>JÄMTLANDS LÄN</t>
        </is>
      </c>
      <c r="E376" t="inlineStr">
        <is>
          <t>KROKOM</t>
        </is>
      </c>
      <c r="G376" t="n">
        <v>5</v>
      </c>
      <c r="H376" t="n">
        <v>0</v>
      </c>
      <c r="I376" t="n">
        <v>0</v>
      </c>
      <c r="J376" t="n">
        <v>0</v>
      </c>
      <c r="K376" t="n">
        <v>0</v>
      </c>
      <c r="L376" t="n">
        <v>0</v>
      </c>
      <c r="M376" t="n">
        <v>0</v>
      </c>
      <c r="N376" t="n">
        <v>0</v>
      </c>
      <c r="O376" t="n">
        <v>0</v>
      </c>
      <c r="P376" t="n">
        <v>0</v>
      </c>
      <c r="Q376" t="n">
        <v>0</v>
      </c>
      <c r="R376" s="2" t="inlineStr"/>
    </row>
    <row r="377" ht="15" customHeight="1">
      <c r="A377" t="inlineStr">
        <is>
          <t>A 28521-2019</t>
        </is>
      </c>
      <c r="B377" s="1" t="n">
        <v>43626</v>
      </c>
      <c r="C377" s="1" t="n">
        <v>45734</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29153-2019</t>
        </is>
      </c>
      <c r="B378" s="1" t="n">
        <v>43628</v>
      </c>
      <c r="C378" s="1" t="n">
        <v>45734</v>
      </c>
      <c r="D378" t="inlineStr">
        <is>
          <t>JÄMTLANDS LÄN</t>
        </is>
      </c>
      <c r="E378" t="inlineStr">
        <is>
          <t>KROKOM</t>
        </is>
      </c>
      <c r="F378" t="inlineStr">
        <is>
          <t>SCA</t>
        </is>
      </c>
      <c r="G378" t="n">
        <v>4.7</v>
      </c>
      <c r="H378" t="n">
        <v>0</v>
      </c>
      <c r="I378" t="n">
        <v>0</v>
      </c>
      <c r="J378" t="n">
        <v>0</v>
      </c>
      <c r="K378" t="n">
        <v>0</v>
      </c>
      <c r="L378" t="n">
        <v>0</v>
      </c>
      <c r="M378" t="n">
        <v>0</v>
      </c>
      <c r="N378" t="n">
        <v>0</v>
      </c>
      <c r="O378" t="n">
        <v>0</v>
      </c>
      <c r="P378" t="n">
        <v>0</v>
      </c>
      <c r="Q378" t="n">
        <v>0</v>
      </c>
      <c r="R378" s="2" t="inlineStr"/>
    </row>
    <row r="379" ht="15" customHeight="1">
      <c r="A379" t="inlineStr">
        <is>
          <t>A 29705-2019</t>
        </is>
      </c>
      <c r="B379" s="1" t="n">
        <v>43628</v>
      </c>
      <c r="C379" s="1" t="n">
        <v>45734</v>
      </c>
      <c r="D379" t="inlineStr">
        <is>
          <t>JÄMTLANDS LÄN</t>
        </is>
      </c>
      <c r="E379" t="inlineStr">
        <is>
          <t>KROKOM</t>
        </is>
      </c>
      <c r="G379" t="n">
        <v>7.1</v>
      </c>
      <c r="H379" t="n">
        <v>0</v>
      </c>
      <c r="I379" t="n">
        <v>0</v>
      </c>
      <c r="J379" t="n">
        <v>0</v>
      </c>
      <c r="K379" t="n">
        <v>0</v>
      </c>
      <c r="L379" t="n">
        <v>0</v>
      </c>
      <c r="M379" t="n">
        <v>0</v>
      </c>
      <c r="N379" t="n">
        <v>0</v>
      </c>
      <c r="O379" t="n">
        <v>0</v>
      </c>
      <c r="P379" t="n">
        <v>0</v>
      </c>
      <c r="Q379" t="n">
        <v>0</v>
      </c>
      <c r="R379" s="2" t="inlineStr"/>
    </row>
    <row r="380" ht="15" customHeight="1">
      <c r="A380" t="inlineStr">
        <is>
          <t>A 29925-2019</t>
        </is>
      </c>
      <c r="B380" s="1" t="n">
        <v>43633</v>
      </c>
      <c r="C380" s="1" t="n">
        <v>45734</v>
      </c>
      <c r="D380" t="inlineStr">
        <is>
          <t>JÄMTLANDS LÄN</t>
        </is>
      </c>
      <c r="E380" t="inlineStr">
        <is>
          <t>KROKOM</t>
        </is>
      </c>
      <c r="G380" t="n">
        <v>1.8</v>
      </c>
      <c r="H380" t="n">
        <v>0</v>
      </c>
      <c r="I380" t="n">
        <v>0</v>
      </c>
      <c r="J380" t="n">
        <v>0</v>
      </c>
      <c r="K380" t="n">
        <v>0</v>
      </c>
      <c r="L380" t="n">
        <v>0</v>
      </c>
      <c r="M380" t="n">
        <v>0</v>
      </c>
      <c r="N380" t="n">
        <v>0</v>
      </c>
      <c r="O380" t="n">
        <v>0</v>
      </c>
      <c r="P380" t="n">
        <v>0</v>
      </c>
      <c r="Q380" t="n">
        <v>0</v>
      </c>
      <c r="R380" s="2" t="inlineStr"/>
    </row>
    <row r="381" ht="15" customHeight="1">
      <c r="A381" t="inlineStr">
        <is>
          <t>A 29823-2019</t>
        </is>
      </c>
      <c r="B381" s="1" t="n">
        <v>43633</v>
      </c>
      <c r="C381" s="1" t="n">
        <v>45734</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30032-2019</t>
        </is>
      </c>
      <c r="B382" s="1" t="n">
        <v>43633</v>
      </c>
      <c r="C382" s="1" t="n">
        <v>45734</v>
      </c>
      <c r="D382" t="inlineStr">
        <is>
          <t>JÄMTLANDS LÄN</t>
        </is>
      </c>
      <c r="E382" t="inlineStr">
        <is>
          <t>KROKOM</t>
        </is>
      </c>
      <c r="G382" t="n">
        <v>4.1</v>
      </c>
      <c r="H382" t="n">
        <v>0</v>
      </c>
      <c r="I382" t="n">
        <v>0</v>
      </c>
      <c r="J382" t="n">
        <v>0</v>
      </c>
      <c r="K382" t="n">
        <v>0</v>
      </c>
      <c r="L382" t="n">
        <v>0</v>
      </c>
      <c r="M382" t="n">
        <v>0</v>
      </c>
      <c r="N382" t="n">
        <v>0</v>
      </c>
      <c r="O382" t="n">
        <v>0</v>
      </c>
      <c r="P382" t="n">
        <v>0</v>
      </c>
      <c r="Q382" t="n">
        <v>0</v>
      </c>
      <c r="R382" s="2" t="inlineStr"/>
    </row>
    <row r="383" ht="15" customHeight="1">
      <c r="A383" t="inlineStr">
        <is>
          <t>A 30138-2019</t>
        </is>
      </c>
      <c r="B383" s="1" t="n">
        <v>43634</v>
      </c>
      <c r="C383" s="1" t="n">
        <v>45734</v>
      </c>
      <c r="D383" t="inlineStr">
        <is>
          <t>JÄMTLANDS LÄN</t>
        </is>
      </c>
      <c r="E383" t="inlineStr">
        <is>
          <t>KROKOM</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30691-2019</t>
        </is>
      </c>
      <c r="B384" s="1" t="n">
        <v>43636</v>
      </c>
      <c r="C384" s="1" t="n">
        <v>45734</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30758-2019</t>
        </is>
      </c>
      <c r="B385" s="1" t="n">
        <v>43636</v>
      </c>
      <c r="C385" s="1" t="n">
        <v>45734</v>
      </c>
      <c r="D385" t="inlineStr">
        <is>
          <t>JÄMTLANDS LÄN</t>
        </is>
      </c>
      <c r="E385" t="inlineStr">
        <is>
          <t>KROKOM</t>
        </is>
      </c>
      <c r="G385" t="n">
        <v>6.4</v>
      </c>
      <c r="H385" t="n">
        <v>0</v>
      </c>
      <c r="I385" t="n">
        <v>0</v>
      </c>
      <c r="J385" t="n">
        <v>0</v>
      </c>
      <c r="K385" t="n">
        <v>0</v>
      </c>
      <c r="L385" t="n">
        <v>0</v>
      </c>
      <c r="M385" t="n">
        <v>0</v>
      </c>
      <c r="N385" t="n">
        <v>0</v>
      </c>
      <c r="O385" t="n">
        <v>0</v>
      </c>
      <c r="P385" t="n">
        <v>0</v>
      </c>
      <c r="Q385" t="n">
        <v>0</v>
      </c>
      <c r="R385" s="2" t="inlineStr"/>
    </row>
    <row r="386" ht="15" customHeight="1">
      <c r="A386" t="inlineStr">
        <is>
          <t>A 31070-2019</t>
        </is>
      </c>
      <c r="B386" s="1" t="n">
        <v>43640</v>
      </c>
      <c r="C386" s="1" t="n">
        <v>45734</v>
      </c>
      <c r="D386" t="inlineStr">
        <is>
          <t>JÄMTLANDS LÄN</t>
        </is>
      </c>
      <c r="E386" t="inlineStr">
        <is>
          <t>KROKOM</t>
        </is>
      </c>
      <c r="G386" t="n">
        <v>5.1</v>
      </c>
      <c r="H386" t="n">
        <v>0</v>
      </c>
      <c r="I386" t="n">
        <v>0</v>
      </c>
      <c r="J386" t="n">
        <v>0</v>
      </c>
      <c r="K386" t="n">
        <v>0</v>
      </c>
      <c r="L386" t="n">
        <v>0</v>
      </c>
      <c r="M386" t="n">
        <v>0</v>
      </c>
      <c r="N386" t="n">
        <v>0</v>
      </c>
      <c r="O386" t="n">
        <v>0</v>
      </c>
      <c r="P386" t="n">
        <v>0</v>
      </c>
      <c r="Q386" t="n">
        <v>0</v>
      </c>
      <c r="R386" s="2" t="inlineStr"/>
    </row>
    <row r="387" ht="15" customHeight="1">
      <c r="A387" t="inlineStr">
        <is>
          <t>A 31032-2019</t>
        </is>
      </c>
      <c r="B387" s="1" t="n">
        <v>43640</v>
      </c>
      <c r="C387" s="1" t="n">
        <v>45734</v>
      </c>
      <c r="D387" t="inlineStr">
        <is>
          <t>JÄMTLANDS LÄN</t>
        </is>
      </c>
      <c r="E387" t="inlineStr">
        <is>
          <t>KROKOM</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31071-2019</t>
        </is>
      </c>
      <c r="B388" s="1" t="n">
        <v>43640</v>
      </c>
      <c r="C388" s="1" t="n">
        <v>45734</v>
      </c>
      <c r="D388" t="inlineStr">
        <is>
          <t>JÄMTLANDS LÄN</t>
        </is>
      </c>
      <c r="E388" t="inlineStr">
        <is>
          <t>KROKOM</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31574-2019</t>
        </is>
      </c>
      <c r="B389" s="1" t="n">
        <v>43641</v>
      </c>
      <c r="C389" s="1" t="n">
        <v>45734</v>
      </c>
      <c r="D389" t="inlineStr">
        <is>
          <t>JÄMTLANDS LÄN</t>
        </is>
      </c>
      <c r="E389" t="inlineStr">
        <is>
          <t>KROKOM</t>
        </is>
      </c>
      <c r="G389" t="n">
        <v>5.7</v>
      </c>
      <c r="H389" t="n">
        <v>0</v>
      </c>
      <c r="I389" t="n">
        <v>0</v>
      </c>
      <c r="J389" t="n">
        <v>0</v>
      </c>
      <c r="K389" t="n">
        <v>0</v>
      </c>
      <c r="L389" t="n">
        <v>0</v>
      </c>
      <c r="M389" t="n">
        <v>0</v>
      </c>
      <c r="N389" t="n">
        <v>0</v>
      </c>
      <c r="O389" t="n">
        <v>0</v>
      </c>
      <c r="P389" t="n">
        <v>0</v>
      </c>
      <c r="Q389" t="n">
        <v>0</v>
      </c>
      <c r="R389" s="2" t="inlineStr"/>
    </row>
    <row r="390" ht="15" customHeight="1">
      <c r="A390" t="inlineStr">
        <is>
          <t>A 31575-2019</t>
        </is>
      </c>
      <c r="B390" s="1" t="n">
        <v>43641</v>
      </c>
      <c r="C390" s="1" t="n">
        <v>45734</v>
      </c>
      <c r="D390" t="inlineStr">
        <is>
          <t>JÄMTLANDS LÄN</t>
        </is>
      </c>
      <c r="E390" t="inlineStr">
        <is>
          <t>KROKOM</t>
        </is>
      </c>
      <c r="G390" t="n">
        <v>0.7</v>
      </c>
      <c r="H390" t="n">
        <v>0</v>
      </c>
      <c r="I390" t="n">
        <v>0</v>
      </c>
      <c r="J390" t="n">
        <v>0</v>
      </c>
      <c r="K390" t="n">
        <v>0</v>
      </c>
      <c r="L390" t="n">
        <v>0</v>
      </c>
      <c r="M390" t="n">
        <v>0</v>
      </c>
      <c r="N390" t="n">
        <v>0</v>
      </c>
      <c r="O390" t="n">
        <v>0</v>
      </c>
      <c r="P390" t="n">
        <v>0</v>
      </c>
      <c r="Q390" t="n">
        <v>0</v>
      </c>
      <c r="R390" s="2" t="inlineStr"/>
    </row>
    <row r="391" ht="15" customHeight="1">
      <c r="A391" t="inlineStr">
        <is>
          <t>A 31911-2019</t>
        </is>
      </c>
      <c r="B391" s="1" t="n">
        <v>43642</v>
      </c>
      <c r="C391" s="1" t="n">
        <v>45734</v>
      </c>
      <c r="D391" t="inlineStr">
        <is>
          <t>JÄMTLANDS LÄN</t>
        </is>
      </c>
      <c r="E391" t="inlineStr">
        <is>
          <t>KROKOM</t>
        </is>
      </c>
      <c r="G391" t="n">
        <v>1.4</v>
      </c>
      <c r="H391" t="n">
        <v>0</v>
      </c>
      <c r="I391" t="n">
        <v>0</v>
      </c>
      <c r="J391" t="n">
        <v>0</v>
      </c>
      <c r="K391" t="n">
        <v>0</v>
      </c>
      <c r="L391" t="n">
        <v>0</v>
      </c>
      <c r="M391" t="n">
        <v>0</v>
      </c>
      <c r="N391" t="n">
        <v>0</v>
      </c>
      <c r="O391" t="n">
        <v>0</v>
      </c>
      <c r="P391" t="n">
        <v>0</v>
      </c>
      <c r="Q391" t="n">
        <v>0</v>
      </c>
      <c r="R391" s="2" t="inlineStr"/>
    </row>
    <row r="392" ht="15" customHeight="1">
      <c r="A392" t="inlineStr">
        <is>
          <t>A 32053-2019</t>
        </is>
      </c>
      <c r="B392" s="1" t="n">
        <v>43642</v>
      </c>
      <c r="C392" s="1" t="n">
        <v>45734</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33001-2019</t>
        </is>
      </c>
      <c r="B393" s="1" t="n">
        <v>43649</v>
      </c>
      <c r="C393" s="1" t="n">
        <v>45734</v>
      </c>
      <c r="D393" t="inlineStr">
        <is>
          <t>JÄMTLANDS LÄN</t>
        </is>
      </c>
      <c r="E393" t="inlineStr">
        <is>
          <t>KROKOM</t>
        </is>
      </c>
      <c r="F393" t="inlineStr">
        <is>
          <t>Övriga Aktiebolag</t>
        </is>
      </c>
      <c r="G393" t="n">
        <v>7.8</v>
      </c>
      <c r="H393" t="n">
        <v>0</v>
      </c>
      <c r="I393" t="n">
        <v>0</v>
      </c>
      <c r="J393" t="n">
        <v>0</v>
      </c>
      <c r="K393" t="n">
        <v>0</v>
      </c>
      <c r="L393" t="n">
        <v>0</v>
      </c>
      <c r="M393" t="n">
        <v>0</v>
      </c>
      <c r="N393" t="n">
        <v>0</v>
      </c>
      <c r="O393" t="n">
        <v>0</v>
      </c>
      <c r="P393" t="n">
        <v>0</v>
      </c>
      <c r="Q393" t="n">
        <v>0</v>
      </c>
      <c r="R393" s="2" t="inlineStr"/>
    </row>
    <row r="394" ht="15" customHeight="1">
      <c r="A394" t="inlineStr">
        <is>
          <t>A 33015-2019</t>
        </is>
      </c>
      <c r="B394" s="1" t="n">
        <v>43649</v>
      </c>
      <c r="C394" s="1" t="n">
        <v>45734</v>
      </c>
      <c r="D394" t="inlineStr">
        <is>
          <t>JÄMTLANDS LÄN</t>
        </is>
      </c>
      <c r="E394" t="inlineStr">
        <is>
          <t>KROKOM</t>
        </is>
      </c>
      <c r="F394" t="inlineStr">
        <is>
          <t>Övriga Aktiebolag</t>
        </is>
      </c>
      <c r="G394" t="n">
        <v>12.7</v>
      </c>
      <c r="H394" t="n">
        <v>0</v>
      </c>
      <c r="I394" t="n">
        <v>0</v>
      </c>
      <c r="J394" t="n">
        <v>0</v>
      </c>
      <c r="K394" t="n">
        <v>0</v>
      </c>
      <c r="L394" t="n">
        <v>0</v>
      </c>
      <c r="M394" t="n">
        <v>0</v>
      </c>
      <c r="N394" t="n">
        <v>0</v>
      </c>
      <c r="O394" t="n">
        <v>0</v>
      </c>
      <c r="P394" t="n">
        <v>0</v>
      </c>
      <c r="Q394" t="n">
        <v>0</v>
      </c>
      <c r="R394" s="2" t="inlineStr"/>
    </row>
    <row r="395" ht="15" customHeight="1">
      <c r="A395" t="inlineStr">
        <is>
          <t>A 33360-2019</t>
        </is>
      </c>
      <c r="B395" s="1" t="n">
        <v>43650</v>
      </c>
      <c r="C395" s="1" t="n">
        <v>45734</v>
      </c>
      <c r="D395" t="inlineStr">
        <is>
          <t>JÄMTLANDS LÄN</t>
        </is>
      </c>
      <c r="E395" t="inlineStr">
        <is>
          <t>KROKOM</t>
        </is>
      </c>
      <c r="G395" t="n">
        <v>15.8</v>
      </c>
      <c r="H395" t="n">
        <v>0</v>
      </c>
      <c r="I395" t="n">
        <v>0</v>
      </c>
      <c r="J395" t="n">
        <v>0</v>
      </c>
      <c r="K395" t="n">
        <v>0</v>
      </c>
      <c r="L395" t="n">
        <v>0</v>
      </c>
      <c r="M395" t="n">
        <v>0</v>
      </c>
      <c r="N395" t="n">
        <v>0</v>
      </c>
      <c r="O395" t="n">
        <v>0</v>
      </c>
      <c r="P395" t="n">
        <v>0</v>
      </c>
      <c r="Q395" t="n">
        <v>0</v>
      </c>
      <c r="R395" s="2" t="inlineStr"/>
    </row>
    <row r="396" ht="15" customHeight="1">
      <c r="A396" t="inlineStr">
        <is>
          <t>A 35288-2019</t>
        </is>
      </c>
      <c r="B396" s="1" t="n">
        <v>43651</v>
      </c>
      <c r="C396" s="1" t="n">
        <v>45734</v>
      </c>
      <c r="D396" t="inlineStr">
        <is>
          <t>JÄMTLANDS LÄN</t>
        </is>
      </c>
      <c r="E396" t="inlineStr">
        <is>
          <t>KROKOM</t>
        </is>
      </c>
      <c r="G396" t="n">
        <v>6.9</v>
      </c>
      <c r="H396" t="n">
        <v>0</v>
      </c>
      <c r="I396" t="n">
        <v>0</v>
      </c>
      <c r="J396" t="n">
        <v>0</v>
      </c>
      <c r="K396" t="n">
        <v>0</v>
      </c>
      <c r="L396" t="n">
        <v>0</v>
      </c>
      <c r="M396" t="n">
        <v>0</v>
      </c>
      <c r="N396" t="n">
        <v>0</v>
      </c>
      <c r="O396" t="n">
        <v>0</v>
      </c>
      <c r="P396" t="n">
        <v>0</v>
      </c>
      <c r="Q396" t="n">
        <v>0</v>
      </c>
      <c r="R396" s="2" t="inlineStr"/>
    </row>
    <row r="397" ht="15" customHeight="1">
      <c r="A397" t="inlineStr">
        <is>
          <t>A 35337-2019</t>
        </is>
      </c>
      <c r="B397" s="1" t="n">
        <v>43651</v>
      </c>
      <c r="C397" s="1" t="n">
        <v>45734</v>
      </c>
      <c r="D397" t="inlineStr">
        <is>
          <t>JÄMTLANDS LÄN</t>
        </is>
      </c>
      <c r="E397" t="inlineStr">
        <is>
          <t>KROKOM</t>
        </is>
      </c>
      <c r="G397" t="n">
        <v>3.7</v>
      </c>
      <c r="H397" t="n">
        <v>0</v>
      </c>
      <c r="I397" t="n">
        <v>0</v>
      </c>
      <c r="J397" t="n">
        <v>0</v>
      </c>
      <c r="K397" t="n">
        <v>0</v>
      </c>
      <c r="L397" t="n">
        <v>0</v>
      </c>
      <c r="M397" t="n">
        <v>0</v>
      </c>
      <c r="N397" t="n">
        <v>0</v>
      </c>
      <c r="O397" t="n">
        <v>0</v>
      </c>
      <c r="P397" t="n">
        <v>0</v>
      </c>
      <c r="Q397" t="n">
        <v>0</v>
      </c>
      <c r="R397" s="2" t="inlineStr"/>
    </row>
    <row r="398" ht="15" customHeight="1">
      <c r="A398" t="inlineStr">
        <is>
          <t>A 35264-2019</t>
        </is>
      </c>
      <c r="B398" s="1" t="n">
        <v>43651</v>
      </c>
      <c r="C398" s="1" t="n">
        <v>45734</v>
      </c>
      <c r="D398" t="inlineStr">
        <is>
          <t>JÄMTLANDS LÄN</t>
        </is>
      </c>
      <c r="E398" t="inlineStr">
        <is>
          <t>KROKOM</t>
        </is>
      </c>
      <c r="G398" t="n">
        <v>10</v>
      </c>
      <c r="H398" t="n">
        <v>0</v>
      </c>
      <c r="I398" t="n">
        <v>0</v>
      </c>
      <c r="J398" t="n">
        <v>0</v>
      </c>
      <c r="K398" t="n">
        <v>0</v>
      </c>
      <c r="L398" t="n">
        <v>0</v>
      </c>
      <c r="M398" t="n">
        <v>0</v>
      </c>
      <c r="N398" t="n">
        <v>0</v>
      </c>
      <c r="O398" t="n">
        <v>0</v>
      </c>
      <c r="P398" t="n">
        <v>0</v>
      </c>
      <c r="Q398" t="n">
        <v>0</v>
      </c>
      <c r="R398" s="2" t="inlineStr"/>
    </row>
    <row r="399" ht="15" customHeight="1">
      <c r="A399" t="inlineStr">
        <is>
          <t>A 35339-2019</t>
        </is>
      </c>
      <c r="B399" s="1" t="n">
        <v>43651</v>
      </c>
      <c r="C399" s="1" t="n">
        <v>45734</v>
      </c>
      <c r="D399" t="inlineStr">
        <is>
          <t>JÄMTLANDS LÄN</t>
        </is>
      </c>
      <c r="E399" t="inlineStr">
        <is>
          <t>KROKOM</t>
        </is>
      </c>
      <c r="G399" t="n">
        <v>3.1</v>
      </c>
      <c r="H399" t="n">
        <v>0</v>
      </c>
      <c r="I399" t="n">
        <v>0</v>
      </c>
      <c r="J399" t="n">
        <v>0</v>
      </c>
      <c r="K399" t="n">
        <v>0</v>
      </c>
      <c r="L399" t="n">
        <v>0</v>
      </c>
      <c r="M399" t="n">
        <v>0</v>
      </c>
      <c r="N399" t="n">
        <v>0</v>
      </c>
      <c r="O399" t="n">
        <v>0</v>
      </c>
      <c r="P399" t="n">
        <v>0</v>
      </c>
      <c r="Q399" t="n">
        <v>0</v>
      </c>
      <c r="R399" s="2" t="inlineStr"/>
    </row>
    <row r="400" ht="15" customHeight="1">
      <c r="A400" t="inlineStr">
        <is>
          <t>A 35266-2019</t>
        </is>
      </c>
      <c r="B400" s="1" t="n">
        <v>43651</v>
      </c>
      <c r="C400" s="1" t="n">
        <v>45734</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34065-2019</t>
        </is>
      </c>
      <c r="B401" s="1" t="n">
        <v>43654</v>
      </c>
      <c r="C401" s="1" t="n">
        <v>45734</v>
      </c>
      <c r="D401" t="inlineStr">
        <is>
          <t>JÄMTLANDS LÄN</t>
        </is>
      </c>
      <c r="E401" t="inlineStr">
        <is>
          <t>KROKOM</t>
        </is>
      </c>
      <c r="G401" t="n">
        <v>12.3</v>
      </c>
      <c r="H401" t="n">
        <v>0</v>
      </c>
      <c r="I401" t="n">
        <v>0</v>
      </c>
      <c r="J401" t="n">
        <v>0</v>
      </c>
      <c r="K401" t="n">
        <v>0</v>
      </c>
      <c r="L401" t="n">
        <v>0</v>
      </c>
      <c r="M401" t="n">
        <v>0</v>
      </c>
      <c r="N401" t="n">
        <v>0</v>
      </c>
      <c r="O401" t="n">
        <v>0</v>
      </c>
      <c r="P401" t="n">
        <v>0</v>
      </c>
      <c r="Q401" t="n">
        <v>0</v>
      </c>
      <c r="R401" s="2" t="inlineStr"/>
    </row>
    <row r="402" ht="15" customHeight="1">
      <c r="A402" t="inlineStr">
        <is>
          <t>A 34108-2019</t>
        </is>
      </c>
      <c r="B402" s="1" t="n">
        <v>43655</v>
      </c>
      <c r="C402" s="1" t="n">
        <v>45734</v>
      </c>
      <c r="D402" t="inlineStr">
        <is>
          <t>JÄMTLANDS LÄN</t>
        </is>
      </c>
      <c r="E402" t="inlineStr">
        <is>
          <t>KROKOM</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35668-2019</t>
        </is>
      </c>
      <c r="B403" s="1" t="n">
        <v>43655</v>
      </c>
      <c r="C403" s="1" t="n">
        <v>45734</v>
      </c>
      <c r="D403" t="inlineStr">
        <is>
          <t>JÄMTLANDS LÄN</t>
        </is>
      </c>
      <c r="E403" t="inlineStr">
        <is>
          <t>KROKOM</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35754-2019</t>
        </is>
      </c>
      <c r="B404" s="1" t="n">
        <v>43656</v>
      </c>
      <c r="C404" s="1" t="n">
        <v>45734</v>
      </c>
      <c r="D404" t="inlineStr">
        <is>
          <t>JÄMTLANDS LÄN</t>
        </is>
      </c>
      <c r="E404" t="inlineStr">
        <is>
          <t>KROKOM</t>
        </is>
      </c>
      <c r="G404" t="n">
        <v>4.5</v>
      </c>
      <c r="H404" t="n">
        <v>0</v>
      </c>
      <c r="I404" t="n">
        <v>0</v>
      </c>
      <c r="J404" t="n">
        <v>0</v>
      </c>
      <c r="K404" t="n">
        <v>0</v>
      </c>
      <c r="L404" t="n">
        <v>0</v>
      </c>
      <c r="M404" t="n">
        <v>0</v>
      </c>
      <c r="N404" t="n">
        <v>0</v>
      </c>
      <c r="O404" t="n">
        <v>0</v>
      </c>
      <c r="P404" t="n">
        <v>0</v>
      </c>
      <c r="Q404" t="n">
        <v>0</v>
      </c>
      <c r="R404" s="2" t="inlineStr"/>
    </row>
    <row r="405" ht="15" customHeight="1">
      <c r="A405" t="inlineStr">
        <is>
          <t>A 34739-2019</t>
        </is>
      </c>
      <c r="B405" s="1" t="n">
        <v>43657</v>
      </c>
      <c r="C405" s="1" t="n">
        <v>45734</v>
      </c>
      <c r="D405" t="inlineStr">
        <is>
          <t>JÄMTLANDS LÄN</t>
        </is>
      </c>
      <c r="E405" t="inlineStr">
        <is>
          <t>KROKOM</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36009-2019</t>
        </is>
      </c>
      <c r="B406" s="1" t="n">
        <v>43657</v>
      </c>
      <c r="C406" s="1" t="n">
        <v>45734</v>
      </c>
      <c r="D406" t="inlineStr">
        <is>
          <t>JÄMTLANDS LÄN</t>
        </is>
      </c>
      <c r="E406" t="inlineStr">
        <is>
          <t>KROKOM</t>
        </is>
      </c>
      <c r="G406" t="n">
        <v>1.7</v>
      </c>
      <c r="H406" t="n">
        <v>0</v>
      </c>
      <c r="I406" t="n">
        <v>0</v>
      </c>
      <c r="J406" t="n">
        <v>0</v>
      </c>
      <c r="K406" t="n">
        <v>0</v>
      </c>
      <c r="L406" t="n">
        <v>0</v>
      </c>
      <c r="M406" t="n">
        <v>0</v>
      </c>
      <c r="N406" t="n">
        <v>0</v>
      </c>
      <c r="O406" t="n">
        <v>0</v>
      </c>
      <c r="P406" t="n">
        <v>0</v>
      </c>
      <c r="Q406" t="n">
        <v>0</v>
      </c>
      <c r="R406" s="2" t="inlineStr"/>
    </row>
    <row r="407" ht="15" customHeight="1">
      <c r="A407" t="inlineStr">
        <is>
          <t>A 35131-2019</t>
        </is>
      </c>
      <c r="B407" s="1" t="n">
        <v>43661</v>
      </c>
      <c r="C407" s="1" t="n">
        <v>45734</v>
      </c>
      <c r="D407" t="inlineStr">
        <is>
          <t>JÄMTLANDS LÄN</t>
        </is>
      </c>
      <c r="E407" t="inlineStr">
        <is>
          <t>KROKOM</t>
        </is>
      </c>
      <c r="G407" t="n">
        <v>10.4</v>
      </c>
      <c r="H407" t="n">
        <v>0</v>
      </c>
      <c r="I407" t="n">
        <v>0</v>
      </c>
      <c r="J407" t="n">
        <v>0</v>
      </c>
      <c r="K407" t="n">
        <v>0</v>
      </c>
      <c r="L407" t="n">
        <v>0</v>
      </c>
      <c r="M407" t="n">
        <v>0</v>
      </c>
      <c r="N407" t="n">
        <v>0</v>
      </c>
      <c r="O407" t="n">
        <v>0</v>
      </c>
      <c r="P407" t="n">
        <v>0</v>
      </c>
      <c r="Q407" t="n">
        <v>0</v>
      </c>
      <c r="R407" s="2" t="inlineStr"/>
    </row>
    <row r="408" ht="15" customHeight="1">
      <c r="A408" t="inlineStr">
        <is>
          <t>A 35340-2019</t>
        </is>
      </c>
      <c r="B408" s="1" t="n">
        <v>43661</v>
      </c>
      <c r="C408" s="1" t="n">
        <v>45734</v>
      </c>
      <c r="D408" t="inlineStr">
        <is>
          <t>JÄMTLANDS LÄN</t>
        </is>
      </c>
      <c r="E408" t="inlineStr">
        <is>
          <t>KROKOM</t>
        </is>
      </c>
      <c r="G408" t="n">
        <v>4.4</v>
      </c>
      <c r="H408" t="n">
        <v>0</v>
      </c>
      <c r="I408" t="n">
        <v>0</v>
      </c>
      <c r="J408" t="n">
        <v>0</v>
      </c>
      <c r="K408" t="n">
        <v>0</v>
      </c>
      <c r="L408" t="n">
        <v>0</v>
      </c>
      <c r="M408" t="n">
        <v>0</v>
      </c>
      <c r="N408" t="n">
        <v>0</v>
      </c>
      <c r="O408" t="n">
        <v>0</v>
      </c>
      <c r="P408" t="n">
        <v>0</v>
      </c>
      <c r="Q408" t="n">
        <v>0</v>
      </c>
      <c r="R408" s="2" t="inlineStr"/>
    </row>
    <row r="409" ht="15" customHeight="1">
      <c r="A409" t="inlineStr">
        <is>
          <t>A 36271-2019</t>
        </is>
      </c>
      <c r="B409" s="1" t="n">
        <v>43661</v>
      </c>
      <c r="C409" s="1" t="n">
        <v>45734</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37369-2019</t>
        </is>
      </c>
      <c r="B410" s="1" t="n">
        <v>43678</v>
      </c>
      <c r="C410" s="1" t="n">
        <v>45734</v>
      </c>
      <c r="D410" t="inlineStr">
        <is>
          <t>JÄMTLANDS LÄN</t>
        </is>
      </c>
      <c r="E410" t="inlineStr">
        <is>
          <t>KROKOM</t>
        </is>
      </c>
      <c r="G410" t="n">
        <v>1.9</v>
      </c>
      <c r="H410" t="n">
        <v>0</v>
      </c>
      <c r="I410" t="n">
        <v>0</v>
      </c>
      <c r="J410" t="n">
        <v>0</v>
      </c>
      <c r="K410" t="n">
        <v>0</v>
      </c>
      <c r="L410" t="n">
        <v>0</v>
      </c>
      <c r="M410" t="n">
        <v>0</v>
      </c>
      <c r="N410" t="n">
        <v>0</v>
      </c>
      <c r="O410" t="n">
        <v>0</v>
      </c>
      <c r="P410" t="n">
        <v>0</v>
      </c>
      <c r="Q410" t="n">
        <v>0</v>
      </c>
      <c r="R410" s="2" t="inlineStr"/>
    </row>
    <row r="411" ht="15" customHeight="1">
      <c r="A411" t="inlineStr">
        <is>
          <t>A 37756-2019</t>
        </is>
      </c>
      <c r="B411" s="1" t="n">
        <v>43682</v>
      </c>
      <c r="C411" s="1" t="n">
        <v>45734</v>
      </c>
      <c r="D411" t="inlineStr">
        <is>
          <t>JÄMTLANDS LÄN</t>
        </is>
      </c>
      <c r="E411" t="inlineStr">
        <is>
          <t>KROKOM</t>
        </is>
      </c>
      <c r="G411" t="n">
        <v>2.1</v>
      </c>
      <c r="H411" t="n">
        <v>0</v>
      </c>
      <c r="I411" t="n">
        <v>0</v>
      </c>
      <c r="J411" t="n">
        <v>0</v>
      </c>
      <c r="K411" t="n">
        <v>0</v>
      </c>
      <c r="L411" t="n">
        <v>0</v>
      </c>
      <c r="M411" t="n">
        <v>0</v>
      </c>
      <c r="N411" t="n">
        <v>0</v>
      </c>
      <c r="O411" t="n">
        <v>0</v>
      </c>
      <c r="P411" t="n">
        <v>0</v>
      </c>
      <c r="Q411" t="n">
        <v>0</v>
      </c>
      <c r="R411" s="2" t="inlineStr"/>
    </row>
    <row r="412" ht="15" customHeight="1">
      <c r="A412" t="inlineStr">
        <is>
          <t>A 38208-2019</t>
        </is>
      </c>
      <c r="B412" s="1" t="n">
        <v>43684</v>
      </c>
      <c r="C412" s="1" t="n">
        <v>45734</v>
      </c>
      <c r="D412" t="inlineStr">
        <is>
          <t>JÄMTLANDS LÄN</t>
        </is>
      </c>
      <c r="E412" t="inlineStr">
        <is>
          <t>KROKOM</t>
        </is>
      </c>
      <c r="G412" t="n">
        <v>6.4</v>
      </c>
      <c r="H412" t="n">
        <v>0</v>
      </c>
      <c r="I412" t="n">
        <v>0</v>
      </c>
      <c r="J412" t="n">
        <v>0</v>
      </c>
      <c r="K412" t="n">
        <v>0</v>
      </c>
      <c r="L412" t="n">
        <v>0</v>
      </c>
      <c r="M412" t="n">
        <v>0</v>
      </c>
      <c r="N412" t="n">
        <v>0</v>
      </c>
      <c r="O412" t="n">
        <v>0</v>
      </c>
      <c r="P412" t="n">
        <v>0</v>
      </c>
      <c r="Q412" t="n">
        <v>0</v>
      </c>
      <c r="R412" s="2" t="inlineStr"/>
    </row>
    <row r="413" ht="15" customHeight="1">
      <c r="A413" t="inlineStr">
        <is>
          <t>A 39353-2019</t>
        </is>
      </c>
      <c r="B413" s="1" t="n">
        <v>43690</v>
      </c>
      <c r="C413" s="1" t="n">
        <v>45734</v>
      </c>
      <c r="D413" t="inlineStr">
        <is>
          <t>JÄMTLANDS LÄN</t>
        </is>
      </c>
      <c r="E413" t="inlineStr">
        <is>
          <t>KROKOM</t>
        </is>
      </c>
      <c r="G413" t="n">
        <v>7.8</v>
      </c>
      <c r="H413" t="n">
        <v>0</v>
      </c>
      <c r="I413" t="n">
        <v>0</v>
      </c>
      <c r="J413" t="n">
        <v>0</v>
      </c>
      <c r="K413" t="n">
        <v>0</v>
      </c>
      <c r="L413" t="n">
        <v>0</v>
      </c>
      <c r="M413" t="n">
        <v>0</v>
      </c>
      <c r="N413" t="n">
        <v>0</v>
      </c>
      <c r="O413" t="n">
        <v>0</v>
      </c>
      <c r="P413" t="n">
        <v>0</v>
      </c>
      <c r="Q413" t="n">
        <v>0</v>
      </c>
      <c r="R413" s="2" t="inlineStr"/>
    </row>
    <row r="414" ht="15" customHeight="1">
      <c r="A414" t="inlineStr">
        <is>
          <t>A 39587-2019</t>
        </is>
      </c>
      <c r="B414" s="1" t="n">
        <v>43691</v>
      </c>
      <c r="C414" s="1" t="n">
        <v>45734</v>
      </c>
      <c r="D414" t="inlineStr">
        <is>
          <t>JÄMTLANDS LÄN</t>
        </is>
      </c>
      <c r="E414" t="inlineStr">
        <is>
          <t>KROKOM</t>
        </is>
      </c>
      <c r="G414" t="n">
        <v>1.5</v>
      </c>
      <c r="H414" t="n">
        <v>0</v>
      </c>
      <c r="I414" t="n">
        <v>0</v>
      </c>
      <c r="J414" t="n">
        <v>0</v>
      </c>
      <c r="K414" t="n">
        <v>0</v>
      </c>
      <c r="L414" t="n">
        <v>0</v>
      </c>
      <c r="M414" t="n">
        <v>0</v>
      </c>
      <c r="N414" t="n">
        <v>0</v>
      </c>
      <c r="O414" t="n">
        <v>0</v>
      </c>
      <c r="P414" t="n">
        <v>0</v>
      </c>
      <c r="Q414" t="n">
        <v>0</v>
      </c>
      <c r="R414" s="2" t="inlineStr"/>
    </row>
    <row r="415" ht="15" customHeight="1">
      <c r="A415" t="inlineStr">
        <is>
          <t>A 39956-2019</t>
        </is>
      </c>
      <c r="B415" s="1" t="n">
        <v>43692</v>
      </c>
      <c r="C415" s="1" t="n">
        <v>45734</v>
      </c>
      <c r="D415" t="inlineStr">
        <is>
          <t>JÄMTLANDS LÄN</t>
        </is>
      </c>
      <c r="E415" t="inlineStr">
        <is>
          <t>KROKOM</t>
        </is>
      </c>
      <c r="G415" t="n">
        <v>4.3</v>
      </c>
      <c r="H415" t="n">
        <v>0</v>
      </c>
      <c r="I415" t="n">
        <v>0</v>
      </c>
      <c r="J415" t="n">
        <v>0</v>
      </c>
      <c r="K415" t="n">
        <v>0</v>
      </c>
      <c r="L415" t="n">
        <v>0</v>
      </c>
      <c r="M415" t="n">
        <v>0</v>
      </c>
      <c r="N415" t="n">
        <v>0</v>
      </c>
      <c r="O415" t="n">
        <v>0</v>
      </c>
      <c r="P415" t="n">
        <v>0</v>
      </c>
      <c r="Q415" t="n">
        <v>0</v>
      </c>
      <c r="R415" s="2" t="inlineStr"/>
    </row>
    <row r="416" ht="15" customHeight="1">
      <c r="A416" t="inlineStr">
        <is>
          <t>A 39943-2019</t>
        </is>
      </c>
      <c r="B416" s="1" t="n">
        <v>43692</v>
      </c>
      <c r="C416" s="1" t="n">
        <v>45734</v>
      </c>
      <c r="D416" t="inlineStr">
        <is>
          <t>JÄMTLANDS LÄN</t>
        </is>
      </c>
      <c r="E416" t="inlineStr">
        <is>
          <t>KROKOM</t>
        </is>
      </c>
      <c r="G416" t="n">
        <v>17.9</v>
      </c>
      <c r="H416" t="n">
        <v>0</v>
      </c>
      <c r="I416" t="n">
        <v>0</v>
      </c>
      <c r="J416" t="n">
        <v>0</v>
      </c>
      <c r="K416" t="n">
        <v>0</v>
      </c>
      <c r="L416" t="n">
        <v>0</v>
      </c>
      <c r="M416" t="n">
        <v>0</v>
      </c>
      <c r="N416" t="n">
        <v>0</v>
      </c>
      <c r="O416" t="n">
        <v>0</v>
      </c>
      <c r="P416" t="n">
        <v>0</v>
      </c>
      <c r="Q416" t="n">
        <v>0</v>
      </c>
      <c r="R416" s="2" t="inlineStr"/>
    </row>
    <row r="417" ht="15" customHeight="1">
      <c r="A417" t="inlineStr">
        <is>
          <t>A 40929-2019</t>
        </is>
      </c>
      <c r="B417" s="1" t="n">
        <v>43693</v>
      </c>
      <c r="C417" s="1" t="n">
        <v>45734</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40491-2019</t>
        </is>
      </c>
      <c r="B418" s="1" t="n">
        <v>43696</v>
      </c>
      <c r="C418" s="1" t="n">
        <v>45734</v>
      </c>
      <c r="D418" t="inlineStr">
        <is>
          <t>JÄMTLANDS LÄN</t>
        </is>
      </c>
      <c r="E418" t="inlineStr">
        <is>
          <t>KROKOM</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41491-2019</t>
        </is>
      </c>
      <c r="B419" s="1" t="n">
        <v>43699</v>
      </c>
      <c r="C419" s="1" t="n">
        <v>45734</v>
      </c>
      <c r="D419" t="inlineStr">
        <is>
          <t>JÄMTLANDS LÄN</t>
        </is>
      </c>
      <c r="E419" t="inlineStr">
        <is>
          <t>KROKOM</t>
        </is>
      </c>
      <c r="G419" t="n">
        <v>9.1</v>
      </c>
      <c r="H419" t="n">
        <v>0</v>
      </c>
      <c r="I419" t="n">
        <v>0</v>
      </c>
      <c r="J419" t="n">
        <v>0</v>
      </c>
      <c r="K419" t="n">
        <v>0</v>
      </c>
      <c r="L419" t="n">
        <v>0</v>
      </c>
      <c r="M419" t="n">
        <v>0</v>
      </c>
      <c r="N419" t="n">
        <v>0</v>
      </c>
      <c r="O419" t="n">
        <v>0</v>
      </c>
      <c r="P419" t="n">
        <v>0</v>
      </c>
      <c r="Q419" t="n">
        <v>0</v>
      </c>
      <c r="R419" s="2" t="inlineStr"/>
    </row>
    <row r="420" ht="15" customHeight="1">
      <c r="A420" t="inlineStr">
        <is>
          <t>A 42258-2019</t>
        </is>
      </c>
      <c r="B420" s="1" t="n">
        <v>43703</v>
      </c>
      <c r="C420" s="1" t="n">
        <v>45734</v>
      </c>
      <c r="D420" t="inlineStr">
        <is>
          <t>JÄMTLANDS LÄN</t>
        </is>
      </c>
      <c r="E420" t="inlineStr">
        <is>
          <t>KROKOM</t>
        </is>
      </c>
      <c r="G420" t="n">
        <v>4.9</v>
      </c>
      <c r="H420" t="n">
        <v>0</v>
      </c>
      <c r="I420" t="n">
        <v>0</v>
      </c>
      <c r="J420" t="n">
        <v>0</v>
      </c>
      <c r="K420" t="n">
        <v>0</v>
      </c>
      <c r="L420" t="n">
        <v>0</v>
      </c>
      <c r="M420" t="n">
        <v>0</v>
      </c>
      <c r="N420" t="n">
        <v>0</v>
      </c>
      <c r="O420" t="n">
        <v>0</v>
      </c>
      <c r="P420" t="n">
        <v>0</v>
      </c>
      <c r="Q420" t="n">
        <v>0</v>
      </c>
      <c r="R420" s="2" t="inlineStr"/>
    </row>
    <row r="421" ht="15" customHeight="1">
      <c r="A421" t="inlineStr">
        <is>
          <t>A 42237-2019</t>
        </is>
      </c>
      <c r="B421" s="1" t="n">
        <v>43703</v>
      </c>
      <c r="C421" s="1" t="n">
        <v>45734</v>
      </c>
      <c r="D421" t="inlineStr">
        <is>
          <t>JÄMTLANDS LÄN</t>
        </is>
      </c>
      <c r="E421" t="inlineStr">
        <is>
          <t>KROKOM</t>
        </is>
      </c>
      <c r="G421" t="n">
        <v>7.1</v>
      </c>
      <c r="H421" t="n">
        <v>0</v>
      </c>
      <c r="I421" t="n">
        <v>0</v>
      </c>
      <c r="J421" t="n">
        <v>0</v>
      </c>
      <c r="K421" t="n">
        <v>0</v>
      </c>
      <c r="L421" t="n">
        <v>0</v>
      </c>
      <c r="M421" t="n">
        <v>0</v>
      </c>
      <c r="N421" t="n">
        <v>0</v>
      </c>
      <c r="O421" t="n">
        <v>0</v>
      </c>
      <c r="P421" t="n">
        <v>0</v>
      </c>
      <c r="Q421" t="n">
        <v>0</v>
      </c>
      <c r="R421" s="2" t="inlineStr"/>
    </row>
    <row r="422" ht="15" customHeight="1">
      <c r="A422" t="inlineStr">
        <is>
          <t>A 42537-2019</t>
        </is>
      </c>
      <c r="B422" s="1" t="n">
        <v>43704</v>
      </c>
      <c r="C422" s="1" t="n">
        <v>45734</v>
      </c>
      <c r="D422" t="inlineStr">
        <is>
          <t>JÄMTLANDS LÄN</t>
        </is>
      </c>
      <c r="E422" t="inlineStr">
        <is>
          <t>KROKOM</t>
        </is>
      </c>
      <c r="G422" t="n">
        <v>3.5</v>
      </c>
      <c r="H422" t="n">
        <v>0</v>
      </c>
      <c r="I422" t="n">
        <v>0</v>
      </c>
      <c r="J422" t="n">
        <v>0</v>
      </c>
      <c r="K422" t="n">
        <v>0</v>
      </c>
      <c r="L422" t="n">
        <v>0</v>
      </c>
      <c r="M422" t="n">
        <v>0</v>
      </c>
      <c r="N422" t="n">
        <v>0</v>
      </c>
      <c r="O422" t="n">
        <v>0</v>
      </c>
      <c r="P422" t="n">
        <v>0</v>
      </c>
      <c r="Q422" t="n">
        <v>0</v>
      </c>
      <c r="R422" s="2" t="inlineStr"/>
    </row>
    <row r="423" ht="15" customHeight="1">
      <c r="A423" t="inlineStr">
        <is>
          <t>A 42547-2019</t>
        </is>
      </c>
      <c r="B423" s="1" t="n">
        <v>43704</v>
      </c>
      <c r="C423" s="1" t="n">
        <v>45734</v>
      </c>
      <c r="D423" t="inlineStr">
        <is>
          <t>JÄMTLANDS LÄN</t>
        </is>
      </c>
      <c r="E423" t="inlineStr">
        <is>
          <t>KROKOM</t>
        </is>
      </c>
      <c r="F423" t="inlineStr">
        <is>
          <t>Övriga Aktiebolag</t>
        </is>
      </c>
      <c r="G423" t="n">
        <v>27.5</v>
      </c>
      <c r="H423" t="n">
        <v>0</v>
      </c>
      <c r="I423" t="n">
        <v>0</v>
      </c>
      <c r="J423" t="n">
        <v>0</v>
      </c>
      <c r="K423" t="n">
        <v>0</v>
      </c>
      <c r="L423" t="n">
        <v>0</v>
      </c>
      <c r="M423" t="n">
        <v>0</v>
      </c>
      <c r="N423" t="n">
        <v>0</v>
      </c>
      <c r="O423" t="n">
        <v>0</v>
      </c>
      <c r="P423" t="n">
        <v>0</v>
      </c>
      <c r="Q423" t="n">
        <v>0</v>
      </c>
      <c r="R423" s="2" t="inlineStr"/>
    </row>
    <row r="424" ht="15" customHeight="1">
      <c r="A424" t="inlineStr">
        <is>
          <t>A 42498-2019</t>
        </is>
      </c>
      <c r="B424" s="1" t="n">
        <v>43704</v>
      </c>
      <c r="C424" s="1" t="n">
        <v>45734</v>
      </c>
      <c r="D424" t="inlineStr">
        <is>
          <t>JÄMTLANDS LÄN</t>
        </is>
      </c>
      <c r="E424" t="inlineStr">
        <is>
          <t>KROKOM</t>
        </is>
      </c>
      <c r="F424" t="inlineStr">
        <is>
          <t>Övriga Aktiebolag</t>
        </is>
      </c>
      <c r="G424" t="n">
        <v>3.9</v>
      </c>
      <c r="H424" t="n">
        <v>0</v>
      </c>
      <c r="I424" t="n">
        <v>0</v>
      </c>
      <c r="J424" t="n">
        <v>0</v>
      </c>
      <c r="K424" t="n">
        <v>0</v>
      </c>
      <c r="L424" t="n">
        <v>0</v>
      </c>
      <c r="M424" t="n">
        <v>0</v>
      </c>
      <c r="N424" t="n">
        <v>0</v>
      </c>
      <c r="O424" t="n">
        <v>0</v>
      </c>
      <c r="P424" t="n">
        <v>0</v>
      </c>
      <c r="Q424" t="n">
        <v>0</v>
      </c>
      <c r="R424" s="2" t="inlineStr"/>
    </row>
    <row r="425" ht="15" customHeight="1">
      <c r="A425" t="inlineStr">
        <is>
          <t>A 42602-2019</t>
        </is>
      </c>
      <c r="B425" s="1" t="n">
        <v>43704</v>
      </c>
      <c r="C425" s="1" t="n">
        <v>45734</v>
      </c>
      <c r="D425" t="inlineStr">
        <is>
          <t>JÄMTLANDS LÄN</t>
        </is>
      </c>
      <c r="E425" t="inlineStr">
        <is>
          <t>KROKOM</t>
        </is>
      </c>
      <c r="G425" t="n">
        <v>3.9</v>
      </c>
      <c r="H425" t="n">
        <v>0</v>
      </c>
      <c r="I425" t="n">
        <v>0</v>
      </c>
      <c r="J425" t="n">
        <v>0</v>
      </c>
      <c r="K425" t="n">
        <v>0</v>
      </c>
      <c r="L425" t="n">
        <v>0</v>
      </c>
      <c r="M425" t="n">
        <v>0</v>
      </c>
      <c r="N425" t="n">
        <v>0</v>
      </c>
      <c r="O425" t="n">
        <v>0</v>
      </c>
      <c r="P425" t="n">
        <v>0</v>
      </c>
      <c r="Q425" t="n">
        <v>0</v>
      </c>
      <c r="R425" s="2" t="inlineStr"/>
    </row>
    <row r="426" ht="15" customHeight="1">
      <c r="A426" t="inlineStr">
        <is>
          <t>A 42635-2019</t>
        </is>
      </c>
      <c r="B426" s="1" t="n">
        <v>43704</v>
      </c>
      <c r="C426" s="1" t="n">
        <v>45734</v>
      </c>
      <c r="D426" t="inlineStr">
        <is>
          <t>JÄMTLANDS LÄN</t>
        </is>
      </c>
      <c r="E426" t="inlineStr">
        <is>
          <t>KROKOM</t>
        </is>
      </c>
      <c r="G426" t="n">
        <v>0.9</v>
      </c>
      <c r="H426" t="n">
        <v>0</v>
      </c>
      <c r="I426" t="n">
        <v>0</v>
      </c>
      <c r="J426" t="n">
        <v>0</v>
      </c>
      <c r="K426" t="n">
        <v>0</v>
      </c>
      <c r="L426" t="n">
        <v>0</v>
      </c>
      <c r="M426" t="n">
        <v>0</v>
      </c>
      <c r="N426" t="n">
        <v>0</v>
      </c>
      <c r="O426" t="n">
        <v>0</v>
      </c>
      <c r="P426" t="n">
        <v>0</v>
      </c>
      <c r="Q426" t="n">
        <v>0</v>
      </c>
      <c r="R426" s="2" t="inlineStr"/>
    </row>
    <row r="427" ht="15" customHeight="1">
      <c r="A427" t="inlineStr">
        <is>
          <t>A 43708-2019</t>
        </is>
      </c>
      <c r="B427" s="1" t="n">
        <v>43707</v>
      </c>
      <c r="C427" s="1" t="n">
        <v>45734</v>
      </c>
      <c r="D427" t="inlineStr">
        <is>
          <t>JÄMTLANDS LÄN</t>
        </is>
      </c>
      <c r="E427" t="inlineStr">
        <is>
          <t>KROKOM</t>
        </is>
      </c>
      <c r="G427" t="n">
        <v>3.1</v>
      </c>
      <c r="H427" t="n">
        <v>0</v>
      </c>
      <c r="I427" t="n">
        <v>0</v>
      </c>
      <c r="J427" t="n">
        <v>0</v>
      </c>
      <c r="K427" t="n">
        <v>0</v>
      </c>
      <c r="L427" t="n">
        <v>0</v>
      </c>
      <c r="M427" t="n">
        <v>0</v>
      </c>
      <c r="N427" t="n">
        <v>0</v>
      </c>
      <c r="O427" t="n">
        <v>0</v>
      </c>
      <c r="P427" t="n">
        <v>0</v>
      </c>
      <c r="Q427" t="n">
        <v>0</v>
      </c>
      <c r="R427" s="2" t="inlineStr"/>
    </row>
    <row r="428" ht="15" customHeight="1">
      <c r="A428" t="inlineStr">
        <is>
          <t>A 43721-2019</t>
        </is>
      </c>
      <c r="B428" s="1" t="n">
        <v>43707</v>
      </c>
      <c r="C428" s="1" t="n">
        <v>45734</v>
      </c>
      <c r="D428" t="inlineStr">
        <is>
          <t>JÄMTLANDS LÄN</t>
        </is>
      </c>
      <c r="E428" t="inlineStr">
        <is>
          <t>KROKOM</t>
        </is>
      </c>
      <c r="G428" t="n">
        <v>7.1</v>
      </c>
      <c r="H428" t="n">
        <v>0</v>
      </c>
      <c r="I428" t="n">
        <v>0</v>
      </c>
      <c r="J428" t="n">
        <v>0</v>
      </c>
      <c r="K428" t="n">
        <v>0</v>
      </c>
      <c r="L428" t="n">
        <v>0</v>
      </c>
      <c r="M428" t="n">
        <v>0</v>
      </c>
      <c r="N428" t="n">
        <v>0</v>
      </c>
      <c r="O428" t="n">
        <v>0</v>
      </c>
      <c r="P428" t="n">
        <v>0</v>
      </c>
      <c r="Q428" t="n">
        <v>0</v>
      </c>
      <c r="R428" s="2" t="inlineStr"/>
    </row>
    <row r="429" ht="15" customHeight="1">
      <c r="A429" t="inlineStr">
        <is>
          <t>A 44128-2019</t>
        </is>
      </c>
      <c r="B429" s="1" t="n">
        <v>43710</v>
      </c>
      <c r="C429" s="1" t="n">
        <v>45734</v>
      </c>
      <c r="D429" t="inlineStr">
        <is>
          <t>JÄMTLANDS LÄN</t>
        </is>
      </c>
      <c r="E429" t="inlineStr">
        <is>
          <t>KROKOM</t>
        </is>
      </c>
      <c r="G429" t="n">
        <v>8.1</v>
      </c>
      <c r="H429" t="n">
        <v>0</v>
      </c>
      <c r="I429" t="n">
        <v>0</v>
      </c>
      <c r="J429" t="n">
        <v>0</v>
      </c>
      <c r="K429" t="n">
        <v>0</v>
      </c>
      <c r="L429" t="n">
        <v>0</v>
      </c>
      <c r="M429" t="n">
        <v>0</v>
      </c>
      <c r="N429" t="n">
        <v>0</v>
      </c>
      <c r="O429" t="n">
        <v>0</v>
      </c>
      <c r="P429" t="n">
        <v>0</v>
      </c>
      <c r="Q429" t="n">
        <v>0</v>
      </c>
      <c r="R429" s="2" t="inlineStr"/>
    </row>
    <row r="430" ht="15" customHeight="1">
      <c r="A430" t="inlineStr">
        <is>
          <t>A 44190-2019</t>
        </is>
      </c>
      <c r="B430" s="1" t="n">
        <v>43710</v>
      </c>
      <c r="C430" s="1" t="n">
        <v>45734</v>
      </c>
      <c r="D430" t="inlineStr">
        <is>
          <t>JÄMTLANDS LÄN</t>
        </is>
      </c>
      <c r="E430" t="inlineStr">
        <is>
          <t>KROKOM</t>
        </is>
      </c>
      <c r="G430" t="n">
        <v>1.8</v>
      </c>
      <c r="H430" t="n">
        <v>0</v>
      </c>
      <c r="I430" t="n">
        <v>0</v>
      </c>
      <c r="J430" t="n">
        <v>0</v>
      </c>
      <c r="K430" t="n">
        <v>0</v>
      </c>
      <c r="L430" t="n">
        <v>0</v>
      </c>
      <c r="M430" t="n">
        <v>0</v>
      </c>
      <c r="N430" t="n">
        <v>0</v>
      </c>
      <c r="O430" t="n">
        <v>0</v>
      </c>
      <c r="P430" t="n">
        <v>0</v>
      </c>
      <c r="Q430" t="n">
        <v>0</v>
      </c>
      <c r="R430" s="2" t="inlineStr"/>
    </row>
    <row r="431" ht="15" customHeight="1">
      <c r="A431" t="inlineStr">
        <is>
          <t>A 44653-2019</t>
        </is>
      </c>
      <c r="B431" s="1" t="n">
        <v>43712</v>
      </c>
      <c r="C431" s="1" t="n">
        <v>45734</v>
      </c>
      <c r="D431" t="inlineStr">
        <is>
          <t>JÄMTLANDS LÄN</t>
        </is>
      </c>
      <c r="E431" t="inlineStr">
        <is>
          <t>KROKOM</t>
        </is>
      </c>
      <c r="G431" t="n">
        <v>1.4</v>
      </c>
      <c r="H431" t="n">
        <v>0</v>
      </c>
      <c r="I431" t="n">
        <v>0</v>
      </c>
      <c r="J431" t="n">
        <v>0</v>
      </c>
      <c r="K431" t="n">
        <v>0</v>
      </c>
      <c r="L431" t="n">
        <v>0</v>
      </c>
      <c r="M431" t="n">
        <v>0</v>
      </c>
      <c r="N431" t="n">
        <v>0</v>
      </c>
      <c r="O431" t="n">
        <v>0</v>
      </c>
      <c r="P431" t="n">
        <v>0</v>
      </c>
      <c r="Q431" t="n">
        <v>0</v>
      </c>
      <c r="R431" s="2" t="inlineStr"/>
    </row>
    <row r="432" ht="15" customHeight="1">
      <c r="A432" t="inlineStr">
        <is>
          <t>A 46288-2019</t>
        </is>
      </c>
      <c r="B432" s="1" t="n">
        <v>43717</v>
      </c>
      <c r="C432" s="1" t="n">
        <v>45734</v>
      </c>
      <c r="D432" t="inlineStr">
        <is>
          <t>JÄMTLANDS LÄN</t>
        </is>
      </c>
      <c r="E432" t="inlineStr">
        <is>
          <t>KROKOM</t>
        </is>
      </c>
      <c r="G432" t="n">
        <v>1.2</v>
      </c>
      <c r="H432" t="n">
        <v>0</v>
      </c>
      <c r="I432" t="n">
        <v>0</v>
      </c>
      <c r="J432" t="n">
        <v>0</v>
      </c>
      <c r="K432" t="n">
        <v>0</v>
      </c>
      <c r="L432" t="n">
        <v>0</v>
      </c>
      <c r="M432" t="n">
        <v>0</v>
      </c>
      <c r="N432" t="n">
        <v>0</v>
      </c>
      <c r="O432" t="n">
        <v>0</v>
      </c>
      <c r="P432" t="n">
        <v>0</v>
      </c>
      <c r="Q432" t="n">
        <v>0</v>
      </c>
      <c r="R432" s="2" t="inlineStr"/>
    </row>
    <row r="433" ht="15" customHeight="1">
      <c r="A433" t="inlineStr">
        <is>
          <t>A 47406-2019</t>
        </is>
      </c>
      <c r="B433" s="1" t="n">
        <v>43722</v>
      </c>
      <c r="C433" s="1" t="n">
        <v>45734</v>
      </c>
      <c r="D433" t="inlineStr">
        <is>
          <t>JÄMTLANDS LÄN</t>
        </is>
      </c>
      <c r="E433" t="inlineStr">
        <is>
          <t>KROKOM</t>
        </is>
      </c>
      <c r="G433" t="n">
        <v>7.4</v>
      </c>
      <c r="H433" t="n">
        <v>0</v>
      </c>
      <c r="I433" t="n">
        <v>0</v>
      </c>
      <c r="J433" t="n">
        <v>0</v>
      </c>
      <c r="K433" t="n">
        <v>0</v>
      </c>
      <c r="L433" t="n">
        <v>0</v>
      </c>
      <c r="M433" t="n">
        <v>0</v>
      </c>
      <c r="N433" t="n">
        <v>0</v>
      </c>
      <c r="O433" t="n">
        <v>0</v>
      </c>
      <c r="P433" t="n">
        <v>0</v>
      </c>
      <c r="Q433" t="n">
        <v>0</v>
      </c>
      <c r="R433" s="2" t="inlineStr"/>
    </row>
    <row r="434" ht="15" customHeight="1">
      <c r="A434" t="inlineStr">
        <is>
          <t>A 48311-2019</t>
        </is>
      </c>
      <c r="B434" s="1" t="n">
        <v>43726</v>
      </c>
      <c r="C434" s="1" t="n">
        <v>45734</v>
      </c>
      <c r="D434" t="inlineStr">
        <is>
          <t>JÄMTLANDS LÄN</t>
        </is>
      </c>
      <c r="E434" t="inlineStr">
        <is>
          <t>KROKOM</t>
        </is>
      </c>
      <c r="G434" t="n">
        <v>2.6</v>
      </c>
      <c r="H434" t="n">
        <v>0</v>
      </c>
      <c r="I434" t="n">
        <v>0</v>
      </c>
      <c r="J434" t="n">
        <v>0</v>
      </c>
      <c r="K434" t="n">
        <v>0</v>
      </c>
      <c r="L434" t="n">
        <v>0</v>
      </c>
      <c r="M434" t="n">
        <v>0</v>
      </c>
      <c r="N434" t="n">
        <v>0</v>
      </c>
      <c r="O434" t="n">
        <v>0</v>
      </c>
      <c r="P434" t="n">
        <v>0</v>
      </c>
      <c r="Q434" t="n">
        <v>0</v>
      </c>
      <c r="R434" s="2" t="inlineStr"/>
    </row>
    <row r="435" ht="15" customHeight="1">
      <c r="A435" t="inlineStr">
        <is>
          <t>A 48613-2019</t>
        </is>
      </c>
      <c r="B435" s="1" t="n">
        <v>43727</v>
      </c>
      <c r="C435" s="1" t="n">
        <v>45734</v>
      </c>
      <c r="D435" t="inlineStr">
        <is>
          <t>JÄMTLANDS LÄN</t>
        </is>
      </c>
      <c r="E435" t="inlineStr">
        <is>
          <t>KROKOM</t>
        </is>
      </c>
      <c r="G435" t="n">
        <v>0.1</v>
      </c>
      <c r="H435" t="n">
        <v>0</v>
      </c>
      <c r="I435" t="n">
        <v>0</v>
      </c>
      <c r="J435" t="n">
        <v>0</v>
      </c>
      <c r="K435" t="n">
        <v>0</v>
      </c>
      <c r="L435" t="n">
        <v>0</v>
      </c>
      <c r="M435" t="n">
        <v>0</v>
      </c>
      <c r="N435" t="n">
        <v>0</v>
      </c>
      <c r="O435" t="n">
        <v>0</v>
      </c>
      <c r="P435" t="n">
        <v>0</v>
      </c>
      <c r="Q435" t="n">
        <v>0</v>
      </c>
      <c r="R435" s="2" t="inlineStr"/>
    </row>
    <row r="436" ht="15" customHeight="1">
      <c r="A436" t="inlineStr">
        <is>
          <t>A 49213-2019</t>
        </is>
      </c>
      <c r="B436" s="1" t="n">
        <v>43731</v>
      </c>
      <c r="C436" s="1" t="n">
        <v>45734</v>
      </c>
      <c r="D436" t="inlineStr">
        <is>
          <t>JÄMTLANDS LÄN</t>
        </is>
      </c>
      <c r="E436" t="inlineStr">
        <is>
          <t>KROKOM</t>
        </is>
      </c>
      <c r="G436" t="n">
        <v>3.8</v>
      </c>
      <c r="H436" t="n">
        <v>0</v>
      </c>
      <c r="I436" t="n">
        <v>0</v>
      </c>
      <c r="J436" t="n">
        <v>0</v>
      </c>
      <c r="K436" t="n">
        <v>0</v>
      </c>
      <c r="L436" t="n">
        <v>0</v>
      </c>
      <c r="M436" t="n">
        <v>0</v>
      </c>
      <c r="N436" t="n">
        <v>0</v>
      </c>
      <c r="O436" t="n">
        <v>0</v>
      </c>
      <c r="P436" t="n">
        <v>0</v>
      </c>
      <c r="Q436" t="n">
        <v>0</v>
      </c>
      <c r="R436" s="2" t="inlineStr"/>
    </row>
    <row r="437" ht="15" customHeight="1">
      <c r="A437" t="inlineStr">
        <is>
          <t>A 50104-2019</t>
        </is>
      </c>
      <c r="B437" s="1" t="n">
        <v>43731</v>
      </c>
      <c r="C437" s="1" t="n">
        <v>45734</v>
      </c>
      <c r="D437" t="inlineStr">
        <is>
          <t>JÄMTLANDS LÄN</t>
        </is>
      </c>
      <c r="E437" t="inlineStr">
        <is>
          <t>KROKOM</t>
        </is>
      </c>
      <c r="G437" t="n">
        <v>4.2</v>
      </c>
      <c r="H437" t="n">
        <v>0</v>
      </c>
      <c r="I437" t="n">
        <v>0</v>
      </c>
      <c r="J437" t="n">
        <v>0</v>
      </c>
      <c r="K437" t="n">
        <v>0</v>
      </c>
      <c r="L437" t="n">
        <v>0</v>
      </c>
      <c r="M437" t="n">
        <v>0</v>
      </c>
      <c r="N437" t="n">
        <v>0</v>
      </c>
      <c r="O437" t="n">
        <v>0</v>
      </c>
      <c r="P437" t="n">
        <v>0</v>
      </c>
      <c r="Q437" t="n">
        <v>0</v>
      </c>
      <c r="R437" s="2" t="inlineStr"/>
    </row>
    <row r="438" ht="15" customHeight="1">
      <c r="A438" t="inlineStr">
        <is>
          <t>A 50115-2019</t>
        </is>
      </c>
      <c r="B438" s="1" t="n">
        <v>43731</v>
      </c>
      <c r="C438" s="1" t="n">
        <v>45734</v>
      </c>
      <c r="D438" t="inlineStr">
        <is>
          <t>JÄMTLANDS LÄN</t>
        </is>
      </c>
      <c r="E438" t="inlineStr">
        <is>
          <t>KROKOM</t>
        </is>
      </c>
      <c r="G438" t="n">
        <v>0.9</v>
      </c>
      <c r="H438" t="n">
        <v>0</v>
      </c>
      <c r="I438" t="n">
        <v>0</v>
      </c>
      <c r="J438" t="n">
        <v>0</v>
      </c>
      <c r="K438" t="n">
        <v>0</v>
      </c>
      <c r="L438" t="n">
        <v>0</v>
      </c>
      <c r="M438" t="n">
        <v>0</v>
      </c>
      <c r="N438" t="n">
        <v>0</v>
      </c>
      <c r="O438" t="n">
        <v>0</v>
      </c>
      <c r="P438" t="n">
        <v>0</v>
      </c>
      <c r="Q438" t="n">
        <v>0</v>
      </c>
      <c r="R438" s="2" t="inlineStr"/>
    </row>
    <row r="439" ht="15" customHeight="1">
      <c r="A439" t="inlineStr">
        <is>
          <t>A 50084-2019</t>
        </is>
      </c>
      <c r="B439" s="1" t="n">
        <v>43731</v>
      </c>
      <c r="C439" s="1" t="n">
        <v>45734</v>
      </c>
      <c r="D439" t="inlineStr">
        <is>
          <t>JÄMTLANDS LÄN</t>
        </is>
      </c>
      <c r="E439" t="inlineStr">
        <is>
          <t>KROKOM</t>
        </is>
      </c>
      <c r="G439" t="n">
        <v>12.5</v>
      </c>
      <c r="H439" t="n">
        <v>0</v>
      </c>
      <c r="I439" t="n">
        <v>0</v>
      </c>
      <c r="J439" t="n">
        <v>0</v>
      </c>
      <c r="K439" t="n">
        <v>0</v>
      </c>
      <c r="L439" t="n">
        <v>0</v>
      </c>
      <c r="M439" t="n">
        <v>0</v>
      </c>
      <c r="N439" t="n">
        <v>0</v>
      </c>
      <c r="O439" t="n">
        <v>0</v>
      </c>
      <c r="P439" t="n">
        <v>0</v>
      </c>
      <c r="Q439" t="n">
        <v>0</v>
      </c>
      <c r="R439" s="2" t="inlineStr"/>
    </row>
    <row r="440" ht="15" customHeight="1">
      <c r="A440" t="inlineStr">
        <is>
          <t>A 50112-2019</t>
        </is>
      </c>
      <c r="B440" s="1" t="n">
        <v>43731</v>
      </c>
      <c r="C440" s="1" t="n">
        <v>45734</v>
      </c>
      <c r="D440" t="inlineStr">
        <is>
          <t>JÄMTLANDS LÄN</t>
        </is>
      </c>
      <c r="E440" t="inlineStr">
        <is>
          <t>KROKOM</t>
        </is>
      </c>
      <c r="G440" t="n">
        <v>1.4</v>
      </c>
      <c r="H440" t="n">
        <v>0</v>
      </c>
      <c r="I440" t="n">
        <v>0</v>
      </c>
      <c r="J440" t="n">
        <v>0</v>
      </c>
      <c r="K440" t="n">
        <v>0</v>
      </c>
      <c r="L440" t="n">
        <v>0</v>
      </c>
      <c r="M440" t="n">
        <v>0</v>
      </c>
      <c r="N440" t="n">
        <v>0</v>
      </c>
      <c r="O440" t="n">
        <v>0</v>
      </c>
      <c r="P440" t="n">
        <v>0</v>
      </c>
      <c r="Q440" t="n">
        <v>0</v>
      </c>
      <c r="R440" s="2" t="inlineStr"/>
    </row>
    <row r="441" ht="15" customHeight="1">
      <c r="A441" t="inlineStr">
        <is>
          <t>A 50144-2019</t>
        </is>
      </c>
      <c r="B441" s="1" t="n">
        <v>43734</v>
      </c>
      <c r="C441" s="1" t="n">
        <v>45734</v>
      </c>
      <c r="D441" t="inlineStr">
        <is>
          <t>JÄMTLANDS LÄN</t>
        </is>
      </c>
      <c r="E441" t="inlineStr">
        <is>
          <t>KROKOM</t>
        </is>
      </c>
      <c r="G441" t="n">
        <v>1.1</v>
      </c>
      <c r="H441" t="n">
        <v>0</v>
      </c>
      <c r="I441" t="n">
        <v>0</v>
      </c>
      <c r="J441" t="n">
        <v>0</v>
      </c>
      <c r="K441" t="n">
        <v>0</v>
      </c>
      <c r="L441" t="n">
        <v>0</v>
      </c>
      <c r="M441" t="n">
        <v>0</v>
      </c>
      <c r="N441" t="n">
        <v>0</v>
      </c>
      <c r="O441" t="n">
        <v>0</v>
      </c>
      <c r="P441" t="n">
        <v>0</v>
      </c>
      <c r="Q441" t="n">
        <v>0</v>
      </c>
      <c r="R441" s="2" t="inlineStr"/>
    </row>
    <row r="442" ht="15" customHeight="1">
      <c r="A442" t="inlineStr">
        <is>
          <t>A 52049-2019</t>
        </is>
      </c>
      <c r="B442" s="1" t="n">
        <v>43734</v>
      </c>
      <c r="C442" s="1" t="n">
        <v>45734</v>
      </c>
      <c r="D442" t="inlineStr">
        <is>
          <t>JÄMTLANDS LÄN</t>
        </is>
      </c>
      <c r="E442" t="inlineStr">
        <is>
          <t>KROKOM</t>
        </is>
      </c>
      <c r="G442" t="n">
        <v>6.3</v>
      </c>
      <c r="H442" t="n">
        <v>0</v>
      </c>
      <c r="I442" t="n">
        <v>0</v>
      </c>
      <c r="J442" t="n">
        <v>0</v>
      </c>
      <c r="K442" t="n">
        <v>0</v>
      </c>
      <c r="L442" t="n">
        <v>0</v>
      </c>
      <c r="M442" t="n">
        <v>0</v>
      </c>
      <c r="N442" t="n">
        <v>0</v>
      </c>
      <c r="O442" t="n">
        <v>0</v>
      </c>
      <c r="P442" t="n">
        <v>0</v>
      </c>
      <c r="Q442" t="n">
        <v>0</v>
      </c>
      <c r="R442" s="2" t="inlineStr"/>
    </row>
    <row r="443" ht="15" customHeight="1">
      <c r="A443" t="inlineStr">
        <is>
          <t>A 52028-2019</t>
        </is>
      </c>
      <c r="B443" s="1" t="n">
        <v>43734</v>
      </c>
      <c r="C443" s="1" t="n">
        <v>45734</v>
      </c>
      <c r="D443" t="inlineStr">
        <is>
          <t>JÄMTLANDS LÄN</t>
        </is>
      </c>
      <c r="E443" t="inlineStr">
        <is>
          <t>KROKOM</t>
        </is>
      </c>
      <c r="F443" t="inlineStr">
        <is>
          <t>Övriga Aktiebolag</t>
        </is>
      </c>
      <c r="G443" t="n">
        <v>5.5</v>
      </c>
      <c r="H443" t="n">
        <v>0</v>
      </c>
      <c r="I443" t="n">
        <v>0</v>
      </c>
      <c r="J443" t="n">
        <v>0</v>
      </c>
      <c r="K443" t="n">
        <v>0</v>
      </c>
      <c r="L443" t="n">
        <v>0</v>
      </c>
      <c r="M443" t="n">
        <v>0</v>
      </c>
      <c r="N443" t="n">
        <v>0</v>
      </c>
      <c r="O443" t="n">
        <v>0</v>
      </c>
      <c r="P443" t="n">
        <v>0</v>
      </c>
      <c r="Q443" t="n">
        <v>0</v>
      </c>
      <c r="R443" s="2" t="inlineStr"/>
    </row>
    <row r="444" ht="15" customHeight="1">
      <c r="A444" t="inlineStr">
        <is>
          <t>A 50360-2019</t>
        </is>
      </c>
      <c r="B444" s="1" t="n">
        <v>43735</v>
      </c>
      <c r="C444" s="1" t="n">
        <v>45734</v>
      </c>
      <c r="D444" t="inlineStr">
        <is>
          <t>JÄMTLANDS LÄN</t>
        </is>
      </c>
      <c r="E444" t="inlineStr">
        <is>
          <t>KROKOM</t>
        </is>
      </c>
      <c r="G444" t="n">
        <v>2.3</v>
      </c>
      <c r="H444" t="n">
        <v>0</v>
      </c>
      <c r="I444" t="n">
        <v>0</v>
      </c>
      <c r="J444" t="n">
        <v>0</v>
      </c>
      <c r="K444" t="n">
        <v>0</v>
      </c>
      <c r="L444" t="n">
        <v>0</v>
      </c>
      <c r="M444" t="n">
        <v>0</v>
      </c>
      <c r="N444" t="n">
        <v>0</v>
      </c>
      <c r="O444" t="n">
        <v>0</v>
      </c>
      <c r="P444" t="n">
        <v>0</v>
      </c>
      <c r="Q444" t="n">
        <v>0</v>
      </c>
      <c r="R444" s="2" t="inlineStr"/>
    </row>
    <row r="445" ht="15" customHeight="1">
      <c r="A445" t="inlineStr">
        <is>
          <t>A 52446-2019</t>
        </is>
      </c>
      <c r="B445" s="1" t="n">
        <v>43735</v>
      </c>
      <c r="C445" s="1" t="n">
        <v>45734</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53662-2019</t>
        </is>
      </c>
      <c r="B446" s="1" t="n">
        <v>43741</v>
      </c>
      <c r="C446" s="1" t="n">
        <v>45734</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54154-2019</t>
        </is>
      </c>
      <c r="B447" s="1" t="n">
        <v>43745</v>
      </c>
      <c r="C447" s="1" t="n">
        <v>45734</v>
      </c>
      <c r="D447" t="inlineStr">
        <is>
          <t>JÄMTLANDS LÄN</t>
        </is>
      </c>
      <c r="E447" t="inlineStr">
        <is>
          <t>KROKOM</t>
        </is>
      </c>
      <c r="G447" t="n">
        <v>2.5</v>
      </c>
      <c r="H447" t="n">
        <v>0</v>
      </c>
      <c r="I447" t="n">
        <v>0</v>
      </c>
      <c r="J447" t="n">
        <v>0</v>
      </c>
      <c r="K447" t="n">
        <v>0</v>
      </c>
      <c r="L447" t="n">
        <v>0</v>
      </c>
      <c r="M447" t="n">
        <v>0</v>
      </c>
      <c r="N447" t="n">
        <v>0</v>
      </c>
      <c r="O447" t="n">
        <v>0</v>
      </c>
      <c r="P447" t="n">
        <v>0</v>
      </c>
      <c r="Q447" t="n">
        <v>0</v>
      </c>
      <c r="R447" s="2" t="inlineStr"/>
    </row>
    <row r="448" ht="15" customHeight="1">
      <c r="A448" t="inlineStr">
        <is>
          <t>A 54494-2019</t>
        </is>
      </c>
      <c r="B448" s="1" t="n">
        <v>43747</v>
      </c>
      <c r="C448" s="1" t="n">
        <v>45734</v>
      </c>
      <c r="D448" t="inlineStr">
        <is>
          <t>JÄMTLANDS LÄN</t>
        </is>
      </c>
      <c r="E448" t="inlineStr">
        <is>
          <t>KROKOM</t>
        </is>
      </c>
      <c r="G448" t="n">
        <v>2.7</v>
      </c>
      <c r="H448" t="n">
        <v>0</v>
      </c>
      <c r="I448" t="n">
        <v>0</v>
      </c>
      <c r="J448" t="n">
        <v>0</v>
      </c>
      <c r="K448" t="n">
        <v>0</v>
      </c>
      <c r="L448" t="n">
        <v>0</v>
      </c>
      <c r="M448" t="n">
        <v>0</v>
      </c>
      <c r="N448" t="n">
        <v>0</v>
      </c>
      <c r="O448" t="n">
        <v>0</v>
      </c>
      <c r="P448" t="n">
        <v>0</v>
      </c>
      <c r="Q448" t="n">
        <v>0</v>
      </c>
      <c r="R448" s="2" t="inlineStr"/>
    </row>
    <row r="449" ht="15" customHeight="1">
      <c r="A449" t="inlineStr">
        <is>
          <t>A 53941-2019</t>
        </is>
      </c>
      <c r="B449" s="1" t="n">
        <v>43752</v>
      </c>
      <c r="C449" s="1" t="n">
        <v>45734</v>
      </c>
      <c r="D449" t="inlineStr">
        <is>
          <t>JÄMTLANDS LÄN</t>
        </is>
      </c>
      <c r="E449" t="inlineStr">
        <is>
          <t>KROKOM</t>
        </is>
      </c>
      <c r="G449" t="n">
        <v>2.6</v>
      </c>
      <c r="H449" t="n">
        <v>0</v>
      </c>
      <c r="I449" t="n">
        <v>0</v>
      </c>
      <c r="J449" t="n">
        <v>0</v>
      </c>
      <c r="K449" t="n">
        <v>0</v>
      </c>
      <c r="L449" t="n">
        <v>0</v>
      </c>
      <c r="M449" t="n">
        <v>0</v>
      </c>
      <c r="N449" t="n">
        <v>0</v>
      </c>
      <c r="O449" t="n">
        <v>0</v>
      </c>
      <c r="P449" t="n">
        <v>0</v>
      </c>
      <c r="Q449" t="n">
        <v>0</v>
      </c>
      <c r="R449" s="2" t="inlineStr"/>
    </row>
    <row r="450" ht="15" customHeight="1">
      <c r="A450" t="inlineStr">
        <is>
          <t>A 54013-2019</t>
        </is>
      </c>
      <c r="B450" s="1" t="n">
        <v>43752</v>
      </c>
      <c r="C450" s="1" t="n">
        <v>45734</v>
      </c>
      <c r="D450" t="inlineStr">
        <is>
          <t>JÄMTLANDS LÄN</t>
        </is>
      </c>
      <c r="E450" t="inlineStr">
        <is>
          <t>KROKOM</t>
        </is>
      </c>
      <c r="F450" t="inlineStr">
        <is>
          <t>Övriga Aktiebolag</t>
        </is>
      </c>
      <c r="G450" t="n">
        <v>32.6</v>
      </c>
      <c r="H450" t="n">
        <v>0</v>
      </c>
      <c r="I450" t="n">
        <v>0</v>
      </c>
      <c r="J450" t="n">
        <v>0</v>
      </c>
      <c r="K450" t="n">
        <v>0</v>
      </c>
      <c r="L450" t="n">
        <v>0</v>
      </c>
      <c r="M450" t="n">
        <v>0</v>
      </c>
      <c r="N450" t="n">
        <v>0</v>
      </c>
      <c r="O450" t="n">
        <v>0</v>
      </c>
      <c r="P450" t="n">
        <v>0</v>
      </c>
      <c r="Q450" t="n">
        <v>0</v>
      </c>
      <c r="R450" s="2" t="inlineStr"/>
    </row>
    <row r="451" ht="15" customHeight="1">
      <c r="A451" t="inlineStr">
        <is>
          <t>A 54045-2019</t>
        </is>
      </c>
      <c r="B451" s="1" t="n">
        <v>43752</v>
      </c>
      <c r="C451" s="1" t="n">
        <v>45734</v>
      </c>
      <c r="D451" t="inlineStr">
        <is>
          <t>JÄMTLANDS LÄN</t>
        </is>
      </c>
      <c r="E451" t="inlineStr">
        <is>
          <t>KROKOM</t>
        </is>
      </c>
      <c r="F451" t="inlineStr">
        <is>
          <t>Övriga Aktiebolag</t>
        </is>
      </c>
      <c r="G451" t="n">
        <v>15.2</v>
      </c>
      <c r="H451" t="n">
        <v>0</v>
      </c>
      <c r="I451" t="n">
        <v>0</v>
      </c>
      <c r="J451" t="n">
        <v>0</v>
      </c>
      <c r="K451" t="n">
        <v>0</v>
      </c>
      <c r="L451" t="n">
        <v>0</v>
      </c>
      <c r="M451" t="n">
        <v>0</v>
      </c>
      <c r="N451" t="n">
        <v>0</v>
      </c>
      <c r="O451" t="n">
        <v>0</v>
      </c>
      <c r="P451" t="n">
        <v>0</v>
      </c>
      <c r="Q451" t="n">
        <v>0</v>
      </c>
      <c r="R451" s="2" t="inlineStr"/>
    </row>
    <row r="452" ht="15" customHeight="1">
      <c r="A452" t="inlineStr">
        <is>
          <t>A 54820-2019</t>
        </is>
      </c>
      <c r="B452" s="1" t="n">
        <v>43755</v>
      </c>
      <c r="C452" s="1" t="n">
        <v>45734</v>
      </c>
      <c r="D452" t="inlineStr">
        <is>
          <t>JÄMTLANDS LÄN</t>
        </is>
      </c>
      <c r="E452" t="inlineStr">
        <is>
          <t>KROKOM</t>
        </is>
      </c>
      <c r="G452" t="n">
        <v>5.4</v>
      </c>
      <c r="H452" t="n">
        <v>0</v>
      </c>
      <c r="I452" t="n">
        <v>0</v>
      </c>
      <c r="J452" t="n">
        <v>0</v>
      </c>
      <c r="K452" t="n">
        <v>0</v>
      </c>
      <c r="L452" t="n">
        <v>0</v>
      </c>
      <c r="M452" t="n">
        <v>0</v>
      </c>
      <c r="N452" t="n">
        <v>0</v>
      </c>
      <c r="O452" t="n">
        <v>0</v>
      </c>
      <c r="P452" t="n">
        <v>0</v>
      </c>
      <c r="Q452" t="n">
        <v>0</v>
      </c>
      <c r="R452" s="2" t="inlineStr"/>
    </row>
    <row r="453" ht="15" customHeight="1">
      <c r="A453" t="inlineStr">
        <is>
          <t>A 55013-2019</t>
        </is>
      </c>
      <c r="B453" s="1" t="n">
        <v>43755</v>
      </c>
      <c r="C453" s="1" t="n">
        <v>45734</v>
      </c>
      <c r="D453" t="inlineStr">
        <is>
          <t>JÄMTLANDS LÄN</t>
        </is>
      </c>
      <c r="E453" t="inlineStr">
        <is>
          <t>KROKOM</t>
        </is>
      </c>
      <c r="G453" t="n">
        <v>4.5</v>
      </c>
      <c r="H453" t="n">
        <v>0</v>
      </c>
      <c r="I453" t="n">
        <v>0</v>
      </c>
      <c r="J453" t="n">
        <v>0</v>
      </c>
      <c r="K453" t="n">
        <v>0</v>
      </c>
      <c r="L453" t="n">
        <v>0</v>
      </c>
      <c r="M453" t="n">
        <v>0</v>
      </c>
      <c r="N453" t="n">
        <v>0</v>
      </c>
      <c r="O453" t="n">
        <v>0</v>
      </c>
      <c r="P453" t="n">
        <v>0</v>
      </c>
      <c r="Q453" t="n">
        <v>0</v>
      </c>
      <c r="R453" s="2" t="inlineStr"/>
    </row>
    <row r="454" ht="15" customHeight="1">
      <c r="A454" t="inlineStr">
        <is>
          <t>A 55804-2019</t>
        </is>
      </c>
      <c r="B454" s="1" t="n">
        <v>43759</v>
      </c>
      <c r="C454" s="1" t="n">
        <v>45734</v>
      </c>
      <c r="D454" t="inlineStr">
        <is>
          <t>JÄMTLANDS LÄN</t>
        </is>
      </c>
      <c r="E454" t="inlineStr">
        <is>
          <t>KROKOM</t>
        </is>
      </c>
      <c r="G454" t="n">
        <v>1.9</v>
      </c>
      <c r="H454" t="n">
        <v>0</v>
      </c>
      <c r="I454" t="n">
        <v>0</v>
      </c>
      <c r="J454" t="n">
        <v>0</v>
      </c>
      <c r="K454" t="n">
        <v>0</v>
      </c>
      <c r="L454" t="n">
        <v>0</v>
      </c>
      <c r="M454" t="n">
        <v>0</v>
      </c>
      <c r="N454" t="n">
        <v>0</v>
      </c>
      <c r="O454" t="n">
        <v>0</v>
      </c>
      <c r="P454" t="n">
        <v>0</v>
      </c>
      <c r="Q454" t="n">
        <v>0</v>
      </c>
      <c r="R454" s="2" t="inlineStr"/>
    </row>
    <row r="455" ht="15" customHeight="1">
      <c r="A455" t="inlineStr">
        <is>
          <t>A 56672-2019</t>
        </is>
      </c>
      <c r="B455" s="1" t="n">
        <v>43759</v>
      </c>
      <c r="C455" s="1" t="n">
        <v>45734</v>
      </c>
      <c r="D455" t="inlineStr">
        <is>
          <t>JÄMTLANDS LÄN</t>
        </is>
      </c>
      <c r="E455" t="inlineStr">
        <is>
          <t>KROKOM</t>
        </is>
      </c>
      <c r="G455" t="n">
        <v>0.4</v>
      </c>
      <c r="H455" t="n">
        <v>0</v>
      </c>
      <c r="I455" t="n">
        <v>0</v>
      </c>
      <c r="J455" t="n">
        <v>0</v>
      </c>
      <c r="K455" t="n">
        <v>0</v>
      </c>
      <c r="L455" t="n">
        <v>0</v>
      </c>
      <c r="M455" t="n">
        <v>0</v>
      </c>
      <c r="N455" t="n">
        <v>0</v>
      </c>
      <c r="O455" t="n">
        <v>0</v>
      </c>
      <c r="P455" t="n">
        <v>0</v>
      </c>
      <c r="Q455" t="n">
        <v>0</v>
      </c>
      <c r="R455" s="2" t="inlineStr"/>
    </row>
    <row r="456" ht="15" customHeight="1">
      <c r="A456" t="inlineStr">
        <is>
          <t>A 56321-2019</t>
        </is>
      </c>
      <c r="B456" s="1" t="n">
        <v>43762</v>
      </c>
      <c r="C456" s="1" t="n">
        <v>45734</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56397-2019</t>
        </is>
      </c>
      <c r="B457" s="1" t="n">
        <v>43762</v>
      </c>
      <c r="C457" s="1" t="n">
        <v>45734</v>
      </c>
      <c r="D457" t="inlineStr">
        <is>
          <t>JÄMTLANDS LÄN</t>
        </is>
      </c>
      <c r="E457" t="inlineStr">
        <is>
          <t>KROKOM</t>
        </is>
      </c>
      <c r="G457" t="n">
        <v>1.5</v>
      </c>
      <c r="H457" t="n">
        <v>0</v>
      </c>
      <c r="I457" t="n">
        <v>0</v>
      </c>
      <c r="J457" t="n">
        <v>0</v>
      </c>
      <c r="K457" t="n">
        <v>0</v>
      </c>
      <c r="L457" t="n">
        <v>0</v>
      </c>
      <c r="M457" t="n">
        <v>0</v>
      </c>
      <c r="N457" t="n">
        <v>0</v>
      </c>
      <c r="O457" t="n">
        <v>0</v>
      </c>
      <c r="P457" t="n">
        <v>0</v>
      </c>
      <c r="Q457" t="n">
        <v>0</v>
      </c>
      <c r="R457" s="2" t="inlineStr"/>
    </row>
    <row r="458" ht="15" customHeight="1">
      <c r="A458" t="inlineStr">
        <is>
          <t>A 56389-2019</t>
        </is>
      </c>
      <c r="B458" s="1" t="n">
        <v>43762</v>
      </c>
      <c r="C458" s="1" t="n">
        <v>45734</v>
      </c>
      <c r="D458" t="inlineStr">
        <is>
          <t>JÄMTLANDS LÄN</t>
        </is>
      </c>
      <c r="E458" t="inlineStr">
        <is>
          <t>KROKOM</t>
        </is>
      </c>
      <c r="G458" t="n">
        <v>2.4</v>
      </c>
      <c r="H458" t="n">
        <v>0</v>
      </c>
      <c r="I458" t="n">
        <v>0</v>
      </c>
      <c r="J458" t="n">
        <v>0</v>
      </c>
      <c r="K458" t="n">
        <v>0</v>
      </c>
      <c r="L458" t="n">
        <v>0</v>
      </c>
      <c r="M458" t="n">
        <v>0</v>
      </c>
      <c r="N458" t="n">
        <v>0</v>
      </c>
      <c r="O458" t="n">
        <v>0</v>
      </c>
      <c r="P458" t="n">
        <v>0</v>
      </c>
      <c r="Q458" t="n">
        <v>0</v>
      </c>
      <c r="R458" s="2" t="inlineStr"/>
    </row>
    <row r="459" ht="15" customHeight="1">
      <c r="A459" t="inlineStr">
        <is>
          <t>A 56320-2019</t>
        </is>
      </c>
      <c r="B459" s="1" t="n">
        <v>43762</v>
      </c>
      <c r="C459" s="1" t="n">
        <v>45734</v>
      </c>
      <c r="D459" t="inlineStr">
        <is>
          <t>JÄMTLANDS LÄN</t>
        </is>
      </c>
      <c r="E459" t="inlineStr">
        <is>
          <t>KROKOM</t>
        </is>
      </c>
      <c r="G459" t="n">
        <v>2.3</v>
      </c>
      <c r="H459" t="n">
        <v>0</v>
      </c>
      <c r="I459" t="n">
        <v>0</v>
      </c>
      <c r="J459" t="n">
        <v>0</v>
      </c>
      <c r="K459" t="n">
        <v>0</v>
      </c>
      <c r="L459" t="n">
        <v>0</v>
      </c>
      <c r="M459" t="n">
        <v>0</v>
      </c>
      <c r="N459" t="n">
        <v>0</v>
      </c>
      <c r="O459" t="n">
        <v>0</v>
      </c>
      <c r="P459" t="n">
        <v>0</v>
      </c>
      <c r="Q459" t="n">
        <v>0</v>
      </c>
      <c r="R459" s="2" t="inlineStr"/>
    </row>
    <row r="460" ht="15" customHeight="1">
      <c r="A460" t="inlineStr">
        <is>
          <t>A 56403-2019</t>
        </is>
      </c>
      <c r="B460" s="1" t="n">
        <v>43762</v>
      </c>
      <c r="C460" s="1" t="n">
        <v>45734</v>
      </c>
      <c r="D460" t="inlineStr">
        <is>
          <t>JÄMTLANDS LÄN</t>
        </is>
      </c>
      <c r="E460" t="inlineStr">
        <is>
          <t>KROKOM</t>
        </is>
      </c>
      <c r="G460" t="n">
        <v>2.5</v>
      </c>
      <c r="H460" t="n">
        <v>0</v>
      </c>
      <c r="I460" t="n">
        <v>0</v>
      </c>
      <c r="J460" t="n">
        <v>0</v>
      </c>
      <c r="K460" t="n">
        <v>0</v>
      </c>
      <c r="L460" t="n">
        <v>0</v>
      </c>
      <c r="M460" t="n">
        <v>0</v>
      </c>
      <c r="N460" t="n">
        <v>0</v>
      </c>
      <c r="O460" t="n">
        <v>0</v>
      </c>
      <c r="P460" t="n">
        <v>0</v>
      </c>
      <c r="Q460" t="n">
        <v>0</v>
      </c>
      <c r="R460" s="2" t="inlineStr"/>
    </row>
    <row r="461" ht="15" customHeight="1">
      <c r="A461" t="inlineStr">
        <is>
          <t>A 56510-2019</t>
        </is>
      </c>
      <c r="B461" s="1" t="n">
        <v>43762</v>
      </c>
      <c r="C461" s="1" t="n">
        <v>45734</v>
      </c>
      <c r="D461" t="inlineStr">
        <is>
          <t>JÄMTLANDS LÄN</t>
        </is>
      </c>
      <c r="E461" t="inlineStr">
        <is>
          <t>KROKOM</t>
        </is>
      </c>
      <c r="G461" t="n">
        <v>3.2</v>
      </c>
      <c r="H461" t="n">
        <v>0</v>
      </c>
      <c r="I461" t="n">
        <v>0</v>
      </c>
      <c r="J461" t="n">
        <v>0</v>
      </c>
      <c r="K461" t="n">
        <v>0</v>
      </c>
      <c r="L461" t="n">
        <v>0</v>
      </c>
      <c r="M461" t="n">
        <v>0</v>
      </c>
      <c r="N461" t="n">
        <v>0</v>
      </c>
      <c r="O461" t="n">
        <v>0</v>
      </c>
      <c r="P461" t="n">
        <v>0</v>
      </c>
      <c r="Q461" t="n">
        <v>0</v>
      </c>
      <c r="R461" s="2" t="inlineStr"/>
    </row>
    <row r="462" ht="15" customHeight="1">
      <c r="A462" t="inlineStr">
        <is>
          <t>A 56332-2019</t>
        </is>
      </c>
      <c r="B462" s="1" t="n">
        <v>43762</v>
      </c>
      <c r="C462" s="1" t="n">
        <v>45734</v>
      </c>
      <c r="D462" t="inlineStr">
        <is>
          <t>JÄMTLANDS LÄN</t>
        </is>
      </c>
      <c r="E462" t="inlineStr">
        <is>
          <t>KROKOM</t>
        </is>
      </c>
      <c r="G462" t="n">
        <v>2</v>
      </c>
      <c r="H462" t="n">
        <v>0</v>
      </c>
      <c r="I462" t="n">
        <v>0</v>
      </c>
      <c r="J462" t="n">
        <v>0</v>
      </c>
      <c r="K462" t="n">
        <v>0</v>
      </c>
      <c r="L462" t="n">
        <v>0</v>
      </c>
      <c r="M462" t="n">
        <v>0</v>
      </c>
      <c r="N462" t="n">
        <v>0</v>
      </c>
      <c r="O462" t="n">
        <v>0</v>
      </c>
      <c r="P462" t="n">
        <v>0</v>
      </c>
      <c r="Q462" t="n">
        <v>0</v>
      </c>
      <c r="R462" s="2" t="inlineStr"/>
    </row>
    <row r="463" ht="15" customHeight="1">
      <c r="A463" t="inlineStr">
        <is>
          <t>A 57796-2019</t>
        </is>
      </c>
      <c r="B463" s="1" t="n">
        <v>43762</v>
      </c>
      <c r="C463" s="1" t="n">
        <v>45734</v>
      </c>
      <c r="D463" t="inlineStr">
        <is>
          <t>JÄMTLANDS LÄN</t>
        </is>
      </c>
      <c r="E463" t="inlineStr">
        <is>
          <t>KROKOM</t>
        </is>
      </c>
      <c r="G463" t="n">
        <v>3.1</v>
      </c>
      <c r="H463" t="n">
        <v>0</v>
      </c>
      <c r="I463" t="n">
        <v>0</v>
      </c>
      <c r="J463" t="n">
        <v>0</v>
      </c>
      <c r="K463" t="n">
        <v>0</v>
      </c>
      <c r="L463" t="n">
        <v>0</v>
      </c>
      <c r="M463" t="n">
        <v>0</v>
      </c>
      <c r="N463" t="n">
        <v>0</v>
      </c>
      <c r="O463" t="n">
        <v>0</v>
      </c>
      <c r="P463" t="n">
        <v>0</v>
      </c>
      <c r="Q463" t="n">
        <v>0</v>
      </c>
      <c r="R463" s="2" t="inlineStr"/>
    </row>
    <row r="464" ht="15" customHeight="1">
      <c r="A464" t="inlineStr">
        <is>
          <t>A 56763-2019</t>
        </is>
      </c>
      <c r="B464" s="1" t="n">
        <v>43763</v>
      </c>
      <c r="C464" s="1" t="n">
        <v>45734</v>
      </c>
      <c r="D464" t="inlineStr">
        <is>
          <t>JÄMTLANDS LÄN</t>
        </is>
      </c>
      <c r="E464" t="inlineStr">
        <is>
          <t>KROKOM</t>
        </is>
      </c>
      <c r="F464" t="inlineStr">
        <is>
          <t>Övriga Aktiebolag</t>
        </is>
      </c>
      <c r="G464" t="n">
        <v>29.4</v>
      </c>
      <c r="H464" t="n">
        <v>0</v>
      </c>
      <c r="I464" t="n">
        <v>0</v>
      </c>
      <c r="J464" t="n">
        <v>0</v>
      </c>
      <c r="K464" t="n">
        <v>0</v>
      </c>
      <c r="L464" t="n">
        <v>0</v>
      </c>
      <c r="M464" t="n">
        <v>0</v>
      </c>
      <c r="N464" t="n">
        <v>0</v>
      </c>
      <c r="O464" t="n">
        <v>0</v>
      </c>
      <c r="P464" t="n">
        <v>0</v>
      </c>
      <c r="Q464" t="n">
        <v>0</v>
      </c>
      <c r="R464" s="2" t="inlineStr"/>
    </row>
    <row r="465" ht="15" customHeight="1">
      <c r="A465" t="inlineStr">
        <is>
          <t>A 57732-2019</t>
        </is>
      </c>
      <c r="B465" s="1" t="n">
        <v>43768</v>
      </c>
      <c r="C465" s="1" t="n">
        <v>45734</v>
      </c>
      <c r="D465" t="inlineStr">
        <is>
          <t>JÄMTLANDS LÄN</t>
        </is>
      </c>
      <c r="E465" t="inlineStr">
        <is>
          <t>KROKOM</t>
        </is>
      </c>
      <c r="G465" t="n">
        <v>4.1</v>
      </c>
      <c r="H465" t="n">
        <v>0</v>
      </c>
      <c r="I465" t="n">
        <v>0</v>
      </c>
      <c r="J465" t="n">
        <v>0</v>
      </c>
      <c r="K465" t="n">
        <v>0</v>
      </c>
      <c r="L465" t="n">
        <v>0</v>
      </c>
      <c r="M465" t="n">
        <v>0</v>
      </c>
      <c r="N465" t="n">
        <v>0</v>
      </c>
      <c r="O465" t="n">
        <v>0</v>
      </c>
      <c r="P465" t="n">
        <v>0</v>
      </c>
      <c r="Q465" t="n">
        <v>0</v>
      </c>
      <c r="R465" s="2" t="inlineStr"/>
    </row>
    <row r="466" ht="15" customHeight="1">
      <c r="A466" t="inlineStr">
        <is>
          <t>A 58235-2019</t>
        </is>
      </c>
      <c r="B466" s="1" t="n">
        <v>43770</v>
      </c>
      <c r="C466" s="1" t="n">
        <v>45734</v>
      </c>
      <c r="D466" t="inlineStr">
        <is>
          <t>JÄMTLANDS LÄN</t>
        </is>
      </c>
      <c r="E466" t="inlineStr">
        <is>
          <t>KROKOM</t>
        </is>
      </c>
      <c r="G466" t="n">
        <v>47.9</v>
      </c>
      <c r="H466" t="n">
        <v>0</v>
      </c>
      <c r="I466" t="n">
        <v>0</v>
      </c>
      <c r="J466" t="n">
        <v>0</v>
      </c>
      <c r="K466" t="n">
        <v>0</v>
      </c>
      <c r="L466" t="n">
        <v>0</v>
      </c>
      <c r="M466" t="n">
        <v>0</v>
      </c>
      <c r="N466" t="n">
        <v>0</v>
      </c>
      <c r="O466" t="n">
        <v>0</v>
      </c>
      <c r="P466" t="n">
        <v>0</v>
      </c>
      <c r="Q466" t="n">
        <v>0</v>
      </c>
      <c r="R466" s="2" t="inlineStr"/>
    </row>
    <row r="467" ht="15" customHeight="1">
      <c r="A467" t="inlineStr">
        <is>
          <t>A 58778-2019</t>
        </is>
      </c>
      <c r="B467" s="1" t="n">
        <v>43773</v>
      </c>
      <c r="C467" s="1" t="n">
        <v>45734</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59027-2019</t>
        </is>
      </c>
      <c r="B468" s="1" t="n">
        <v>43774</v>
      </c>
      <c r="C468" s="1" t="n">
        <v>45734</v>
      </c>
      <c r="D468" t="inlineStr">
        <is>
          <t>JÄMTLANDS LÄN</t>
        </is>
      </c>
      <c r="E468" t="inlineStr">
        <is>
          <t>KROKOM</t>
        </is>
      </c>
      <c r="F468" t="inlineStr">
        <is>
          <t>Övriga Aktiebolag</t>
        </is>
      </c>
      <c r="G468" t="n">
        <v>19.6</v>
      </c>
      <c r="H468" t="n">
        <v>0</v>
      </c>
      <c r="I468" t="n">
        <v>0</v>
      </c>
      <c r="J468" t="n">
        <v>0</v>
      </c>
      <c r="K468" t="n">
        <v>0</v>
      </c>
      <c r="L468" t="n">
        <v>0</v>
      </c>
      <c r="M468" t="n">
        <v>0</v>
      </c>
      <c r="N468" t="n">
        <v>0</v>
      </c>
      <c r="O468" t="n">
        <v>0</v>
      </c>
      <c r="P468" t="n">
        <v>0</v>
      </c>
      <c r="Q468" t="n">
        <v>0</v>
      </c>
      <c r="R468" s="2" t="inlineStr"/>
    </row>
    <row r="469" ht="15" customHeight="1">
      <c r="A469" t="inlineStr">
        <is>
          <t>A 59588-2019</t>
        </is>
      </c>
      <c r="B469" s="1" t="n">
        <v>43776</v>
      </c>
      <c r="C469" s="1" t="n">
        <v>45734</v>
      </c>
      <c r="D469" t="inlineStr">
        <is>
          <t>JÄMTLANDS LÄN</t>
        </is>
      </c>
      <c r="E469" t="inlineStr">
        <is>
          <t>KROKOM</t>
        </is>
      </c>
      <c r="F469" t="inlineStr">
        <is>
          <t>Övriga Aktiebolag</t>
        </is>
      </c>
      <c r="G469" t="n">
        <v>9</v>
      </c>
      <c r="H469" t="n">
        <v>0</v>
      </c>
      <c r="I469" t="n">
        <v>0</v>
      </c>
      <c r="J469" t="n">
        <v>0</v>
      </c>
      <c r="K469" t="n">
        <v>0</v>
      </c>
      <c r="L469" t="n">
        <v>0</v>
      </c>
      <c r="M469" t="n">
        <v>0</v>
      </c>
      <c r="N469" t="n">
        <v>0</v>
      </c>
      <c r="O469" t="n">
        <v>0</v>
      </c>
      <c r="P469" t="n">
        <v>0</v>
      </c>
      <c r="Q469" t="n">
        <v>0</v>
      </c>
      <c r="R469" s="2" t="inlineStr"/>
    </row>
    <row r="470" ht="15" customHeight="1">
      <c r="A470" t="inlineStr">
        <is>
          <t>A 59672-2019</t>
        </is>
      </c>
      <c r="B470" s="1" t="n">
        <v>43776</v>
      </c>
      <c r="C470" s="1" t="n">
        <v>45734</v>
      </c>
      <c r="D470" t="inlineStr">
        <is>
          <t>JÄMTLANDS LÄN</t>
        </is>
      </c>
      <c r="E470" t="inlineStr">
        <is>
          <t>KROKOM</t>
        </is>
      </c>
      <c r="F470" t="inlineStr">
        <is>
          <t>Övriga Aktiebolag</t>
        </is>
      </c>
      <c r="G470" t="n">
        <v>3.1</v>
      </c>
      <c r="H470" t="n">
        <v>0</v>
      </c>
      <c r="I470" t="n">
        <v>0</v>
      </c>
      <c r="J470" t="n">
        <v>0</v>
      </c>
      <c r="K470" t="n">
        <v>0</v>
      </c>
      <c r="L470" t="n">
        <v>0</v>
      </c>
      <c r="M470" t="n">
        <v>0</v>
      </c>
      <c r="N470" t="n">
        <v>0</v>
      </c>
      <c r="O470" t="n">
        <v>0</v>
      </c>
      <c r="P470" t="n">
        <v>0</v>
      </c>
      <c r="Q470" t="n">
        <v>0</v>
      </c>
      <c r="R470" s="2" t="inlineStr"/>
    </row>
    <row r="471" ht="15" customHeight="1">
      <c r="A471" t="inlineStr">
        <is>
          <t>A 60867-2019</t>
        </is>
      </c>
      <c r="B471" s="1" t="n">
        <v>43781</v>
      </c>
      <c r="C471" s="1" t="n">
        <v>45734</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61018-2019</t>
        </is>
      </c>
      <c r="B472" s="1" t="n">
        <v>43782</v>
      </c>
      <c r="C472" s="1" t="n">
        <v>45734</v>
      </c>
      <c r="D472" t="inlineStr">
        <is>
          <t>JÄMTLANDS LÄN</t>
        </is>
      </c>
      <c r="E472" t="inlineStr">
        <is>
          <t>KROKOM</t>
        </is>
      </c>
      <c r="F472" t="inlineStr">
        <is>
          <t>Övriga Aktiebolag</t>
        </is>
      </c>
      <c r="G472" t="n">
        <v>18.6</v>
      </c>
      <c r="H472" t="n">
        <v>0</v>
      </c>
      <c r="I472" t="n">
        <v>0</v>
      </c>
      <c r="J472" t="n">
        <v>0</v>
      </c>
      <c r="K472" t="n">
        <v>0</v>
      </c>
      <c r="L472" t="n">
        <v>0</v>
      </c>
      <c r="M472" t="n">
        <v>0</v>
      </c>
      <c r="N472" t="n">
        <v>0</v>
      </c>
      <c r="O472" t="n">
        <v>0</v>
      </c>
      <c r="P472" t="n">
        <v>0</v>
      </c>
      <c r="Q472" t="n">
        <v>0</v>
      </c>
      <c r="R472" s="2" t="inlineStr"/>
    </row>
    <row r="473" ht="15" customHeight="1">
      <c r="A473" t="inlineStr">
        <is>
          <t>A 61424-2019</t>
        </is>
      </c>
      <c r="B473" s="1" t="n">
        <v>43783</v>
      </c>
      <c r="C473" s="1" t="n">
        <v>45734</v>
      </c>
      <c r="D473" t="inlineStr">
        <is>
          <t>JÄMTLANDS LÄN</t>
        </is>
      </c>
      <c r="E473" t="inlineStr">
        <is>
          <t>KROKOM</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61472-2019</t>
        </is>
      </c>
      <c r="B474" s="1" t="n">
        <v>43783</v>
      </c>
      <c r="C474" s="1" t="n">
        <v>45734</v>
      </c>
      <c r="D474" t="inlineStr">
        <is>
          <t>JÄMTLANDS LÄN</t>
        </is>
      </c>
      <c r="E474" t="inlineStr">
        <is>
          <t>KROKOM</t>
        </is>
      </c>
      <c r="G474" t="n">
        <v>13.8</v>
      </c>
      <c r="H474" t="n">
        <v>0</v>
      </c>
      <c r="I474" t="n">
        <v>0</v>
      </c>
      <c r="J474" t="n">
        <v>0</v>
      </c>
      <c r="K474" t="n">
        <v>0</v>
      </c>
      <c r="L474" t="n">
        <v>0</v>
      </c>
      <c r="M474" t="n">
        <v>0</v>
      </c>
      <c r="N474" t="n">
        <v>0</v>
      </c>
      <c r="O474" t="n">
        <v>0</v>
      </c>
      <c r="P474" t="n">
        <v>0</v>
      </c>
      <c r="Q474" t="n">
        <v>0</v>
      </c>
      <c r="R474" s="2" t="inlineStr"/>
    </row>
    <row r="475" ht="15" customHeight="1">
      <c r="A475" t="inlineStr">
        <is>
          <t>A 62400-2019</t>
        </is>
      </c>
      <c r="B475" s="1" t="n">
        <v>43783</v>
      </c>
      <c r="C475" s="1" t="n">
        <v>45734</v>
      </c>
      <c r="D475" t="inlineStr">
        <is>
          <t>JÄMTLANDS LÄN</t>
        </is>
      </c>
      <c r="E475" t="inlineStr">
        <is>
          <t>KROKOM</t>
        </is>
      </c>
      <c r="G475" t="n">
        <v>6.4</v>
      </c>
      <c r="H475" t="n">
        <v>0</v>
      </c>
      <c r="I475" t="n">
        <v>0</v>
      </c>
      <c r="J475" t="n">
        <v>0</v>
      </c>
      <c r="K475" t="n">
        <v>0</v>
      </c>
      <c r="L475" t="n">
        <v>0</v>
      </c>
      <c r="M475" t="n">
        <v>0</v>
      </c>
      <c r="N475" t="n">
        <v>0</v>
      </c>
      <c r="O475" t="n">
        <v>0</v>
      </c>
      <c r="P475" t="n">
        <v>0</v>
      </c>
      <c r="Q475" t="n">
        <v>0</v>
      </c>
      <c r="R475" s="2" t="inlineStr"/>
    </row>
    <row r="476" ht="15" customHeight="1">
      <c r="A476" t="inlineStr">
        <is>
          <t>A 62927-2019</t>
        </is>
      </c>
      <c r="B476" s="1" t="n">
        <v>43784</v>
      </c>
      <c r="C476" s="1" t="n">
        <v>45734</v>
      </c>
      <c r="D476" t="inlineStr">
        <is>
          <t>JÄMTLANDS LÄN</t>
        </is>
      </c>
      <c r="E476" t="inlineStr">
        <is>
          <t>KROKOM</t>
        </is>
      </c>
      <c r="G476" t="n">
        <v>9</v>
      </c>
      <c r="H476" t="n">
        <v>0</v>
      </c>
      <c r="I476" t="n">
        <v>0</v>
      </c>
      <c r="J476" t="n">
        <v>0</v>
      </c>
      <c r="K476" t="n">
        <v>0</v>
      </c>
      <c r="L476" t="n">
        <v>0</v>
      </c>
      <c r="M476" t="n">
        <v>0</v>
      </c>
      <c r="N476" t="n">
        <v>0</v>
      </c>
      <c r="O476" t="n">
        <v>0</v>
      </c>
      <c r="P476" t="n">
        <v>0</v>
      </c>
      <c r="Q476" t="n">
        <v>0</v>
      </c>
      <c r="R476" s="2" t="inlineStr"/>
    </row>
    <row r="477" ht="15" customHeight="1">
      <c r="A477" t="inlineStr">
        <is>
          <t>A 62056-2019</t>
        </is>
      </c>
      <c r="B477" s="1" t="n">
        <v>43787</v>
      </c>
      <c r="C477" s="1" t="n">
        <v>45734</v>
      </c>
      <c r="D477" t="inlineStr">
        <is>
          <t>JÄMTLANDS LÄN</t>
        </is>
      </c>
      <c r="E477" t="inlineStr">
        <is>
          <t>KROKOM</t>
        </is>
      </c>
      <c r="G477" t="n">
        <v>0.6</v>
      </c>
      <c r="H477" t="n">
        <v>0</v>
      </c>
      <c r="I477" t="n">
        <v>0</v>
      </c>
      <c r="J477" t="n">
        <v>0</v>
      </c>
      <c r="K477" t="n">
        <v>0</v>
      </c>
      <c r="L477" t="n">
        <v>0</v>
      </c>
      <c r="M477" t="n">
        <v>0</v>
      </c>
      <c r="N477" t="n">
        <v>0</v>
      </c>
      <c r="O477" t="n">
        <v>0</v>
      </c>
      <c r="P477" t="n">
        <v>0</v>
      </c>
      <c r="Q477" t="n">
        <v>0</v>
      </c>
      <c r="R477" s="2" t="inlineStr"/>
    </row>
    <row r="478" ht="15" customHeight="1">
      <c r="A478" t="inlineStr">
        <is>
          <t>A 62110-2019</t>
        </is>
      </c>
      <c r="B478" s="1" t="n">
        <v>43787</v>
      </c>
      <c r="C478" s="1" t="n">
        <v>45734</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62194-2019</t>
        </is>
      </c>
      <c r="B479" s="1" t="n">
        <v>43787</v>
      </c>
      <c r="C479" s="1" t="n">
        <v>45734</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62187-2019</t>
        </is>
      </c>
      <c r="B480" s="1" t="n">
        <v>43787</v>
      </c>
      <c r="C480" s="1" t="n">
        <v>45734</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62656-2019</t>
        </is>
      </c>
      <c r="B481" s="1" t="n">
        <v>43789</v>
      </c>
      <c r="C481" s="1" t="n">
        <v>45734</v>
      </c>
      <c r="D481" t="inlineStr">
        <is>
          <t>JÄMTLANDS LÄN</t>
        </is>
      </c>
      <c r="E481" t="inlineStr">
        <is>
          <t>KROKOM</t>
        </is>
      </c>
      <c r="F481" t="inlineStr">
        <is>
          <t>Övriga Aktiebolag</t>
        </is>
      </c>
      <c r="G481" t="n">
        <v>58.5</v>
      </c>
      <c r="H481" t="n">
        <v>0</v>
      </c>
      <c r="I481" t="n">
        <v>0</v>
      </c>
      <c r="J481" t="n">
        <v>0</v>
      </c>
      <c r="K481" t="n">
        <v>0</v>
      </c>
      <c r="L481" t="n">
        <v>0</v>
      </c>
      <c r="M481" t="n">
        <v>0</v>
      </c>
      <c r="N481" t="n">
        <v>0</v>
      </c>
      <c r="O481" t="n">
        <v>0</v>
      </c>
      <c r="P481" t="n">
        <v>0</v>
      </c>
      <c r="Q481" t="n">
        <v>0</v>
      </c>
      <c r="R481" s="2" t="inlineStr"/>
    </row>
    <row r="482" ht="15" customHeight="1">
      <c r="A482" t="inlineStr">
        <is>
          <t>A 62568-2019</t>
        </is>
      </c>
      <c r="B482" s="1" t="n">
        <v>43789</v>
      </c>
      <c r="C482" s="1" t="n">
        <v>45734</v>
      </c>
      <c r="D482" t="inlineStr">
        <is>
          <t>JÄMTLANDS LÄN</t>
        </is>
      </c>
      <c r="E482" t="inlineStr">
        <is>
          <t>KROKOM</t>
        </is>
      </c>
      <c r="F482" t="inlineStr">
        <is>
          <t>Övriga Aktiebolag</t>
        </is>
      </c>
      <c r="G482" t="n">
        <v>1.7</v>
      </c>
      <c r="H482" t="n">
        <v>0</v>
      </c>
      <c r="I482" t="n">
        <v>0</v>
      </c>
      <c r="J482" t="n">
        <v>0</v>
      </c>
      <c r="K482" t="n">
        <v>0</v>
      </c>
      <c r="L482" t="n">
        <v>0</v>
      </c>
      <c r="M482" t="n">
        <v>0</v>
      </c>
      <c r="N482" t="n">
        <v>0</v>
      </c>
      <c r="O482" t="n">
        <v>0</v>
      </c>
      <c r="P482" t="n">
        <v>0</v>
      </c>
      <c r="Q482" t="n">
        <v>0</v>
      </c>
      <c r="R482" s="2" t="inlineStr"/>
    </row>
    <row r="483" ht="15" customHeight="1">
      <c r="A483" t="inlineStr">
        <is>
          <t>A 62864-2019</t>
        </is>
      </c>
      <c r="B483" s="1" t="n">
        <v>43790</v>
      </c>
      <c r="C483" s="1" t="n">
        <v>45734</v>
      </c>
      <c r="D483" t="inlineStr">
        <is>
          <t>JÄMTLANDS LÄN</t>
        </is>
      </c>
      <c r="E483" t="inlineStr">
        <is>
          <t>KROKOM</t>
        </is>
      </c>
      <c r="G483" t="n">
        <v>1.3</v>
      </c>
      <c r="H483" t="n">
        <v>0</v>
      </c>
      <c r="I483" t="n">
        <v>0</v>
      </c>
      <c r="J483" t="n">
        <v>0</v>
      </c>
      <c r="K483" t="n">
        <v>0</v>
      </c>
      <c r="L483" t="n">
        <v>0</v>
      </c>
      <c r="M483" t="n">
        <v>0</v>
      </c>
      <c r="N483" t="n">
        <v>0</v>
      </c>
      <c r="O483" t="n">
        <v>0</v>
      </c>
      <c r="P483" t="n">
        <v>0</v>
      </c>
      <c r="Q483" t="n">
        <v>0</v>
      </c>
      <c r="R483" s="2" t="inlineStr"/>
    </row>
    <row r="484" ht="15" customHeight="1">
      <c r="A484" t="inlineStr">
        <is>
          <t>A 63987-2019</t>
        </is>
      </c>
      <c r="B484" s="1" t="n">
        <v>43791</v>
      </c>
      <c r="C484" s="1" t="n">
        <v>45734</v>
      </c>
      <c r="D484" t="inlineStr">
        <is>
          <t>JÄMTLANDS LÄN</t>
        </is>
      </c>
      <c r="E484" t="inlineStr">
        <is>
          <t>KROKOM</t>
        </is>
      </c>
      <c r="G484" t="n">
        <v>2</v>
      </c>
      <c r="H484" t="n">
        <v>0</v>
      </c>
      <c r="I484" t="n">
        <v>0</v>
      </c>
      <c r="J484" t="n">
        <v>0</v>
      </c>
      <c r="K484" t="n">
        <v>0</v>
      </c>
      <c r="L484" t="n">
        <v>0</v>
      </c>
      <c r="M484" t="n">
        <v>0</v>
      </c>
      <c r="N484" t="n">
        <v>0</v>
      </c>
      <c r="O484" t="n">
        <v>0</v>
      </c>
      <c r="P484" t="n">
        <v>0</v>
      </c>
      <c r="Q484" t="n">
        <v>0</v>
      </c>
      <c r="R484" s="2" t="inlineStr"/>
    </row>
    <row r="485" ht="15" customHeight="1">
      <c r="A485" t="inlineStr">
        <is>
          <t>A 63338-2019</t>
        </is>
      </c>
      <c r="B485" s="1" t="n">
        <v>43794</v>
      </c>
      <c r="C485" s="1" t="n">
        <v>45734</v>
      </c>
      <c r="D485" t="inlineStr">
        <is>
          <t>JÄMTLANDS LÄN</t>
        </is>
      </c>
      <c r="E485" t="inlineStr">
        <is>
          <t>KROKOM</t>
        </is>
      </c>
      <c r="F485" t="inlineStr">
        <is>
          <t>Övriga Aktiebolag</t>
        </is>
      </c>
      <c r="G485" t="n">
        <v>3.5</v>
      </c>
      <c r="H485" t="n">
        <v>0</v>
      </c>
      <c r="I485" t="n">
        <v>0</v>
      </c>
      <c r="J485" t="n">
        <v>0</v>
      </c>
      <c r="K485" t="n">
        <v>0</v>
      </c>
      <c r="L485" t="n">
        <v>0</v>
      </c>
      <c r="M485" t="n">
        <v>0</v>
      </c>
      <c r="N485" t="n">
        <v>0</v>
      </c>
      <c r="O485" t="n">
        <v>0</v>
      </c>
      <c r="P485" t="n">
        <v>0</v>
      </c>
      <c r="Q485" t="n">
        <v>0</v>
      </c>
      <c r="R485" s="2" t="inlineStr"/>
    </row>
    <row r="486" ht="15" customHeight="1">
      <c r="A486" t="inlineStr">
        <is>
          <t>A 63345-2019</t>
        </is>
      </c>
      <c r="B486" s="1" t="n">
        <v>43794</v>
      </c>
      <c r="C486" s="1" t="n">
        <v>45734</v>
      </c>
      <c r="D486" t="inlineStr">
        <is>
          <t>JÄMTLANDS LÄN</t>
        </is>
      </c>
      <c r="E486" t="inlineStr">
        <is>
          <t>KROKOM</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65065-2019</t>
        </is>
      </c>
      <c r="B487" s="1" t="n">
        <v>43801</v>
      </c>
      <c r="C487" s="1" t="n">
        <v>45734</v>
      </c>
      <c r="D487" t="inlineStr">
        <is>
          <t>JÄMTLANDS LÄN</t>
        </is>
      </c>
      <c r="E487" t="inlineStr">
        <is>
          <t>KROKOM</t>
        </is>
      </c>
      <c r="F487" t="inlineStr">
        <is>
          <t>Övriga Aktiebolag</t>
        </is>
      </c>
      <c r="G487" t="n">
        <v>30.7</v>
      </c>
      <c r="H487" t="n">
        <v>0</v>
      </c>
      <c r="I487" t="n">
        <v>0</v>
      </c>
      <c r="J487" t="n">
        <v>0</v>
      </c>
      <c r="K487" t="n">
        <v>0</v>
      </c>
      <c r="L487" t="n">
        <v>0</v>
      </c>
      <c r="M487" t="n">
        <v>0</v>
      </c>
      <c r="N487" t="n">
        <v>0</v>
      </c>
      <c r="O487" t="n">
        <v>0</v>
      </c>
      <c r="P487" t="n">
        <v>0</v>
      </c>
      <c r="Q487" t="n">
        <v>0</v>
      </c>
      <c r="R487" s="2" t="inlineStr"/>
    </row>
    <row r="488" ht="15" customHeight="1">
      <c r="A488" t="inlineStr">
        <is>
          <t>A 65323-2019</t>
        </is>
      </c>
      <c r="B488" s="1" t="n">
        <v>43802</v>
      </c>
      <c r="C488" s="1" t="n">
        <v>45734</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65322-2019</t>
        </is>
      </c>
      <c r="B489" s="1" t="n">
        <v>43802</v>
      </c>
      <c r="C489" s="1" t="n">
        <v>45734</v>
      </c>
      <c r="D489" t="inlineStr">
        <is>
          <t>JÄMTLANDS LÄN</t>
        </is>
      </c>
      <c r="E489" t="inlineStr">
        <is>
          <t>KROKOM</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65786-2019</t>
        </is>
      </c>
      <c r="B490" s="1" t="n">
        <v>43804</v>
      </c>
      <c r="C490" s="1" t="n">
        <v>45734</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65780-2019</t>
        </is>
      </c>
      <c r="B491" s="1" t="n">
        <v>43804</v>
      </c>
      <c r="C491" s="1" t="n">
        <v>45734</v>
      </c>
      <c r="D491" t="inlineStr">
        <is>
          <t>JÄMTLANDS LÄN</t>
        </is>
      </c>
      <c r="E491" t="inlineStr">
        <is>
          <t>KROKOM</t>
        </is>
      </c>
      <c r="G491" t="n">
        <v>0.2</v>
      </c>
      <c r="H491" t="n">
        <v>0</v>
      </c>
      <c r="I491" t="n">
        <v>0</v>
      </c>
      <c r="J491" t="n">
        <v>0</v>
      </c>
      <c r="K491" t="n">
        <v>0</v>
      </c>
      <c r="L491" t="n">
        <v>0</v>
      </c>
      <c r="M491" t="n">
        <v>0</v>
      </c>
      <c r="N491" t="n">
        <v>0</v>
      </c>
      <c r="O491" t="n">
        <v>0</v>
      </c>
      <c r="P491" t="n">
        <v>0</v>
      </c>
      <c r="Q491" t="n">
        <v>0</v>
      </c>
      <c r="R491" s="2" t="inlineStr"/>
    </row>
    <row r="492" ht="15" customHeight="1">
      <c r="A492" t="inlineStr">
        <is>
          <t>A 66051-2019</t>
        </is>
      </c>
      <c r="B492" s="1" t="n">
        <v>43805</v>
      </c>
      <c r="C492" s="1" t="n">
        <v>45734</v>
      </c>
      <c r="D492" t="inlineStr">
        <is>
          <t>JÄMTLANDS LÄN</t>
        </is>
      </c>
      <c r="E492" t="inlineStr">
        <is>
          <t>KROKOM</t>
        </is>
      </c>
      <c r="G492" t="n">
        <v>12.1</v>
      </c>
      <c r="H492" t="n">
        <v>0</v>
      </c>
      <c r="I492" t="n">
        <v>0</v>
      </c>
      <c r="J492" t="n">
        <v>0</v>
      </c>
      <c r="K492" t="n">
        <v>0</v>
      </c>
      <c r="L492" t="n">
        <v>0</v>
      </c>
      <c r="M492" t="n">
        <v>0</v>
      </c>
      <c r="N492" t="n">
        <v>0</v>
      </c>
      <c r="O492" t="n">
        <v>0</v>
      </c>
      <c r="P492" t="n">
        <v>0</v>
      </c>
      <c r="Q492" t="n">
        <v>0</v>
      </c>
      <c r="R492" s="2" t="inlineStr"/>
    </row>
    <row r="493" ht="15" customHeight="1">
      <c r="A493" t="inlineStr">
        <is>
          <t>A 66444-2019</t>
        </is>
      </c>
      <c r="B493" s="1" t="n">
        <v>43809</v>
      </c>
      <c r="C493" s="1" t="n">
        <v>45734</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67323-2019</t>
        </is>
      </c>
      <c r="B494" s="1" t="n">
        <v>43810</v>
      </c>
      <c r="C494" s="1" t="n">
        <v>45734</v>
      </c>
      <c r="D494" t="inlineStr">
        <is>
          <t>JÄMTLANDS LÄN</t>
        </is>
      </c>
      <c r="E494" t="inlineStr">
        <is>
          <t>KROKOM</t>
        </is>
      </c>
      <c r="G494" t="n">
        <v>4.3</v>
      </c>
      <c r="H494" t="n">
        <v>0</v>
      </c>
      <c r="I494" t="n">
        <v>0</v>
      </c>
      <c r="J494" t="n">
        <v>0</v>
      </c>
      <c r="K494" t="n">
        <v>0</v>
      </c>
      <c r="L494" t="n">
        <v>0</v>
      </c>
      <c r="M494" t="n">
        <v>0</v>
      </c>
      <c r="N494" t="n">
        <v>0</v>
      </c>
      <c r="O494" t="n">
        <v>0</v>
      </c>
      <c r="P494" t="n">
        <v>0</v>
      </c>
      <c r="Q494" t="n">
        <v>0</v>
      </c>
      <c r="R494" s="2" t="inlineStr"/>
    </row>
    <row r="495" ht="15" customHeight="1">
      <c r="A495" t="inlineStr">
        <is>
          <t>A 67098-2019</t>
        </is>
      </c>
      <c r="B495" s="1" t="n">
        <v>43811</v>
      </c>
      <c r="C495" s="1" t="n">
        <v>45734</v>
      </c>
      <c r="D495" t="inlineStr">
        <is>
          <t>JÄMTLANDS LÄN</t>
        </is>
      </c>
      <c r="E495" t="inlineStr">
        <is>
          <t>KROKOM</t>
        </is>
      </c>
      <c r="F495" t="inlineStr">
        <is>
          <t>Övriga Aktiebolag</t>
        </is>
      </c>
      <c r="G495" t="n">
        <v>0.4</v>
      </c>
      <c r="H495" t="n">
        <v>0</v>
      </c>
      <c r="I495" t="n">
        <v>0</v>
      </c>
      <c r="J495" t="n">
        <v>0</v>
      </c>
      <c r="K495" t="n">
        <v>0</v>
      </c>
      <c r="L495" t="n">
        <v>0</v>
      </c>
      <c r="M495" t="n">
        <v>0</v>
      </c>
      <c r="N495" t="n">
        <v>0</v>
      </c>
      <c r="O495" t="n">
        <v>0</v>
      </c>
      <c r="P495" t="n">
        <v>0</v>
      </c>
      <c r="Q495" t="n">
        <v>0</v>
      </c>
      <c r="R495" s="2" t="inlineStr"/>
    </row>
    <row r="496" ht="15" customHeight="1">
      <c r="A496" t="inlineStr">
        <is>
          <t>A 67102-2019</t>
        </is>
      </c>
      <c r="B496" s="1" t="n">
        <v>43811</v>
      </c>
      <c r="C496" s="1" t="n">
        <v>45734</v>
      </c>
      <c r="D496" t="inlineStr">
        <is>
          <t>JÄMTLANDS LÄN</t>
        </is>
      </c>
      <c r="E496" t="inlineStr">
        <is>
          <t>KROKOM</t>
        </is>
      </c>
      <c r="F496" t="inlineStr">
        <is>
          <t>Övriga Aktiebolag</t>
        </is>
      </c>
      <c r="G496" t="n">
        <v>0.5</v>
      </c>
      <c r="H496" t="n">
        <v>0</v>
      </c>
      <c r="I496" t="n">
        <v>0</v>
      </c>
      <c r="J496" t="n">
        <v>0</v>
      </c>
      <c r="K496" t="n">
        <v>0</v>
      </c>
      <c r="L496" t="n">
        <v>0</v>
      </c>
      <c r="M496" t="n">
        <v>0</v>
      </c>
      <c r="N496" t="n">
        <v>0</v>
      </c>
      <c r="O496" t="n">
        <v>0</v>
      </c>
      <c r="P496" t="n">
        <v>0</v>
      </c>
      <c r="Q496" t="n">
        <v>0</v>
      </c>
      <c r="R496" s="2" t="inlineStr"/>
    </row>
    <row r="497" ht="15" customHeight="1">
      <c r="A497" t="inlineStr">
        <is>
          <t>A 67071-2019</t>
        </is>
      </c>
      <c r="B497" s="1" t="n">
        <v>43811</v>
      </c>
      <c r="C497" s="1" t="n">
        <v>45734</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67081-2019</t>
        </is>
      </c>
      <c r="B498" s="1" t="n">
        <v>43811</v>
      </c>
      <c r="C498" s="1" t="n">
        <v>45734</v>
      </c>
      <c r="D498" t="inlineStr">
        <is>
          <t>JÄMTLANDS LÄN</t>
        </is>
      </c>
      <c r="E498" t="inlineStr">
        <is>
          <t>KROKOM</t>
        </is>
      </c>
      <c r="F498" t="inlineStr">
        <is>
          <t>Övriga Aktiebolag</t>
        </is>
      </c>
      <c r="G498" t="n">
        <v>0.3</v>
      </c>
      <c r="H498" t="n">
        <v>0</v>
      </c>
      <c r="I498" t="n">
        <v>0</v>
      </c>
      <c r="J498" t="n">
        <v>0</v>
      </c>
      <c r="K498" t="n">
        <v>0</v>
      </c>
      <c r="L498" t="n">
        <v>0</v>
      </c>
      <c r="M498" t="n">
        <v>0</v>
      </c>
      <c r="N498" t="n">
        <v>0</v>
      </c>
      <c r="O498" t="n">
        <v>0</v>
      </c>
      <c r="P498" t="n">
        <v>0</v>
      </c>
      <c r="Q498" t="n">
        <v>0</v>
      </c>
      <c r="R498" s="2" t="inlineStr"/>
    </row>
    <row r="499" ht="15" customHeight="1">
      <c r="A499" t="inlineStr">
        <is>
          <t>A 68480-2019</t>
        </is>
      </c>
      <c r="B499" s="1" t="n">
        <v>43811</v>
      </c>
      <c r="C499" s="1" t="n">
        <v>45734</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68081-2019</t>
        </is>
      </c>
      <c r="B500" s="1" t="n">
        <v>43816</v>
      </c>
      <c r="C500" s="1" t="n">
        <v>45734</v>
      </c>
      <c r="D500" t="inlineStr">
        <is>
          <t>JÄMTLANDS LÄN</t>
        </is>
      </c>
      <c r="E500" t="inlineStr">
        <is>
          <t>KROKOM</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908-2020</t>
        </is>
      </c>
      <c r="B501" s="1" t="n">
        <v>43818</v>
      </c>
      <c r="C501" s="1" t="n">
        <v>45734</v>
      </c>
      <c r="D501" t="inlineStr">
        <is>
          <t>JÄMTLANDS LÄN</t>
        </is>
      </c>
      <c r="E501" t="inlineStr">
        <is>
          <t>KROKOM</t>
        </is>
      </c>
      <c r="G501" t="n">
        <v>5.8</v>
      </c>
      <c r="H501" t="n">
        <v>0</v>
      </c>
      <c r="I501" t="n">
        <v>0</v>
      </c>
      <c r="J501" t="n">
        <v>0</v>
      </c>
      <c r="K501" t="n">
        <v>0</v>
      </c>
      <c r="L501" t="n">
        <v>0</v>
      </c>
      <c r="M501" t="n">
        <v>0</v>
      </c>
      <c r="N501" t="n">
        <v>0</v>
      </c>
      <c r="O501" t="n">
        <v>0</v>
      </c>
      <c r="P501" t="n">
        <v>0</v>
      </c>
      <c r="Q501" t="n">
        <v>0</v>
      </c>
      <c r="R501" s="2" t="inlineStr"/>
    </row>
    <row r="502" ht="15" customHeight="1">
      <c r="A502" t="inlineStr">
        <is>
          <t>A 911-2020</t>
        </is>
      </c>
      <c r="B502" s="1" t="n">
        <v>43818</v>
      </c>
      <c r="C502" s="1" t="n">
        <v>45734</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69010-2019</t>
        </is>
      </c>
      <c r="B503" s="1" t="n">
        <v>43826</v>
      </c>
      <c r="C503" s="1" t="n">
        <v>45734</v>
      </c>
      <c r="D503" t="inlineStr">
        <is>
          <t>JÄMTLANDS LÄN</t>
        </is>
      </c>
      <c r="E503" t="inlineStr">
        <is>
          <t>KROKOM</t>
        </is>
      </c>
      <c r="G503" t="n">
        <v>4.7</v>
      </c>
      <c r="H503" t="n">
        <v>0</v>
      </c>
      <c r="I503" t="n">
        <v>0</v>
      </c>
      <c r="J503" t="n">
        <v>0</v>
      </c>
      <c r="K503" t="n">
        <v>0</v>
      </c>
      <c r="L503" t="n">
        <v>0</v>
      </c>
      <c r="M503" t="n">
        <v>0</v>
      </c>
      <c r="N503" t="n">
        <v>0</v>
      </c>
      <c r="O503" t="n">
        <v>0</v>
      </c>
      <c r="P503" t="n">
        <v>0</v>
      </c>
      <c r="Q503" t="n">
        <v>0</v>
      </c>
      <c r="R503" s="2" t="inlineStr"/>
    </row>
    <row r="504" ht="15" customHeight="1">
      <c r="A504" t="inlineStr">
        <is>
          <t>A 68996-2019</t>
        </is>
      </c>
      <c r="B504" s="1" t="n">
        <v>43826</v>
      </c>
      <c r="C504" s="1" t="n">
        <v>45734</v>
      </c>
      <c r="D504" t="inlineStr">
        <is>
          <t>JÄMTLANDS LÄN</t>
        </is>
      </c>
      <c r="E504" t="inlineStr">
        <is>
          <t>KROKOM</t>
        </is>
      </c>
      <c r="G504" t="n">
        <v>5</v>
      </c>
      <c r="H504" t="n">
        <v>0</v>
      </c>
      <c r="I504" t="n">
        <v>0</v>
      </c>
      <c r="J504" t="n">
        <v>0</v>
      </c>
      <c r="K504" t="n">
        <v>0</v>
      </c>
      <c r="L504" t="n">
        <v>0</v>
      </c>
      <c r="M504" t="n">
        <v>0</v>
      </c>
      <c r="N504" t="n">
        <v>0</v>
      </c>
      <c r="O504" t="n">
        <v>0</v>
      </c>
      <c r="P504" t="n">
        <v>0</v>
      </c>
      <c r="Q504" t="n">
        <v>0</v>
      </c>
      <c r="R504" s="2" t="inlineStr"/>
    </row>
    <row r="505" ht="15" customHeight="1">
      <c r="A505" t="inlineStr">
        <is>
          <t>A 12-2020</t>
        </is>
      </c>
      <c r="B505" s="1" t="n">
        <v>43831</v>
      </c>
      <c r="C505" s="1" t="n">
        <v>45734</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327-2020</t>
        </is>
      </c>
      <c r="B506" s="1" t="n">
        <v>43837</v>
      </c>
      <c r="C506" s="1" t="n">
        <v>45734</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735-2020</t>
        </is>
      </c>
      <c r="B507" s="1" t="n">
        <v>43838</v>
      </c>
      <c r="C507" s="1" t="n">
        <v>45734</v>
      </c>
      <c r="D507" t="inlineStr">
        <is>
          <t>JÄMTLANDS LÄN</t>
        </is>
      </c>
      <c r="E507" t="inlineStr">
        <is>
          <t>KROKOM</t>
        </is>
      </c>
      <c r="G507" t="n">
        <v>4.5</v>
      </c>
      <c r="H507" t="n">
        <v>0</v>
      </c>
      <c r="I507" t="n">
        <v>0</v>
      </c>
      <c r="J507" t="n">
        <v>0</v>
      </c>
      <c r="K507" t="n">
        <v>0</v>
      </c>
      <c r="L507" t="n">
        <v>0</v>
      </c>
      <c r="M507" t="n">
        <v>0</v>
      </c>
      <c r="N507" t="n">
        <v>0</v>
      </c>
      <c r="O507" t="n">
        <v>0</v>
      </c>
      <c r="P507" t="n">
        <v>0</v>
      </c>
      <c r="Q507" t="n">
        <v>0</v>
      </c>
      <c r="R507" s="2" t="inlineStr"/>
    </row>
    <row r="508" ht="15" customHeight="1">
      <c r="A508" t="inlineStr">
        <is>
          <t>A 4599-2020</t>
        </is>
      </c>
      <c r="B508" s="1" t="n">
        <v>43858</v>
      </c>
      <c r="C508" s="1" t="n">
        <v>45734</v>
      </c>
      <c r="D508" t="inlineStr">
        <is>
          <t>JÄMTLANDS LÄN</t>
        </is>
      </c>
      <c r="E508" t="inlineStr">
        <is>
          <t>KROKOM</t>
        </is>
      </c>
      <c r="G508" t="n">
        <v>32.1</v>
      </c>
      <c r="H508" t="n">
        <v>0</v>
      </c>
      <c r="I508" t="n">
        <v>0</v>
      </c>
      <c r="J508" t="n">
        <v>0</v>
      </c>
      <c r="K508" t="n">
        <v>0</v>
      </c>
      <c r="L508" t="n">
        <v>0</v>
      </c>
      <c r="M508" t="n">
        <v>0</v>
      </c>
      <c r="N508" t="n">
        <v>0</v>
      </c>
      <c r="O508" t="n">
        <v>0</v>
      </c>
      <c r="P508" t="n">
        <v>0</v>
      </c>
      <c r="Q508" t="n">
        <v>0</v>
      </c>
      <c r="R508" s="2" t="inlineStr"/>
    </row>
    <row r="509" ht="15" customHeight="1">
      <c r="A509" t="inlineStr">
        <is>
          <t>A 4762-2020</t>
        </is>
      </c>
      <c r="B509" s="1" t="n">
        <v>43859</v>
      </c>
      <c r="C509" s="1" t="n">
        <v>45734</v>
      </c>
      <c r="D509" t="inlineStr">
        <is>
          <t>JÄMTLANDS LÄN</t>
        </is>
      </c>
      <c r="E509" t="inlineStr">
        <is>
          <t>KROKOM</t>
        </is>
      </c>
      <c r="G509" t="n">
        <v>2.2</v>
      </c>
      <c r="H509" t="n">
        <v>0</v>
      </c>
      <c r="I509" t="n">
        <v>0</v>
      </c>
      <c r="J509" t="n">
        <v>0</v>
      </c>
      <c r="K509" t="n">
        <v>0</v>
      </c>
      <c r="L509" t="n">
        <v>0</v>
      </c>
      <c r="M509" t="n">
        <v>0</v>
      </c>
      <c r="N509" t="n">
        <v>0</v>
      </c>
      <c r="O509" t="n">
        <v>0</v>
      </c>
      <c r="P509" t="n">
        <v>0</v>
      </c>
      <c r="Q509" t="n">
        <v>0</v>
      </c>
      <c r="R509" s="2" t="inlineStr"/>
    </row>
    <row r="510" ht="15" customHeight="1">
      <c r="A510" t="inlineStr">
        <is>
          <t>A 5337-2020</t>
        </is>
      </c>
      <c r="B510" s="1" t="n">
        <v>43860</v>
      </c>
      <c r="C510" s="1" t="n">
        <v>45734</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8110-2020</t>
        </is>
      </c>
      <c r="B511" s="1" t="n">
        <v>43874</v>
      </c>
      <c r="C511" s="1" t="n">
        <v>45734</v>
      </c>
      <c r="D511" t="inlineStr">
        <is>
          <t>JÄMTLANDS LÄN</t>
        </is>
      </c>
      <c r="E511" t="inlineStr">
        <is>
          <t>KROKOM</t>
        </is>
      </c>
      <c r="G511" t="n">
        <v>3</v>
      </c>
      <c r="H511" t="n">
        <v>0</v>
      </c>
      <c r="I511" t="n">
        <v>0</v>
      </c>
      <c r="J511" t="n">
        <v>0</v>
      </c>
      <c r="K511" t="n">
        <v>0</v>
      </c>
      <c r="L511" t="n">
        <v>0</v>
      </c>
      <c r="M511" t="n">
        <v>0</v>
      </c>
      <c r="N511" t="n">
        <v>0</v>
      </c>
      <c r="O511" t="n">
        <v>0</v>
      </c>
      <c r="P511" t="n">
        <v>0</v>
      </c>
      <c r="Q511" t="n">
        <v>0</v>
      </c>
      <c r="R511" s="2" t="inlineStr"/>
    </row>
    <row r="512" ht="15" customHeight="1">
      <c r="A512" t="inlineStr">
        <is>
          <t>A 8380-2020</t>
        </is>
      </c>
      <c r="B512" s="1" t="n">
        <v>43874</v>
      </c>
      <c r="C512" s="1" t="n">
        <v>45734</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9049-2020</t>
        </is>
      </c>
      <c r="B513" s="1" t="n">
        <v>43879</v>
      </c>
      <c r="C513" s="1" t="n">
        <v>45734</v>
      </c>
      <c r="D513" t="inlineStr">
        <is>
          <t>JÄMTLANDS LÄN</t>
        </is>
      </c>
      <c r="E513" t="inlineStr">
        <is>
          <t>KROKOM</t>
        </is>
      </c>
      <c r="G513" t="n">
        <v>9.5</v>
      </c>
      <c r="H513" t="n">
        <v>0</v>
      </c>
      <c r="I513" t="n">
        <v>0</v>
      </c>
      <c r="J513" t="n">
        <v>0</v>
      </c>
      <c r="K513" t="n">
        <v>0</v>
      </c>
      <c r="L513" t="n">
        <v>0</v>
      </c>
      <c r="M513" t="n">
        <v>0</v>
      </c>
      <c r="N513" t="n">
        <v>0</v>
      </c>
      <c r="O513" t="n">
        <v>0</v>
      </c>
      <c r="P513" t="n">
        <v>0</v>
      </c>
      <c r="Q513" t="n">
        <v>0</v>
      </c>
      <c r="R513" s="2" t="inlineStr"/>
    </row>
    <row r="514" ht="15" customHeight="1">
      <c r="A514" t="inlineStr">
        <is>
          <t>A 9412-2020</t>
        </is>
      </c>
      <c r="B514" s="1" t="n">
        <v>43880</v>
      </c>
      <c r="C514" s="1" t="n">
        <v>45734</v>
      </c>
      <c r="D514" t="inlineStr">
        <is>
          <t>JÄMTLANDS LÄN</t>
        </is>
      </c>
      <c r="E514" t="inlineStr">
        <is>
          <t>KROKOM</t>
        </is>
      </c>
      <c r="G514" t="n">
        <v>12.1</v>
      </c>
      <c r="H514" t="n">
        <v>0</v>
      </c>
      <c r="I514" t="n">
        <v>0</v>
      </c>
      <c r="J514" t="n">
        <v>0</v>
      </c>
      <c r="K514" t="n">
        <v>0</v>
      </c>
      <c r="L514" t="n">
        <v>0</v>
      </c>
      <c r="M514" t="n">
        <v>0</v>
      </c>
      <c r="N514" t="n">
        <v>0</v>
      </c>
      <c r="O514" t="n">
        <v>0</v>
      </c>
      <c r="P514" t="n">
        <v>0</v>
      </c>
      <c r="Q514" t="n">
        <v>0</v>
      </c>
      <c r="R514" s="2" t="inlineStr"/>
    </row>
    <row r="515" ht="15" customHeight="1">
      <c r="A515" t="inlineStr">
        <is>
          <t>A 10206-2020</t>
        </is>
      </c>
      <c r="B515" s="1" t="n">
        <v>43885</v>
      </c>
      <c r="C515" s="1" t="n">
        <v>45734</v>
      </c>
      <c r="D515" t="inlineStr">
        <is>
          <t>JÄMTLANDS LÄN</t>
        </is>
      </c>
      <c r="E515" t="inlineStr">
        <is>
          <t>KROKOM</t>
        </is>
      </c>
      <c r="G515" t="n">
        <v>5.4</v>
      </c>
      <c r="H515" t="n">
        <v>0</v>
      </c>
      <c r="I515" t="n">
        <v>0</v>
      </c>
      <c r="J515" t="n">
        <v>0</v>
      </c>
      <c r="K515" t="n">
        <v>0</v>
      </c>
      <c r="L515" t="n">
        <v>0</v>
      </c>
      <c r="M515" t="n">
        <v>0</v>
      </c>
      <c r="N515" t="n">
        <v>0</v>
      </c>
      <c r="O515" t="n">
        <v>0</v>
      </c>
      <c r="P515" t="n">
        <v>0</v>
      </c>
      <c r="Q515" t="n">
        <v>0</v>
      </c>
      <c r="R515" s="2" t="inlineStr"/>
    </row>
    <row r="516" ht="15" customHeight="1">
      <c r="A516" t="inlineStr">
        <is>
          <t>A 10180-2020</t>
        </is>
      </c>
      <c r="B516" s="1" t="n">
        <v>43887</v>
      </c>
      <c r="C516" s="1" t="n">
        <v>45734</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11021-2020</t>
        </is>
      </c>
      <c r="B517" s="1" t="n">
        <v>43889</v>
      </c>
      <c r="C517" s="1" t="n">
        <v>45734</v>
      </c>
      <c r="D517" t="inlineStr">
        <is>
          <t>JÄMTLANDS LÄN</t>
        </is>
      </c>
      <c r="E517" t="inlineStr">
        <is>
          <t>KROKOM</t>
        </is>
      </c>
      <c r="G517" t="n">
        <v>14.3</v>
      </c>
      <c r="H517" t="n">
        <v>0</v>
      </c>
      <c r="I517" t="n">
        <v>0</v>
      </c>
      <c r="J517" t="n">
        <v>0</v>
      </c>
      <c r="K517" t="n">
        <v>0</v>
      </c>
      <c r="L517" t="n">
        <v>0</v>
      </c>
      <c r="M517" t="n">
        <v>0</v>
      </c>
      <c r="N517" t="n">
        <v>0</v>
      </c>
      <c r="O517" t="n">
        <v>0</v>
      </c>
      <c r="P517" t="n">
        <v>0</v>
      </c>
      <c r="Q517" t="n">
        <v>0</v>
      </c>
      <c r="R517" s="2" t="inlineStr"/>
    </row>
    <row r="518" ht="15" customHeight="1">
      <c r="A518" t="inlineStr">
        <is>
          <t>A 11500-2020</t>
        </is>
      </c>
      <c r="B518" s="1" t="n">
        <v>43893</v>
      </c>
      <c r="C518" s="1" t="n">
        <v>45734</v>
      </c>
      <c r="D518" t="inlineStr">
        <is>
          <t>JÄMTLANDS LÄN</t>
        </is>
      </c>
      <c r="E518" t="inlineStr">
        <is>
          <t>KROKOM</t>
        </is>
      </c>
      <c r="G518" t="n">
        <v>3.5</v>
      </c>
      <c r="H518" t="n">
        <v>0</v>
      </c>
      <c r="I518" t="n">
        <v>0</v>
      </c>
      <c r="J518" t="n">
        <v>0</v>
      </c>
      <c r="K518" t="n">
        <v>0</v>
      </c>
      <c r="L518" t="n">
        <v>0</v>
      </c>
      <c r="M518" t="n">
        <v>0</v>
      </c>
      <c r="N518" t="n">
        <v>0</v>
      </c>
      <c r="O518" t="n">
        <v>0</v>
      </c>
      <c r="P518" t="n">
        <v>0</v>
      </c>
      <c r="Q518" t="n">
        <v>0</v>
      </c>
      <c r="R518" s="2" t="inlineStr"/>
    </row>
    <row r="519" ht="15" customHeight="1">
      <c r="A519" t="inlineStr">
        <is>
          <t>A 11487-2020</t>
        </is>
      </c>
      <c r="B519" s="1" t="n">
        <v>43893</v>
      </c>
      <c r="C519" s="1" t="n">
        <v>45734</v>
      </c>
      <c r="D519" t="inlineStr">
        <is>
          <t>JÄMTLANDS LÄN</t>
        </is>
      </c>
      <c r="E519" t="inlineStr">
        <is>
          <t>KROKOM</t>
        </is>
      </c>
      <c r="G519" t="n">
        <v>2.4</v>
      </c>
      <c r="H519" t="n">
        <v>0</v>
      </c>
      <c r="I519" t="n">
        <v>0</v>
      </c>
      <c r="J519" t="n">
        <v>0</v>
      </c>
      <c r="K519" t="n">
        <v>0</v>
      </c>
      <c r="L519" t="n">
        <v>0</v>
      </c>
      <c r="M519" t="n">
        <v>0</v>
      </c>
      <c r="N519" t="n">
        <v>0</v>
      </c>
      <c r="O519" t="n">
        <v>0</v>
      </c>
      <c r="P519" t="n">
        <v>0</v>
      </c>
      <c r="Q519" t="n">
        <v>0</v>
      </c>
      <c r="R519" s="2" t="inlineStr"/>
    </row>
    <row r="520" ht="15" customHeight="1">
      <c r="A520" t="inlineStr">
        <is>
          <t>A 13367-2020</t>
        </is>
      </c>
      <c r="B520" s="1" t="n">
        <v>43894</v>
      </c>
      <c r="C520" s="1" t="n">
        <v>45734</v>
      </c>
      <c r="D520" t="inlineStr">
        <is>
          <t>JÄMTLANDS LÄN</t>
        </is>
      </c>
      <c r="E520" t="inlineStr">
        <is>
          <t>KROKOM</t>
        </is>
      </c>
      <c r="G520" t="n">
        <v>3</v>
      </c>
      <c r="H520" t="n">
        <v>0</v>
      </c>
      <c r="I520" t="n">
        <v>0</v>
      </c>
      <c r="J520" t="n">
        <v>0</v>
      </c>
      <c r="K520" t="n">
        <v>0</v>
      </c>
      <c r="L520" t="n">
        <v>0</v>
      </c>
      <c r="M520" t="n">
        <v>0</v>
      </c>
      <c r="N520" t="n">
        <v>0</v>
      </c>
      <c r="O520" t="n">
        <v>0</v>
      </c>
      <c r="P520" t="n">
        <v>0</v>
      </c>
      <c r="Q520" t="n">
        <v>0</v>
      </c>
      <c r="R520" s="2" t="inlineStr"/>
    </row>
    <row r="521" ht="15" customHeight="1">
      <c r="A521" t="inlineStr">
        <is>
          <t>A 12914-2020</t>
        </is>
      </c>
      <c r="B521" s="1" t="n">
        <v>43900</v>
      </c>
      <c r="C521" s="1" t="n">
        <v>45734</v>
      </c>
      <c r="D521" t="inlineStr">
        <is>
          <t>JÄMTLANDS LÄN</t>
        </is>
      </c>
      <c r="E521" t="inlineStr">
        <is>
          <t>KROKOM</t>
        </is>
      </c>
      <c r="G521" t="n">
        <v>5.3</v>
      </c>
      <c r="H521" t="n">
        <v>0</v>
      </c>
      <c r="I521" t="n">
        <v>0</v>
      </c>
      <c r="J521" t="n">
        <v>0</v>
      </c>
      <c r="K521" t="n">
        <v>0</v>
      </c>
      <c r="L521" t="n">
        <v>0</v>
      </c>
      <c r="M521" t="n">
        <v>0</v>
      </c>
      <c r="N521" t="n">
        <v>0</v>
      </c>
      <c r="O521" t="n">
        <v>0</v>
      </c>
      <c r="P521" t="n">
        <v>0</v>
      </c>
      <c r="Q521" t="n">
        <v>0</v>
      </c>
      <c r="R521" s="2" t="inlineStr"/>
    </row>
    <row r="522" ht="15" customHeight="1">
      <c r="A522" t="inlineStr">
        <is>
          <t>A 13502-2020</t>
        </is>
      </c>
      <c r="B522" s="1" t="n">
        <v>43900</v>
      </c>
      <c r="C522" s="1" t="n">
        <v>45734</v>
      </c>
      <c r="D522" t="inlineStr">
        <is>
          <t>JÄMTLANDS LÄN</t>
        </is>
      </c>
      <c r="E522" t="inlineStr">
        <is>
          <t>KROKOM</t>
        </is>
      </c>
      <c r="G522" t="n">
        <v>2.5</v>
      </c>
      <c r="H522" t="n">
        <v>0</v>
      </c>
      <c r="I522" t="n">
        <v>0</v>
      </c>
      <c r="J522" t="n">
        <v>0</v>
      </c>
      <c r="K522" t="n">
        <v>0</v>
      </c>
      <c r="L522" t="n">
        <v>0</v>
      </c>
      <c r="M522" t="n">
        <v>0</v>
      </c>
      <c r="N522" t="n">
        <v>0</v>
      </c>
      <c r="O522" t="n">
        <v>0</v>
      </c>
      <c r="P522" t="n">
        <v>0</v>
      </c>
      <c r="Q522" t="n">
        <v>0</v>
      </c>
      <c r="R522" s="2" t="inlineStr"/>
    </row>
    <row r="523" ht="15" customHeight="1">
      <c r="A523" t="inlineStr">
        <is>
          <t>A 12908-2020</t>
        </is>
      </c>
      <c r="B523" s="1" t="n">
        <v>43900</v>
      </c>
      <c r="C523" s="1" t="n">
        <v>45734</v>
      </c>
      <c r="D523" t="inlineStr">
        <is>
          <t>JÄMTLANDS LÄN</t>
        </is>
      </c>
      <c r="E523" t="inlineStr">
        <is>
          <t>KROKOM</t>
        </is>
      </c>
      <c r="G523" t="n">
        <v>4.5</v>
      </c>
      <c r="H523" t="n">
        <v>0</v>
      </c>
      <c r="I523" t="n">
        <v>0</v>
      </c>
      <c r="J523" t="n">
        <v>0</v>
      </c>
      <c r="K523" t="n">
        <v>0</v>
      </c>
      <c r="L523" t="n">
        <v>0</v>
      </c>
      <c r="M523" t="n">
        <v>0</v>
      </c>
      <c r="N523" t="n">
        <v>0</v>
      </c>
      <c r="O523" t="n">
        <v>0</v>
      </c>
      <c r="P523" t="n">
        <v>0</v>
      </c>
      <c r="Q523" t="n">
        <v>0</v>
      </c>
      <c r="R523" s="2" t="inlineStr"/>
    </row>
    <row r="524" ht="15" customHeight="1">
      <c r="A524" t="inlineStr">
        <is>
          <t>A 14285-2020</t>
        </is>
      </c>
      <c r="B524" s="1" t="n">
        <v>43907</v>
      </c>
      <c r="C524" s="1" t="n">
        <v>45734</v>
      </c>
      <c r="D524" t="inlineStr">
        <is>
          <t>JÄMTLANDS LÄN</t>
        </is>
      </c>
      <c r="E524" t="inlineStr">
        <is>
          <t>KROKOM</t>
        </is>
      </c>
      <c r="G524" t="n">
        <v>13.9</v>
      </c>
      <c r="H524" t="n">
        <v>0</v>
      </c>
      <c r="I524" t="n">
        <v>0</v>
      </c>
      <c r="J524" t="n">
        <v>0</v>
      </c>
      <c r="K524" t="n">
        <v>0</v>
      </c>
      <c r="L524" t="n">
        <v>0</v>
      </c>
      <c r="M524" t="n">
        <v>0</v>
      </c>
      <c r="N524" t="n">
        <v>0</v>
      </c>
      <c r="O524" t="n">
        <v>0</v>
      </c>
      <c r="P524" t="n">
        <v>0</v>
      </c>
      <c r="Q524" t="n">
        <v>0</v>
      </c>
      <c r="R524" s="2" t="inlineStr"/>
    </row>
    <row r="525" ht="15" customHeight="1">
      <c r="A525" t="inlineStr">
        <is>
          <t>A 15315-2020</t>
        </is>
      </c>
      <c r="B525" s="1" t="n">
        <v>43913</v>
      </c>
      <c r="C525" s="1" t="n">
        <v>45734</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17527-2020</t>
        </is>
      </c>
      <c r="B526" s="1" t="n">
        <v>43920</v>
      </c>
      <c r="C526" s="1" t="n">
        <v>45734</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18445-2020</t>
        </is>
      </c>
      <c r="B527" s="1" t="n">
        <v>43927</v>
      </c>
      <c r="C527" s="1" t="n">
        <v>45734</v>
      </c>
      <c r="D527" t="inlineStr">
        <is>
          <t>JÄMTLANDS LÄN</t>
        </is>
      </c>
      <c r="E527" t="inlineStr">
        <is>
          <t>KROKOM</t>
        </is>
      </c>
      <c r="G527" t="n">
        <v>4.2</v>
      </c>
      <c r="H527" t="n">
        <v>0</v>
      </c>
      <c r="I527" t="n">
        <v>0</v>
      </c>
      <c r="J527" t="n">
        <v>0</v>
      </c>
      <c r="K527" t="n">
        <v>0</v>
      </c>
      <c r="L527" t="n">
        <v>0</v>
      </c>
      <c r="M527" t="n">
        <v>0</v>
      </c>
      <c r="N527" t="n">
        <v>0</v>
      </c>
      <c r="O527" t="n">
        <v>0</v>
      </c>
      <c r="P527" t="n">
        <v>0</v>
      </c>
      <c r="Q527" t="n">
        <v>0</v>
      </c>
      <c r="R527" s="2" t="inlineStr"/>
    </row>
    <row r="528" ht="15" customHeight="1">
      <c r="A528" t="inlineStr">
        <is>
          <t>A 18591-2020</t>
        </is>
      </c>
      <c r="B528" s="1" t="n">
        <v>43928</v>
      </c>
      <c r="C528" s="1" t="n">
        <v>45734</v>
      </c>
      <c r="D528" t="inlineStr">
        <is>
          <t>JÄMTLANDS LÄN</t>
        </is>
      </c>
      <c r="E528" t="inlineStr">
        <is>
          <t>KROKOM</t>
        </is>
      </c>
      <c r="G528" t="n">
        <v>13.6</v>
      </c>
      <c r="H528" t="n">
        <v>0</v>
      </c>
      <c r="I528" t="n">
        <v>0</v>
      </c>
      <c r="J528" t="n">
        <v>0</v>
      </c>
      <c r="K528" t="n">
        <v>0</v>
      </c>
      <c r="L528" t="n">
        <v>0</v>
      </c>
      <c r="M528" t="n">
        <v>0</v>
      </c>
      <c r="N528" t="n">
        <v>0</v>
      </c>
      <c r="O528" t="n">
        <v>0</v>
      </c>
      <c r="P528" t="n">
        <v>0</v>
      </c>
      <c r="Q528" t="n">
        <v>0</v>
      </c>
      <c r="R528" s="2" t="inlineStr"/>
    </row>
    <row r="529" ht="15" customHeight="1">
      <c r="A529" t="inlineStr">
        <is>
          <t>A 19031-2020</t>
        </is>
      </c>
      <c r="B529" s="1" t="n">
        <v>43936</v>
      </c>
      <c r="C529" s="1" t="n">
        <v>45734</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19827-2020</t>
        </is>
      </c>
      <c r="B530" s="1" t="n">
        <v>43938</v>
      </c>
      <c r="C530" s="1" t="n">
        <v>45734</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19648-2020</t>
        </is>
      </c>
      <c r="B531" s="1" t="n">
        <v>43941</v>
      </c>
      <c r="C531" s="1" t="n">
        <v>45734</v>
      </c>
      <c r="D531" t="inlineStr">
        <is>
          <t>JÄMTLANDS LÄN</t>
        </is>
      </c>
      <c r="E531" t="inlineStr">
        <is>
          <t>KROKOM</t>
        </is>
      </c>
      <c r="G531" t="n">
        <v>21.6</v>
      </c>
      <c r="H531" t="n">
        <v>0</v>
      </c>
      <c r="I531" t="n">
        <v>0</v>
      </c>
      <c r="J531" t="n">
        <v>0</v>
      </c>
      <c r="K531" t="n">
        <v>0</v>
      </c>
      <c r="L531" t="n">
        <v>0</v>
      </c>
      <c r="M531" t="n">
        <v>0</v>
      </c>
      <c r="N531" t="n">
        <v>0</v>
      </c>
      <c r="O531" t="n">
        <v>0</v>
      </c>
      <c r="P531" t="n">
        <v>0</v>
      </c>
      <c r="Q531" t="n">
        <v>0</v>
      </c>
      <c r="R531" s="2" t="inlineStr"/>
    </row>
    <row r="532" ht="15" customHeight="1">
      <c r="A532" t="inlineStr">
        <is>
          <t>A 19768-2020</t>
        </is>
      </c>
      <c r="B532" s="1" t="n">
        <v>43942</v>
      </c>
      <c r="C532" s="1" t="n">
        <v>45734</v>
      </c>
      <c r="D532" t="inlineStr">
        <is>
          <t>JÄMTLANDS LÄN</t>
        </is>
      </c>
      <c r="E532" t="inlineStr">
        <is>
          <t>KROKOM</t>
        </is>
      </c>
      <c r="F532" t="inlineStr">
        <is>
          <t>Kyrkan</t>
        </is>
      </c>
      <c r="G532" t="n">
        <v>2</v>
      </c>
      <c r="H532" t="n">
        <v>0</v>
      </c>
      <c r="I532" t="n">
        <v>0</v>
      </c>
      <c r="J532" t="n">
        <v>0</v>
      </c>
      <c r="K532" t="n">
        <v>0</v>
      </c>
      <c r="L532" t="n">
        <v>0</v>
      </c>
      <c r="M532" t="n">
        <v>0</v>
      </c>
      <c r="N532" t="n">
        <v>0</v>
      </c>
      <c r="O532" t="n">
        <v>0</v>
      </c>
      <c r="P532" t="n">
        <v>0</v>
      </c>
      <c r="Q532" t="n">
        <v>0</v>
      </c>
      <c r="R532" s="2" t="inlineStr"/>
    </row>
    <row r="533" ht="15" customHeight="1">
      <c r="A533" t="inlineStr">
        <is>
          <t>A 21106-2020</t>
        </is>
      </c>
      <c r="B533" s="1" t="n">
        <v>43951</v>
      </c>
      <c r="C533" s="1" t="n">
        <v>45734</v>
      </c>
      <c r="D533" t="inlineStr">
        <is>
          <t>JÄMTLANDS LÄN</t>
        </is>
      </c>
      <c r="E533" t="inlineStr">
        <is>
          <t>KROKOM</t>
        </is>
      </c>
      <c r="G533" t="n">
        <v>17.7</v>
      </c>
      <c r="H533" t="n">
        <v>0</v>
      </c>
      <c r="I533" t="n">
        <v>0</v>
      </c>
      <c r="J533" t="n">
        <v>0</v>
      </c>
      <c r="K533" t="n">
        <v>0</v>
      </c>
      <c r="L533" t="n">
        <v>0</v>
      </c>
      <c r="M533" t="n">
        <v>0</v>
      </c>
      <c r="N533" t="n">
        <v>0</v>
      </c>
      <c r="O533" t="n">
        <v>0</v>
      </c>
      <c r="P533" t="n">
        <v>0</v>
      </c>
      <c r="Q533" t="n">
        <v>0</v>
      </c>
      <c r="R533" s="2" t="inlineStr"/>
    </row>
    <row r="534" ht="15" customHeight="1">
      <c r="A534" t="inlineStr">
        <is>
          <t>A 21144-2020</t>
        </is>
      </c>
      <c r="B534" s="1" t="n">
        <v>43951</v>
      </c>
      <c r="C534" s="1" t="n">
        <v>45734</v>
      </c>
      <c r="D534" t="inlineStr">
        <is>
          <t>JÄMTLANDS LÄN</t>
        </is>
      </c>
      <c r="E534" t="inlineStr">
        <is>
          <t>KROKOM</t>
        </is>
      </c>
      <c r="G534" t="n">
        <v>2.7</v>
      </c>
      <c r="H534" t="n">
        <v>0</v>
      </c>
      <c r="I534" t="n">
        <v>0</v>
      </c>
      <c r="J534" t="n">
        <v>0</v>
      </c>
      <c r="K534" t="n">
        <v>0</v>
      </c>
      <c r="L534" t="n">
        <v>0</v>
      </c>
      <c r="M534" t="n">
        <v>0</v>
      </c>
      <c r="N534" t="n">
        <v>0</v>
      </c>
      <c r="O534" t="n">
        <v>0</v>
      </c>
      <c r="P534" t="n">
        <v>0</v>
      </c>
      <c r="Q534" t="n">
        <v>0</v>
      </c>
      <c r="R534" s="2" t="inlineStr"/>
    </row>
    <row r="535" ht="15" customHeight="1">
      <c r="A535" t="inlineStr">
        <is>
          <t>A 21443-2020</t>
        </is>
      </c>
      <c r="B535" s="1" t="n">
        <v>43955</v>
      </c>
      <c r="C535" s="1" t="n">
        <v>45734</v>
      </c>
      <c r="D535" t="inlineStr">
        <is>
          <t>JÄMTLANDS LÄN</t>
        </is>
      </c>
      <c r="E535" t="inlineStr">
        <is>
          <t>KROKOM</t>
        </is>
      </c>
      <c r="G535" t="n">
        <v>7.7</v>
      </c>
      <c r="H535" t="n">
        <v>0</v>
      </c>
      <c r="I535" t="n">
        <v>0</v>
      </c>
      <c r="J535" t="n">
        <v>0</v>
      </c>
      <c r="K535" t="n">
        <v>0</v>
      </c>
      <c r="L535" t="n">
        <v>0</v>
      </c>
      <c r="M535" t="n">
        <v>0</v>
      </c>
      <c r="N535" t="n">
        <v>0</v>
      </c>
      <c r="O535" t="n">
        <v>0</v>
      </c>
      <c r="P535" t="n">
        <v>0</v>
      </c>
      <c r="Q535" t="n">
        <v>0</v>
      </c>
      <c r="R535" s="2" t="inlineStr"/>
    </row>
    <row r="536" ht="15" customHeight="1">
      <c r="A536" t="inlineStr">
        <is>
          <t>A 22005-2020</t>
        </is>
      </c>
      <c r="B536" s="1" t="n">
        <v>43959</v>
      </c>
      <c r="C536" s="1" t="n">
        <v>45734</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25520-2020</t>
        </is>
      </c>
      <c r="B537" s="1" t="n">
        <v>43983</v>
      </c>
      <c r="C537" s="1" t="n">
        <v>45734</v>
      </c>
      <c r="D537" t="inlineStr">
        <is>
          <t>JÄMTLANDS LÄN</t>
        </is>
      </c>
      <c r="E537" t="inlineStr">
        <is>
          <t>KROKOM</t>
        </is>
      </c>
      <c r="G537" t="n">
        <v>1.8</v>
      </c>
      <c r="H537" t="n">
        <v>0</v>
      </c>
      <c r="I537" t="n">
        <v>0</v>
      </c>
      <c r="J537" t="n">
        <v>0</v>
      </c>
      <c r="K537" t="n">
        <v>0</v>
      </c>
      <c r="L537" t="n">
        <v>0</v>
      </c>
      <c r="M537" t="n">
        <v>0</v>
      </c>
      <c r="N537" t="n">
        <v>0</v>
      </c>
      <c r="O537" t="n">
        <v>0</v>
      </c>
      <c r="P537" t="n">
        <v>0</v>
      </c>
      <c r="Q537" t="n">
        <v>0</v>
      </c>
      <c r="R537" s="2" t="inlineStr"/>
    </row>
    <row r="538" ht="15" customHeight="1">
      <c r="A538" t="inlineStr">
        <is>
          <t>A 25489-2020</t>
        </is>
      </c>
      <c r="B538" s="1" t="n">
        <v>43983</v>
      </c>
      <c r="C538" s="1" t="n">
        <v>45734</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27056-2020</t>
        </is>
      </c>
      <c r="B539" s="1" t="n">
        <v>43991</v>
      </c>
      <c r="C539" s="1" t="n">
        <v>45734</v>
      </c>
      <c r="D539" t="inlineStr">
        <is>
          <t>JÄMTLANDS LÄN</t>
        </is>
      </c>
      <c r="E539" t="inlineStr">
        <is>
          <t>KROKOM</t>
        </is>
      </c>
      <c r="F539" t="inlineStr">
        <is>
          <t>Övriga Aktiebolag</t>
        </is>
      </c>
      <c r="G539" t="n">
        <v>4.7</v>
      </c>
      <c r="H539" t="n">
        <v>0</v>
      </c>
      <c r="I539" t="n">
        <v>0</v>
      </c>
      <c r="J539" t="n">
        <v>0</v>
      </c>
      <c r="K539" t="n">
        <v>0</v>
      </c>
      <c r="L539" t="n">
        <v>0</v>
      </c>
      <c r="M539" t="n">
        <v>0</v>
      </c>
      <c r="N539" t="n">
        <v>0</v>
      </c>
      <c r="O539" t="n">
        <v>0</v>
      </c>
      <c r="P539" t="n">
        <v>0</v>
      </c>
      <c r="Q539" t="n">
        <v>0</v>
      </c>
      <c r="R539" s="2" t="inlineStr"/>
    </row>
    <row r="540" ht="15" customHeight="1">
      <c r="A540" t="inlineStr">
        <is>
          <t>A 30368-2020</t>
        </is>
      </c>
      <c r="B540" s="1" t="n">
        <v>44007</v>
      </c>
      <c r="C540" s="1" t="n">
        <v>45734</v>
      </c>
      <c r="D540" t="inlineStr">
        <is>
          <t>JÄMTLANDS LÄN</t>
        </is>
      </c>
      <c r="E540" t="inlineStr">
        <is>
          <t>KROKOM</t>
        </is>
      </c>
      <c r="G540" t="n">
        <v>1.9</v>
      </c>
      <c r="H540" t="n">
        <v>0</v>
      </c>
      <c r="I540" t="n">
        <v>0</v>
      </c>
      <c r="J540" t="n">
        <v>0</v>
      </c>
      <c r="K540" t="n">
        <v>0</v>
      </c>
      <c r="L540" t="n">
        <v>0</v>
      </c>
      <c r="M540" t="n">
        <v>0</v>
      </c>
      <c r="N540" t="n">
        <v>0</v>
      </c>
      <c r="O540" t="n">
        <v>0</v>
      </c>
      <c r="P540" t="n">
        <v>0</v>
      </c>
      <c r="Q540" t="n">
        <v>0</v>
      </c>
      <c r="R540" s="2" t="inlineStr"/>
    </row>
    <row r="541" ht="15" customHeight="1">
      <c r="A541" t="inlineStr">
        <is>
          <t>A 31421-2020</t>
        </is>
      </c>
      <c r="B541" s="1" t="n">
        <v>44013</v>
      </c>
      <c r="C541" s="1" t="n">
        <v>45734</v>
      </c>
      <c r="D541" t="inlineStr">
        <is>
          <t>JÄMTLANDS LÄN</t>
        </is>
      </c>
      <c r="E541" t="inlineStr">
        <is>
          <t>KROKOM</t>
        </is>
      </c>
      <c r="G541" t="n">
        <v>14.1</v>
      </c>
      <c r="H541" t="n">
        <v>0</v>
      </c>
      <c r="I541" t="n">
        <v>0</v>
      </c>
      <c r="J541" t="n">
        <v>0</v>
      </c>
      <c r="K541" t="n">
        <v>0</v>
      </c>
      <c r="L541" t="n">
        <v>0</v>
      </c>
      <c r="M541" t="n">
        <v>0</v>
      </c>
      <c r="N541" t="n">
        <v>0</v>
      </c>
      <c r="O541" t="n">
        <v>0</v>
      </c>
      <c r="P541" t="n">
        <v>0</v>
      </c>
      <c r="Q541" t="n">
        <v>0</v>
      </c>
      <c r="R541" s="2" t="inlineStr"/>
    </row>
    <row r="542" ht="15" customHeight="1">
      <c r="A542" t="inlineStr">
        <is>
          <t>A 32084-2020</t>
        </is>
      </c>
      <c r="B542" s="1" t="n">
        <v>44015</v>
      </c>
      <c r="C542" s="1" t="n">
        <v>45734</v>
      </c>
      <c r="D542" t="inlineStr">
        <is>
          <t>JÄMTLANDS LÄN</t>
        </is>
      </c>
      <c r="E542" t="inlineStr">
        <is>
          <t>KROKOM</t>
        </is>
      </c>
      <c r="G542" t="n">
        <v>3</v>
      </c>
      <c r="H542" t="n">
        <v>0</v>
      </c>
      <c r="I542" t="n">
        <v>0</v>
      </c>
      <c r="J542" t="n">
        <v>0</v>
      </c>
      <c r="K542" t="n">
        <v>0</v>
      </c>
      <c r="L542" t="n">
        <v>0</v>
      </c>
      <c r="M542" t="n">
        <v>0</v>
      </c>
      <c r="N542" t="n">
        <v>0</v>
      </c>
      <c r="O542" t="n">
        <v>0</v>
      </c>
      <c r="P542" t="n">
        <v>0</v>
      </c>
      <c r="Q542" t="n">
        <v>0</v>
      </c>
      <c r="R542" s="2" t="inlineStr"/>
    </row>
    <row r="543" ht="15" customHeight="1">
      <c r="A543" t="inlineStr">
        <is>
          <t>A 34469-2020</t>
        </is>
      </c>
      <c r="B543" s="1" t="n">
        <v>44032</v>
      </c>
      <c r="C543" s="1" t="n">
        <v>45734</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34619-2020</t>
        </is>
      </c>
      <c r="B544" s="1" t="n">
        <v>44033</v>
      </c>
      <c r="C544" s="1" t="n">
        <v>45734</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34954-2020</t>
        </is>
      </c>
      <c r="B545" s="1" t="n">
        <v>44038</v>
      </c>
      <c r="C545" s="1" t="n">
        <v>45734</v>
      </c>
      <c r="D545" t="inlineStr">
        <is>
          <t>JÄMTLANDS LÄN</t>
        </is>
      </c>
      <c r="E545" t="inlineStr">
        <is>
          <t>KROKOM</t>
        </is>
      </c>
      <c r="G545" t="n">
        <v>14.3</v>
      </c>
      <c r="H545" t="n">
        <v>0</v>
      </c>
      <c r="I545" t="n">
        <v>0</v>
      </c>
      <c r="J545" t="n">
        <v>0</v>
      </c>
      <c r="K545" t="n">
        <v>0</v>
      </c>
      <c r="L545" t="n">
        <v>0</v>
      </c>
      <c r="M545" t="n">
        <v>0</v>
      </c>
      <c r="N545" t="n">
        <v>0</v>
      </c>
      <c r="O545" t="n">
        <v>0</v>
      </c>
      <c r="P545" t="n">
        <v>0</v>
      </c>
      <c r="Q545" t="n">
        <v>0</v>
      </c>
      <c r="R545" s="2" t="inlineStr"/>
    </row>
    <row r="546" ht="15" customHeight="1">
      <c r="A546" t="inlineStr">
        <is>
          <t>A 36098-2020</t>
        </is>
      </c>
      <c r="B546" s="1" t="n">
        <v>44048</v>
      </c>
      <c r="C546" s="1" t="n">
        <v>45734</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36698-2020</t>
        </is>
      </c>
      <c r="B547" s="1" t="n">
        <v>44050</v>
      </c>
      <c r="C547" s="1" t="n">
        <v>45734</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36523-2020</t>
        </is>
      </c>
      <c r="B548" s="1" t="n">
        <v>44050</v>
      </c>
      <c r="C548" s="1" t="n">
        <v>45734</v>
      </c>
      <c r="D548" t="inlineStr">
        <is>
          <t>JÄMTLANDS LÄN</t>
        </is>
      </c>
      <c r="E548" t="inlineStr">
        <is>
          <t>KROKOM</t>
        </is>
      </c>
      <c r="G548" t="n">
        <v>5.1</v>
      </c>
      <c r="H548" t="n">
        <v>0</v>
      </c>
      <c r="I548" t="n">
        <v>0</v>
      </c>
      <c r="J548" t="n">
        <v>0</v>
      </c>
      <c r="K548" t="n">
        <v>0</v>
      </c>
      <c r="L548" t="n">
        <v>0</v>
      </c>
      <c r="M548" t="n">
        <v>0</v>
      </c>
      <c r="N548" t="n">
        <v>0</v>
      </c>
      <c r="O548" t="n">
        <v>0</v>
      </c>
      <c r="P548" t="n">
        <v>0</v>
      </c>
      <c r="Q548" t="n">
        <v>0</v>
      </c>
      <c r="R548" s="2" t="inlineStr"/>
    </row>
    <row r="549" ht="15" customHeight="1">
      <c r="A549" t="inlineStr">
        <is>
          <t>A 36696-2020</t>
        </is>
      </c>
      <c r="B549" s="1" t="n">
        <v>44050</v>
      </c>
      <c r="C549" s="1" t="n">
        <v>45734</v>
      </c>
      <c r="D549" t="inlineStr">
        <is>
          <t>JÄMTLANDS LÄN</t>
        </is>
      </c>
      <c r="E549" t="inlineStr">
        <is>
          <t>KROKOM</t>
        </is>
      </c>
      <c r="G549" t="n">
        <v>8</v>
      </c>
      <c r="H549" t="n">
        <v>0</v>
      </c>
      <c r="I549" t="n">
        <v>0</v>
      </c>
      <c r="J549" t="n">
        <v>0</v>
      </c>
      <c r="K549" t="n">
        <v>0</v>
      </c>
      <c r="L549" t="n">
        <v>0</v>
      </c>
      <c r="M549" t="n">
        <v>0</v>
      </c>
      <c r="N549" t="n">
        <v>0</v>
      </c>
      <c r="O549" t="n">
        <v>0</v>
      </c>
      <c r="P549" t="n">
        <v>0</v>
      </c>
      <c r="Q549" t="n">
        <v>0</v>
      </c>
      <c r="R549" s="2" t="inlineStr"/>
    </row>
    <row r="550" ht="15" customHeight="1">
      <c r="A550" t="inlineStr">
        <is>
          <t>A 38001-2020</t>
        </is>
      </c>
      <c r="B550" s="1" t="n">
        <v>44057</v>
      </c>
      <c r="C550" s="1" t="n">
        <v>45734</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38720-2020</t>
        </is>
      </c>
      <c r="B551" s="1" t="n">
        <v>44061</v>
      </c>
      <c r="C551" s="1" t="n">
        <v>45734</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38866-2020</t>
        </is>
      </c>
      <c r="B552" s="1" t="n">
        <v>44062</v>
      </c>
      <c r="C552" s="1" t="n">
        <v>45734</v>
      </c>
      <c r="D552" t="inlineStr">
        <is>
          <t>JÄMTLANDS LÄN</t>
        </is>
      </c>
      <c r="E552" t="inlineStr">
        <is>
          <t>KROKOM</t>
        </is>
      </c>
      <c r="F552" t="inlineStr">
        <is>
          <t>Övriga Aktiebolag</t>
        </is>
      </c>
      <c r="G552" t="n">
        <v>4.6</v>
      </c>
      <c r="H552" t="n">
        <v>0</v>
      </c>
      <c r="I552" t="n">
        <v>0</v>
      </c>
      <c r="J552" t="n">
        <v>0</v>
      </c>
      <c r="K552" t="n">
        <v>0</v>
      </c>
      <c r="L552" t="n">
        <v>0</v>
      </c>
      <c r="M552" t="n">
        <v>0</v>
      </c>
      <c r="N552" t="n">
        <v>0</v>
      </c>
      <c r="O552" t="n">
        <v>0</v>
      </c>
      <c r="P552" t="n">
        <v>0</v>
      </c>
      <c r="Q552" t="n">
        <v>0</v>
      </c>
      <c r="R552" s="2" t="inlineStr"/>
    </row>
    <row r="553" ht="15" customHeight="1">
      <c r="A553" t="inlineStr">
        <is>
          <t>A 42385-2020</t>
        </is>
      </c>
      <c r="B553" s="1" t="n">
        <v>44076</v>
      </c>
      <c r="C553" s="1" t="n">
        <v>45734</v>
      </c>
      <c r="D553" t="inlineStr">
        <is>
          <t>JÄMTLANDS LÄN</t>
        </is>
      </c>
      <c r="E553" t="inlineStr">
        <is>
          <t>KROKOM</t>
        </is>
      </c>
      <c r="G553" t="n">
        <v>2.9</v>
      </c>
      <c r="H553" t="n">
        <v>0</v>
      </c>
      <c r="I553" t="n">
        <v>0</v>
      </c>
      <c r="J553" t="n">
        <v>0</v>
      </c>
      <c r="K553" t="n">
        <v>0</v>
      </c>
      <c r="L553" t="n">
        <v>0</v>
      </c>
      <c r="M553" t="n">
        <v>0</v>
      </c>
      <c r="N553" t="n">
        <v>0</v>
      </c>
      <c r="O553" t="n">
        <v>0</v>
      </c>
      <c r="P553" t="n">
        <v>0</v>
      </c>
      <c r="Q553" t="n">
        <v>0</v>
      </c>
      <c r="R553" s="2" t="inlineStr"/>
    </row>
    <row r="554" ht="15" customHeight="1">
      <c r="A554" t="inlineStr">
        <is>
          <t>A 42550-2020</t>
        </is>
      </c>
      <c r="B554" s="1" t="n">
        <v>44077</v>
      </c>
      <c r="C554" s="1" t="n">
        <v>45734</v>
      </c>
      <c r="D554" t="inlineStr">
        <is>
          <t>JÄMTLANDS LÄN</t>
        </is>
      </c>
      <c r="E554" t="inlineStr">
        <is>
          <t>KROKOM</t>
        </is>
      </c>
      <c r="G554" t="n">
        <v>1.8</v>
      </c>
      <c r="H554" t="n">
        <v>0</v>
      </c>
      <c r="I554" t="n">
        <v>0</v>
      </c>
      <c r="J554" t="n">
        <v>0</v>
      </c>
      <c r="K554" t="n">
        <v>0</v>
      </c>
      <c r="L554" t="n">
        <v>0</v>
      </c>
      <c r="M554" t="n">
        <v>0</v>
      </c>
      <c r="N554" t="n">
        <v>0</v>
      </c>
      <c r="O554" t="n">
        <v>0</v>
      </c>
      <c r="P554" t="n">
        <v>0</v>
      </c>
      <c r="Q554" t="n">
        <v>0</v>
      </c>
      <c r="R554" s="2" t="inlineStr"/>
    </row>
    <row r="555" ht="15" customHeight="1">
      <c r="A555" t="inlineStr">
        <is>
          <t>A 45602-2020</t>
        </is>
      </c>
      <c r="B555" s="1" t="n">
        <v>44090</v>
      </c>
      <c r="C555" s="1" t="n">
        <v>45734</v>
      </c>
      <c r="D555" t="inlineStr">
        <is>
          <t>JÄMTLANDS LÄN</t>
        </is>
      </c>
      <c r="E555" t="inlineStr">
        <is>
          <t>KROKOM</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46589-2020</t>
        </is>
      </c>
      <c r="B556" s="1" t="n">
        <v>44095</v>
      </c>
      <c r="C556" s="1" t="n">
        <v>45734</v>
      </c>
      <c r="D556" t="inlineStr">
        <is>
          <t>JÄMTLANDS LÄN</t>
        </is>
      </c>
      <c r="E556" t="inlineStr">
        <is>
          <t>KROKOM</t>
        </is>
      </c>
      <c r="G556" t="n">
        <v>8.5</v>
      </c>
      <c r="H556" t="n">
        <v>0</v>
      </c>
      <c r="I556" t="n">
        <v>0</v>
      </c>
      <c r="J556" t="n">
        <v>0</v>
      </c>
      <c r="K556" t="n">
        <v>0</v>
      </c>
      <c r="L556" t="n">
        <v>0</v>
      </c>
      <c r="M556" t="n">
        <v>0</v>
      </c>
      <c r="N556" t="n">
        <v>0</v>
      </c>
      <c r="O556" t="n">
        <v>0</v>
      </c>
      <c r="P556" t="n">
        <v>0</v>
      </c>
      <c r="Q556" t="n">
        <v>0</v>
      </c>
      <c r="R556" s="2" t="inlineStr"/>
    </row>
    <row r="557" ht="15" customHeight="1">
      <c r="A557" t="inlineStr">
        <is>
          <t>A 46597-2020</t>
        </is>
      </c>
      <c r="B557" s="1" t="n">
        <v>44095</v>
      </c>
      <c r="C557" s="1" t="n">
        <v>45734</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49037-2020</t>
        </is>
      </c>
      <c r="B558" s="1" t="n">
        <v>44102</v>
      </c>
      <c r="C558" s="1" t="n">
        <v>45734</v>
      </c>
      <c r="D558" t="inlineStr">
        <is>
          <t>JÄMTLANDS LÄN</t>
        </is>
      </c>
      <c r="E558" t="inlineStr">
        <is>
          <t>KROKOM</t>
        </is>
      </c>
      <c r="G558" t="n">
        <v>1.5</v>
      </c>
      <c r="H558" t="n">
        <v>0</v>
      </c>
      <c r="I558" t="n">
        <v>0</v>
      </c>
      <c r="J558" t="n">
        <v>0</v>
      </c>
      <c r="K558" t="n">
        <v>0</v>
      </c>
      <c r="L558" t="n">
        <v>0</v>
      </c>
      <c r="M558" t="n">
        <v>0</v>
      </c>
      <c r="N558" t="n">
        <v>0</v>
      </c>
      <c r="O558" t="n">
        <v>0</v>
      </c>
      <c r="P558" t="n">
        <v>0</v>
      </c>
      <c r="Q558" t="n">
        <v>0</v>
      </c>
      <c r="R558" s="2" t="inlineStr"/>
    </row>
    <row r="559" ht="15" customHeight="1">
      <c r="A559" t="inlineStr">
        <is>
          <t>A 48610-2020</t>
        </is>
      </c>
      <c r="B559" s="1" t="n">
        <v>44103</v>
      </c>
      <c r="C559" s="1" t="n">
        <v>45734</v>
      </c>
      <c r="D559" t="inlineStr">
        <is>
          <t>JÄMTLANDS LÄN</t>
        </is>
      </c>
      <c r="E559" t="inlineStr">
        <is>
          <t>KROKOM</t>
        </is>
      </c>
      <c r="G559" t="n">
        <v>1.2</v>
      </c>
      <c r="H559" t="n">
        <v>0</v>
      </c>
      <c r="I559" t="n">
        <v>0</v>
      </c>
      <c r="J559" t="n">
        <v>0</v>
      </c>
      <c r="K559" t="n">
        <v>0</v>
      </c>
      <c r="L559" t="n">
        <v>0</v>
      </c>
      <c r="M559" t="n">
        <v>0</v>
      </c>
      <c r="N559" t="n">
        <v>0</v>
      </c>
      <c r="O559" t="n">
        <v>0</v>
      </c>
      <c r="P559" t="n">
        <v>0</v>
      </c>
      <c r="Q559" t="n">
        <v>0</v>
      </c>
      <c r="R559" s="2" t="inlineStr"/>
    </row>
    <row r="560" ht="15" customHeight="1">
      <c r="A560" t="inlineStr">
        <is>
          <t>A 49697-2020</t>
        </is>
      </c>
      <c r="B560" s="1" t="n">
        <v>44106</v>
      </c>
      <c r="C560" s="1" t="n">
        <v>45734</v>
      </c>
      <c r="D560" t="inlineStr">
        <is>
          <t>JÄMTLANDS LÄN</t>
        </is>
      </c>
      <c r="E560" t="inlineStr">
        <is>
          <t>KROKOM</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51719-2020</t>
        </is>
      </c>
      <c r="B561" s="1" t="n">
        <v>44113</v>
      </c>
      <c r="C561" s="1" t="n">
        <v>45734</v>
      </c>
      <c r="D561" t="inlineStr">
        <is>
          <t>JÄMTLANDS LÄN</t>
        </is>
      </c>
      <c r="E561" t="inlineStr">
        <is>
          <t>KROKOM</t>
        </is>
      </c>
      <c r="F561" t="inlineStr">
        <is>
          <t>SCA</t>
        </is>
      </c>
      <c r="G561" t="n">
        <v>9</v>
      </c>
      <c r="H561" t="n">
        <v>0</v>
      </c>
      <c r="I561" t="n">
        <v>0</v>
      </c>
      <c r="J561" t="n">
        <v>0</v>
      </c>
      <c r="K561" t="n">
        <v>0</v>
      </c>
      <c r="L561" t="n">
        <v>0</v>
      </c>
      <c r="M561" t="n">
        <v>0</v>
      </c>
      <c r="N561" t="n">
        <v>0</v>
      </c>
      <c r="O561" t="n">
        <v>0</v>
      </c>
      <c r="P561" t="n">
        <v>0</v>
      </c>
      <c r="Q561" t="n">
        <v>0</v>
      </c>
      <c r="R561" s="2" t="inlineStr"/>
    </row>
    <row r="562" ht="15" customHeight="1">
      <c r="A562" t="inlineStr">
        <is>
          <t>A 51717-2020</t>
        </is>
      </c>
      <c r="B562" s="1" t="n">
        <v>44113</v>
      </c>
      <c r="C562" s="1" t="n">
        <v>45734</v>
      </c>
      <c r="D562" t="inlineStr">
        <is>
          <t>JÄMTLANDS LÄN</t>
        </is>
      </c>
      <c r="E562" t="inlineStr">
        <is>
          <t>KROKOM</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52487-2020</t>
        </is>
      </c>
      <c r="B563" s="1" t="n">
        <v>44113</v>
      </c>
      <c r="C563" s="1" t="n">
        <v>45734</v>
      </c>
      <c r="D563" t="inlineStr">
        <is>
          <t>JÄMTLANDS LÄN</t>
        </is>
      </c>
      <c r="E563" t="inlineStr">
        <is>
          <t>KROKOM</t>
        </is>
      </c>
      <c r="F563" t="inlineStr">
        <is>
          <t>SCA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52491-2020</t>
        </is>
      </c>
      <c r="B564" s="1" t="n">
        <v>44113</v>
      </c>
      <c r="C564" s="1" t="n">
        <v>45734</v>
      </c>
      <c r="D564" t="inlineStr">
        <is>
          <t>JÄMTLANDS LÄN</t>
        </is>
      </c>
      <c r="E564" t="inlineStr">
        <is>
          <t>KROKOM</t>
        </is>
      </c>
      <c r="G564" t="n">
        <v>2.7</v>
      </c>
      <c r="H564" t="n">
        <v>0</v>
      </c>
      <c r="I564" t="n">
        <v>0</v>
      </c>
      <c r="J564" t="n">
        <v>0</v>
      </c>
      <c r="K564" t="n">
        <v>0</v>
      </c>
      <c r="L564" t="n">
        <v>0</v>
      </c>
      <c r="M564" t="n">
        <v>0</v>
      </c>
      <c r="N564" t="n">
        <v>0</v>
      </c>
      <c r="O564" t="n">
        <v>0</v>
      </c>
      <c r="P564" t="n">
        <v>0</v>
      </c>
      <c r="Q564" t="n">
        <v>0</v>
      </c>
      <c r="R564" s="2" t="inlineStr"/>
    </row>
    <row r="565" ht="15" customHeight="1">
      <c r="A565" t="inlineStr">
        <is>
          <t>A 52626-2020</t>
        </is>
      </c>
      <c r="B565" s="1" t="n">
        <v>44119</v>
      </c>
      <c r="C565" s="1" t="n">
        <v>45734</v>
      </c>
      <c r="D565" t="inlineStr">
        <is>
          <t>JÄMTLANDS LÄN</t>
        </is>
      </c>
      <c r="E565" t="inlineStr">
        <is>
          <t>KROKOM</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53241-2020</t>
        </is>
      </c>
      <c r="B566" s="1" t="n">
        <v>44123</v>
      </c>
      <c r="C566" s="1" t="n">
        <v>45734</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53501-2020</t>
        </is>
      </c>
      <c r="B567" s="1" t="n">
        <v>44123</v>
      </c>
      <c r="C567" s="1" t="n">
        <v>45734</v>
      </c>
      <c r="D567" t="inlineStr">
        <is>
          <t>JÄMTLANDS LÄN</t>
        </is>
      </c>
      <c r="E567" t="inlineStr">
        <is>
          <t>KROKOM</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53499-2020</t>
        </is>
      </c>
      <c r="B568" s="1" t="n">
        <v>44123</v>
      </c>
      <c r="C568" s="1" t="n">
        <v>45734</v>
      </c>
      <c r="D568" t="inlineStr">
        <is>
          <t>JÄMTLANDS LÄN</t>
        </is>
      </c>
      <c r="E568" t="inlineStr">
        <is>
          <t>KROKOM</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53500-2020</t>
        </is>
      </c>
      <c r="B569" s="1" t="n">
        <v>44123</v>
      </c>
      <c r="C569" s="1" t="n">
        <v>45734</v>
      </c>
      <c r="D569" t="inlineStr">
        <is>
          <t>JÄMTLANDS LÄN</t>
        </is>
      </c>
      <c r="E569" t="inlineStr">
        <is>
          <t>KROKOM</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54575-2020</t>
        </is>
      </c>
      <c r="B570" s="1" t="n">
        <v>44126</v>
      </c>
      <c r="C570" s="1" t="n">
        <v>45734</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54582-2020</t>
        </is>
      </c>
      <c r="B571" s="1" t="n">
        <v>44127</v>
      </c>
      <c r="C571" s="1" t="n">
        <v>45734</v>
      </c>
      <c r="D571" t="inlineStr">
        <is>
          <t>JÄMTLANDS LÄN</t>
        </is>
      </c>
      <c r="E571" t="inlineStr">
        <is>
          <t>KROKOM</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56203-2020</t>
        </is>
      </c>
      <c r="B572" s="1" t="n">
        <v>44133</v>
      </c>
      <c r="C572" s="1" t="n">
        <v>45734</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56596-2020</t>
        </is>
      </c>
      <c r="B573" s="1" t="n">
        <v>44133</v>
      </c>
      <c r="C573" s="1" t="n">
        <v>45734</v>
      </c>
      <c r="D573" t="inlineStr">
        <is>
          <t>JÄMTLANDS LÄN</t>
        </is>
      </c>
      <c r="E573" t="inlineStr">
        <is>
          <t>KROKOM</t>
        </is>
      </c>
      <c r="G573" t="n">
        <v>7.2</v>
      </c>
      <c r="H573" t="n">
        <v>0</v>
      </c>
      <c r="I573" t="n">
        <v>0</v>
      </c>
      <c r="J573" t="n">
        <v>0</v>
      </c>
      <c r="K573" t="n">
        <v>0</v>
      </c>
      <c r="L573" t="n">
        <v>0</v>
      </c>
      <c r="M573" t="n">
        <v>0</v>
      </c>
      <c r="N573" t="n">
        <v>0</v>
      </c>
      <c r="O573" t="n">
        <v>0</v>
      </c>
      <c r="P573" t="n">
        <v>0</v>
      </c>
      <c r="Q573" t="n">
        <v>0</v>
      </c>
      <c r="R573" s="2" t="inlineStr"/>
    </row>
    <row r="574" ht="15" customHeight="1">
      <c r="A574" t="inlineStr">
        <is>
          <t>A 56168-2020</t>
        </is>
      </c>
      <c r="B574" s="1" t="n">
        <v>44133</v>
      </c>
      <c r="C574" s="1" t="n">
        <v>45734</v>
      </c>
      <c r="D574" t="inlineStr">
        <is>
          <t>JÄMTLANDS LÄN</t>
        </is>
      </c>
      <c r="E574" t="inlineStr">
        <is>
          <t>KROKOM</t>
        </is>
      </c>
      <c r="G574" t="n">
        <v>3.5</v>
      </c>
      <c r="H574" t="n">
        <v>0</v>
      </c>
      <c r="I574" t="n">
        <v>0</v>
      </c>
      <c r="J574" t="n">
        <v>0</v>
      </c>
      <c r="K574" t="n">
        <v>0</v>
      </c>
      <c r="L574" t="n">
        <v>0</v>
      </c>
      <c r="M574" t="n">
        <v>0</v>
      </c>
      <c r="N574" t="n">
        <v>0</v>
      </c>
      <c r="O574" t="n">
        <v>0</v>
      </c>
      <c r="P574" t="n">
        <v>0</v>
      </c>
      <c r="Q574" t="n">
        <v>0</v>
      </c>
      <c r="R574" s="2" t="inlineStr"/>
    </row>
    <row r="575" ht="15" customHeight="1">
      <c r="A575" t="inlineStr">
        <is>
          <t>A 57375-2020</t>
        </is>
      </c>
      <c r="B575" s="1" t="n">
        <v>44139</v>
      </c>
      <c r="C575" s="1" t="n">
        <v>45734</v>
      </c>
      <c r="D575" t="inlineStr">
        <is>
          <t>JÄMTLANDS LÄN</t>
        </is>
      </c>
      <c r="E575" t="inlineStr">
        <is>
          <t>KROKOM</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57726-2020</t>
        </is>
      </c>
      <c r="B576" s="1" t="n">
        <v>44140</v>
      </c>
      <c r="C576" s="1" t="n">
        <v>45734</v>
      </c>
      <c r="D576" t="inlineStr">
        <is>
          <t>JÄMTLANDS LÄN</t>
        </is>
      </c>
      <c r="E576" t="inlineStr">
        <is>
          <t>KROKOM</t>
        </is>
      </c>
      <c r="G576" t="n">
        <v>3.8</v>
      </c>
      <c r="H576" t="n">
        <v>0</v>
      </c>
      <c r="I576" t="n">
        <v>0</v>
      </c>
      <c r="J576" t="n">
        <v>0</v>
      </c>
      <c r="K576" t="n">
        <v>0</v>
      </c>
      <c r="L576" t="n">
        <v>0</v>
      </c>
      <c r="M576" t="n">
        <v>0</v>
      </c>
      <c r="N576" t="n">
        <v>0</v>
      </c>
      <c r="O576" t="n">
        <v>0</v>
      </c>
      <c r="P576" t="n">
        <v>0</v>
      </c>
      <c r="Q576" t="n">
        <v>0</v>
      </c>
      <c r="R576" s="2" t="inlineStr"/>
    </row>
    <row r="577" ht="15" customHeight="1">
      <c r="A577" t="inlineStr">
        <is>
          <t>A 57728-2020</t>
        </is>
      </c>
      <c r="B577" s="1" t="n">
        <v>44140</v>
      </c>
      <c r="C577" s="1" t="n">
        <v>45734</v>
      </c>
      <c r="D577" t="inlineStr">
        <is>
          <t>JÄMTLANDS LÄN</t>
        </is>
      </c>
      <c r="E577" t="inlineStr">
        <is>
          <t>KROKOM</t>
        </is>
      </c>
      <c r="G577" t="n">
        <v>5</v>
      </c>
      <c r="H577" t="n">
        <v>0</v>
      </c>
      <c r="I577" t="n">
        <v>0</v>
      </c>
      <c r="J577" t="n">
        <v>0</v>
      </c>
      <c r="K577" t="n">
        <v>0</v>
      </c>
      <c r="L577" t="n">
        <v>0</v>
      </c>
      <c r="M577" t="n">
        <v>0</v>
      </c>
      <c r="N577" t="n">
        <v>0</v>
      </c>
      <c r="O577" t="n">
        <v>0</v>
      </c>
      <c r="P577" t="n">
        <v>0</v>
      </c>
      <c r="Q577" t="n">
        <v>0</v>
      </c>
      <c r="R577" s="2" t="inlineStr"/>
    </row>
    <row r="578" ht="15" customHeight="1">
      <c r="A578" t="inlineStr">
        <is>
          <t>A 58378-2020</t>
        </is>
      </c>
      <c r="B578" s="1" t="n">
        <v>44141</v>
      </c>
      <c r="C578" s="1" t="n">
        <v>45734</v>
      </c>
      <c r="D578" t="inlineStr">
        <is>
          <t>JÄMTLANDS LÄN</t>
        </is>
      </c>
      <c r="E578" t="inlineStr">
        <is>
          <t>KROKOM</t>
        </is>
      </c>
      <c r="G578" t="n">
        <v>14.4</v>
      </c>
      <c r="H578" t="n">
        <v>0</v>
      </c>
      <c r="I578" t="n">
        <v>0</v>
      </c>
      <c r="J578" t="n">
        <v>0</v>
      </c>
      <c r="K578" t="n">
        <v>0</v>
      </c>
      <c r="L578" t="n">
        <v>0</v>
      </c>
      <c r="M578" t="n">
        <v>0</v>
      </c>
      <c r="N578" t="n">
        <v>0</v>
      </c>
      <c r="O578" t="n">
        <v>0</v>
      </c>
      <c r="P578" t="n">
        <v>0</v>
      </c>
      <c r="Q578" t="n">
        <v>0</v>
      </c>
      <c r="R578" s="2" t="inlineStr"/>
    </row>
    <row r="579" ht="15" customHeight="1">
      <c r="A579" t="inlineStr">
        <is>
          <t>A 58569-2020</t>
        </is>
      </c>
      <c r="B579" s="1" t="n">
        <v>44141</v>
      </c>
      <c r="C579" s="1" t="n">
        <v>45734</v>
      </c>
      <c r="D579" t="inlineStr">
        <is>
          <t>JÄMTLANDS LÄN</t>
        </is>
      </c>
      <c r="E579" t="inlineStr">
        <is>
          <t>KROKOM</t>
        </is>
      </c>
      <c r="G579" t="n">
        <v>52.8</v>
      </c>
      <c r="H579" t="n">
        <v>0</v>
      </c>
      <c r="I579" t="n">
        <v>0</v>
      </c>
      <c r="J579" t="n">
        <v>0</v>
      </c>
      <c r="K579" t="n">
        <v>0</v>
      </c>
      <c r="L579" t="n">
        <v>0</v>
      </c>
      <c r="M579" t="n">
        <v>0</v>
      </c>
      <c r="N579" t="n">
        <v>0</v>
      </c>
      <c r="O579" t="n">
        <v>0</v>
      </c>
      <c r="P579" t="n">
        <v>0</v>
      </c>
      <c r="Q579" t="n">
        <v>0</v>
      </c>
      <c r="R579" s="2" t="inlineStr"/>
    </row>
    <row r="580" ht="15" customHeight="1">
      <c r="A580" t="inlineStr">
        <is>
          <t>A 58868-2020</t>
        </is>
      </c>
      <c r="B580" s="1" t="n">
        <v>44146</v>
      </c>
      <c r="C580" s="1" t="n">
        <v>45734</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59778-2020</t>
        </is>
      </c>
      <c r="B581" s="1" t="n">
        <v>44148</v>
      </c>
      <c r="C581" s="1" t="n">
        <v>45734</v>
      </c>
      <c r="D581" t="inlineStr">
        <is>
          <t>JÄMTLANDS LÄN</t>
        </is>
      </c>
      <c r="E581" t="inlineStr">
        <is>
          <t>KROKOM</t>
        </is>
      </c>
      <c r="G581" t="n">
        <v>39.3</v>
      </c>
      <c r="H581" t="n">
        <v>0</v>
      </c>
      <c r="I581" t="n">
        <v>0</v>
      </c>
      <c r="J581" t="n">
        <v>0</v>
      </c>
      <c r="K581" t="n">
        <v>0</v>
      </c>
      <c r="L581" t="n">
        <v>0</v>
      </c>
      <c r="M581" t="n">
        <v>0</v>
      </c>
      <c r="N581" t="n">
        <v>0</v>
      </c>
      <c r="O581" t="n">
        <v>0</v>
      </c>
      <c r="P581" t="n">
        <v>0</v>
      </c>
      <c r="Q581" t="n">
        <v>0</v>
      </c>
      <c r="R581" s="2" t="inlineStr"/>
    </row>
    <row r="582" ht="15" customHeight="1">
      <c r="A582" t="inlineStr">
        <is>
          <t>A 59718-2020</t>
        </is>
      </c>
      <c r="B582" s="1" t="n">
        <v>44151</v>
      </c>
      <c r="C582" s="1" t="n">
        <v>45734</v>
      </c>
      <c r="D582" t="inlineStr">
        <is>
          <t>JÄMTLANDS LÄN</t>
        </is>
      </c>
      <c r="E582" t="inlineStr">
        <is>
          <t>KROKOM</t>
        </is>
      </c>
      <c r="G582" t="n">
        <v>3.7</v>
      </c>
      <c r="H582" t="n">
        <v>0</v>
      </c>
      <c r="I582" t="n">
        <v>0</v>
      </c>
      <c r="J582" t="n">
        <v>0</v>
      </c>
      <c r="K582" t="n">
        <v>0</v>
      </c>
      <c r="L582" t="n">
        <v>0</v>
      </c>
      <c r="M582" t="n">
        <v>0</v>
      </c>
      <c r="N582" t="n">
        <v>0</v>
      </c>
      <c r="O582" t="n">
        <v>0</v>
      </c>
      <c r="P582" t="n">
        <v>0</v>
      </c>
      <c r="Q582" t="n">
        <v>0</v>
      </c>
      <c r="R582" s="2" t="inlineStr"/>
    </row>
    <row r="583" ht="15" customHeight="1">
      <c r="A583" t="inlineStr">
        <is>
          <t>A 59706-2020</t>
        </is>
      </c>
      <c r="B583" s="1" t="n">
        <v>44151</v>
      </c>
      <c r="C583" s="1" t="n">
        <v>45734</v>
      </c>
      <c r="D583" t="inlineStr">
        <is>
          <t>JÄMTLANDS LÄN</t>
        </is>
      </c>
      <c r="E583" t="inlineStr">
        <is>
          <t>KROKOM</t>
        </is>
      </c>
      <c r="G583" t="n">
        <v>75</v>
      </c>
      <c r="H583" t="n">
        <v>0</v>
      </c>
      <c r="I583" t="n">
        <v>0</v>
      </c>
      <c r="J583" t="n">
        <v>0</v>
      </c>
      <c r="K583" t="n">
        <v>0</v>
      </c>
      <c r="L583" t="n">
        <v>0</v>
      </c>
      <c r="M583" t="n">
        <v>0</v>
      </c>
      <c r="N583" t="n">
        <v>0</v>
      </c>
      <c r="O583" t="n">
        <v>0</v>
      </c>
      <c r="P583" t="n">
        <v>0</v>
      </c>
      <c r="Q583" t="n">
        <v>0</v>
      </c>
      <c r="R583" s="2" t="inlineStr"/>
    </row>
    <row r="584" ht="15" customHeight="1">
      <c r="A584" t="inlineStr">
        <is>
          <t>A 61091-2020</t>
        </is>
      </c>
      <c r="B584" s="1" t="n">
        <v>44153</v>
      </c>
      <c r="C584" s="1" t="n">
        <v>45734</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61609-2020</t>
        </is>
      </c>
      <c r="B585" s="1" t="n">
        <v>44154</v>
      </c>
      <c r="C585" s="1" t="n">
        <v>45734</v>
      </c>
      <c r="D585" t="inlineStr">
        <is>
          <t>JÄMTLANDS LÄN</t>
        </is>
      </c>
      <c r="E585" t="inlineStr">
        <is>
          <t>KROKOM</t>
        </is>
      </c>
      <c r="G585" t="n">
        <v>6.4</v>
      </c>
      <c r="H585" t="n">
        <v>0</v>
      </c>
      <c r="I585" t="n">
        <v>0</v>
      </c>
      <c r="J585" t="n">
        <v>0</v>
      </c>
      <c r="K585" t="n">
        <v>0</v>
      </c>
      <c r="L585" t="n">
        <v>0</v>
      </c>
      <c r="M585" t="n">
        <v>0</v>
      </c>
      <c r="N585" t="n">
        <v>0</v>
      </c>
      <c r="O585" t="n">
        <v>0</v>
      </c>
      <c r="P585" t="n">
        <v>0</v>
      </c>
      <c r="Q585" t="n">
        <v>0</v>
      </c>
      <c r="R585" s="2" t="inlineStr"/>
    </row>
    <row r="586" ht="15" customHeight="1">
      <c r="A586" t="inlineStr">
        <is>
          <t>A 60928-2020</t>
        </is>
      </c>
      <c r="B586" s="1" t="n">
        <v>44154</v>
      </c>
      <c r="C586" s="1" t="n">
        <v>45734</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62406-2020</t>
        </is>
      </c>
      <c r="B587" s="1" t="n">
        <v>44159</v>
      </c>
      <c r="C587" s="1" t="n">
        <v>45734</v>
      </c>
      <c r="D587" t="inlineStr">
        <is>
          <t>JÄMTLANDS LÄN</t>
        </is>
      </c>
      <c r="E587" t="inlineStr">
        <is>
          <t>KROKOM</t>
        </is>
      </c>
      <c r="G587" t="n">
        <v>4</v>
      </c>
      <c r="H587" t="n">
        <v>0</v>
      </c>
      <c r="I587" t="n">
        <v>0</v>
      </c>
      <c r="J587" t="n">
        <v>0</v>
      </c>
      <c r="K587" t="n">
        <v>0</v>
      </c>
      <c r="L587" t="n">
        <v>0</v>
      </c>
      <c r="M587" t="n">
        <v>0</v>
      </c>
      <c r="N587" t="n">
        <v>0</v>
      </c>
      <c r="O587" t="n">
        <v>0</v>
      </c>
      <c r="P587" t="n">
        <v>0</v>
      </c>
      <c r="Q587" t="n">
        <v>0</v>
      </c>
      <c r="R587" s="2" t="inlineStr"/>
    </row>
    <row r="588" ht="15" customHeight="1">
      <c r="A588" t="inlineStr">
        <is>
          <t>A 63821-2020</t>
        </is>
      </c>
      <c r="B588" s="1" t="n">
        <v>44161</v>
      </c>
      <c r="C588" s="1" t="n">
        <v>45734</v>
      </c>
      <c r="D588" t="inlineStr">
        <is>
          <t>JÄMTLANDS LÄN</t>
        </is>
      </c>
      <c r="E588" t="inlineStr">
        <is>
          <t>KROKOM</t>
        </is>
      </c>
      <c r="G588" t="n">
        <v>6.8</v>
      </c>
      <c r="H588" t="n">
        <v>0</v>
      </c>
      <c r="I588" t="n">
        <v>0</v>
      </c>
      <c r="J588" t="n">
        <v>0</v>
      </c>
      <c r="K588" t="n">
        <v>0</v>
      </c>
      <c r="L588" t="n">
        <v>0</v>
      </c>
      <c r="M588" t="n">
        <v>0</v>
      </c>
      <c r="N588" t="n">
        <v>0</v>
      </c>
      <c r="O588" t="n">
        <v>0</v>
      </c>
      <c r="P588" t="n">
        <v>0</v>
      </c>
      <c r="Q588" t="n">
        <v>0</v>
      </c>
      <c r="R588" s="2" t="inlineStr"/>
    </row>
    <row r="589" ht="15" customHeight="1">
      <c r="A589" t="inlineStr">
        <is>
          <t>A 63701-2020</t>
        </is>
      </c>
      <c r="B589" s="1" t="n">
        <v>44162</v>
      </c>
      <c r="C589" s="1" t="n">
        <v>45734</v>
      </c>
      <c r="D589" t="inlineStr">
        <is>
          <t>JÄMTLANDS LÄN</t>
        </is>
      </c>
      <c r="E589" t="inlineStr">
        <is>
          <t>KROKOM</t>
        </is>
      </c>
      <c r="G589" t="n">
        <v>1.6</v>
      </c>
      <c r="H589" t="n">
        <v>0</v>
      </c>
      <c r="I589" t="n">
        <v>0</v>
      </c>
      <c r="J589" t="n">
        <v>0</v>
      </c>
      <c r="K589" t="n">
        <v>0</v>
      </c>
      <c r="L589" t="n">
        <v>0</v>
      </c>
      <c r="M589" t="n">
        <v>0</v>
      </c>
      <c r="N589" t="n">
        <v>0</v>
      </c>
      <c r="O589" t="n">
        <v>0</v>
      </c>
      <c r="P589" t="n">
        <v>0</v>
      </c>
      <c r="Q589" t="n">
        <v>0</v>
      </c>
      <c r="R589" s="2" t="inlineStr"/>
    </row>
    <row r="590" ht="15" customHeight="1">
      <c r="A590" t="inlineStr">
        <is>
          <t>A 63787-2020</t>
        </is>
      </c>
      <c r="B590" s="1" t="n">
        <v>44162</v>
      </c>
      <c r="C590" s="1" t="n">
        <v>45734</v>
      </c>
      <c r="D590" t="inlineStr">
        <is>
          <t>JÄMTLANDS LÄN</t>
        </is>
      </c>
      <c r="E590" t="inlineStr">
        <is>
          <t>KROKOM</t>
        </is>
      </c>
      <c r="G590" t="n">
        <v>60.3</v>
      </c>
      <c r="H590" t="n">
        <v>0</v>
      </c>
      <c r="I590" t="n">
        <v>0</v>
      </c>
      <c r="J590" t="n">
        <v>0</v>
      </c>
      <c r="K590" t="n">
        <v>0</v>
      </c>
      <c r="L590" t="n">
        <v>0</v>
      </c>
      <c r="M590" t="n">
        <v>0</v>
      </c>
      <c r="N590" t="n">
        <v>0</v>
      </c>
      <c r="O590" t="n">
        <v>0</v>
      </c>
      <c r="P590" t="n">
        <v>0</v>
      </c>
      <c r="Q590" t="n">
        <v>0</v>
      </c>
      <c r="R590" s="2" t="inlineStr"/>
    </row>
    <row r="591" ht="15" customHeight="1">
      <c r="A591" t="inlineStr">
        <is>
          <t>A 64777-2020</t>
        </is>
      </c>
      <c r="B591" s="1" t="n">
        <v>44167</v>
      </c>
      <c r="C591" s="1" t="n">
        <v>45734</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65433-2020</t>
        </is>
      </c>
      <c r="B592" s="1" t="n">
        <v>44169</v>
      </c>
      <c r="C592" s="1" t="n">
        <v>45734</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65451-2020</t>
        </is>
      </c>
      <c r="B593" s="1" t="n">
        <v>44169</v>
      </c>
      <c r="C593" s="1" t="n">
        <v>45734</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65787-2020</t>
        </is>
      </c>
      <c r="B594" s="1" t="n">
        <v>44172</v>
      </c>
      <c r="C594" s="1" t="n">
        <v>45734</v>
      </c>
      <c r="D594" t="inlineStr">
        <is>
          <t>JÄMTLANDS LÄN</t>
        </is>
      </c>
      <c r="E594" t="inlineStr">
        <is>
          <t>KROKOM</t>
        </is>
      </c>
      <c r="G594" t="n">
        <v>5.8</v>
      </c>
      <c r="H594" t="n">
        <v>0</v>
      </c>
      <c r="I594" t="n">
        <v>0</v>
      </c>
      <c r="J594" t="n">
        <v>0</v>
      </c>
      <c r="K594" t="n">
        <v>0</v>
      </c>
      <c r="L594" t="n">
        <v>0</v>
      </c>
      <c r="M594" t="n">
        <v>0</v>
      </c>
      <c r="N594" t="n">
        <v>0</v>
      </c>
      <c r="O594" t="n">
        <v>0</v>
      </c>
      <c r="P594" t="n">
        <v>0</v>
      </c>
      <c r="Q594" t="n">
        <v>0</v>
      </c>
      <c r="R594" s="2" t="inlineStr"/>
    </row>
    <row r="595" ht="15" customHeight="1">
      <c r="A595" t="inlineStr">
        <is>
          <t>A 65783-2020</t>
        </is>
      </c>
      <c r="B595" s="1" t="n">
        <v>44172</v>
      </c>
      <c r="C595" s="1" t="n">
        <v>45734</v>
      </c>
      <c r="D595" t="inlineStr">
        <is>
          <t>JÄMTLANDS LÄN</t>
        </is>
      </c>
      <c r="E595" t="inlineStr">
        <is>
          <t>KROKOM</t>
        </is>
      </c>
      <c r="G595" t="n">
        <v>3.8</v>
      </c>
      <c r="H595" t="n">
        <v>0</v>
      </c>
      <c r="I595" t="n">
        <v>0</v>
      </c>
      <c r="J595" t="n">
        <v>0</v>
      </c>
      <c r="K595" t="n">
        <v>0</v>
      </c>
      <c r="L595" t="n">
        <v>0</v>
      </c>
      <c r="M595" t="n">
        <v>0</v>
      </c>
      <c r="N595" t="n">
        <v>0</v>
      </c>
      <c r="O595" t="n">
        <v>0</v>
      </c>
      <c r="P595" t="n">
        <v>0</v>
      </c>
      <c r="Q595" t="n">
        <v>0</v>
      </c>
      <c r="R595" s="2" t="inlineStr"/>
    </row>
    <row r="596" ht="15" customHeight="1">
      <c r="A596" t="inlineStr">
        <is>
          <t>A 65316-2020</t>
        </is>
      </c>
      <c r="B596" s="1" t="n">
        <v>44173</v>
      </c>
      <c r="C596" s="1" t="n">
        <v>45734</v>
      </c>
      <c r="D596" t="inlineStr">
        <is>
          <t>JÄMTLANDS LÄN</t>
        </is>
      </c>
      <c r="E596" t="inlineStr">
        <is>
          <t>KROKOM</t>
        </is>
      </c>
      <c r="F596" t="inlineStr">
        <is>
          <t>Övriga Aktiebolag</t>
        </is>
      </c>
      <c r="G596" t="n">
        <v>12.5</v>
      </c>
      <c r="H596" t="n">
        <v>0</v>
      </c>
      <c r="I596" t="n">
        <v>0</v>
      </c>
      <c r="J596" t="n">
        <v>0</v>
      </c>
      <c r="K596" t="n">
        <v>0</v>
      </c>
      <c r="L596" t="n">
        <v>0</v>
      </c>
      <c r="M596" t="n">
        <v>0</v>
      </c>
      <c r="N596" t="n">
        <v>0</v>
      </c>
      <c r="O596" t="n">
        <v>0</v>
      </c>
      <c r="P596" t="n">
        <v>0</v>
      </c>
      <c r="Q596" t="n">
        <v>0</v>
      </c>
      <c r="R596" s="2" t="inlineStr"/>
    </row>
    <row r="597" ht="15" customHeight="1">
      <c r="A597" t="inlineStr">
        <is>
          <t>A 66784-2020</t>
        </is>
      </c>
      <c r="B597" s="1" t="n">
        <v>44175</v>
      </c>
      <c r="C597" s="1" t="n">
        <v>45734</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66774-2020</t>
        </is>
      </c>
      <c r="B598" s="1" t="n">
        <v>44175</v>
      </c>
      <c r="C598" s="1" t="n">
        <v>45734</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67730-2020</t>
        </is>
      </c>
      <c r="B599" s="1" t="n">
        <v>44179</v>
      </c>
      <c r="C599" s="1" t="n">
        <v>45734</v>
      </c>
      <c r="D599" t="inlineStr">
        <is>
          <t>JÄMTLANDS LÄN</t>
        </is>
      </c>
      <c r="E599" t="inlineStr">
        <is>
          <t>KROKOM</t>
        </is>
      </c>
      <c r="G599" t="n">
        <v>7.5</v>
      </c>
      <c r="H599" t="n">
        <v>0</v>
      </c>
      <c r="I599" t="n">
        <v>0</v>
      </c>
      <c r="J599" t="n">
        <v>0</v>
      </c>
      <c r="K599" t="n">
        <v>0</v>
      </c>
      <c r="L599" t="n">
        <v>0</v>
      </c>
      <c r="M599" t="n">
        <v>0</v>
      </c>
      <c r="N599" t="n">
        <v>0</v>
      </c>
      <c r="O599" t="n">
        <v>0</v>
      </c>
      <c r="P599" t="n">
        <v>0</v>
      </c>
      <c r="Q599" t="n">
        <v>0</v>
      </c>
      <c r="R599" s="2" t="inlineStr"/>
    </row>
    <row r="600" ht="15" customHeight="1">
      <c r="A600" t="inlineStr">
        <is>
          <t>A 68060-2020</t>
        </is>
      </c>
      <c r="B600" s="1" t="n">
        <v>44183</v>
      </c>
      <c r="C600" s="1" t="n">
        <v>45734</v>
      </c>
      <c r="D600" t="inlineStr">
        <is>
          <t>JÄMTLANDS LÄN</t>
        </is>
      </c>
      <c r="E600" t="inlineStr">
        <is>
          <t>KROKOM</t>
        </is>
      </c>
      <c r="G600" t="n">
        <v>2.2</v>
      </c>
      <c r="H600" t="n">
        <v>0</v>
      </c>
      <c r="I600" t="n">
        <v>0</v>
      </c>
      <c r="J600" t="n">
        <v>0</v>
      </c>
      <c r="K600" t="n">
        <v>0</v>
      </c>
      <c r="L600" t="n">
        <v>0</v>
      </c>
      <c r="M600" t="n">
        <v>0</v>
      </c>
      <c r="N600" t="n">
        <v>0</v>
      </c>
      <c r="O600" t="n">
        <v>0</v>
      </c>
      <c r="P600" t="n">
        <v>0</v>
      </c>
      <c r="Q600" t="n">
        <v>0</v>
      </c>
      <c r="R600" s="2" t="inlineStr"/>
    </row>
    <row r="601" ht="15" customHeight="1">
      <c r="A601" t="inlineStr">
        <is>
          <t>A 68387-2020</t>
        </is>
      </c>
      <c r="B601" s="1" t="n">
        <v>44183</v>
      </c>
      <c r="C601" s="1" t="n">
        <v>45734</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68393-2020</t>
        </is>
      </c>
      <c r="B602" s="1" t="n">
        <v>44183</v>
      </c>
      <c r="C602" s="1" t="n">
        <v>45734</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68433-2020</t>
        </is>
      </c>
      <c r="B603" s="1" t="n">
        <v>44183</v>
      </c>
      <c r="C603" s="1" t="n">
        <v>45734</v>
      </c>
      <c r="D603" t="inlineStr">
        <is>
          <t>JÄMTLANDS LÄN</t>
        </is>
      </c>
      <c r="E603" t="inlineStr">
        <is>
          <t>KROKOM</t>
        </is>
      </c>
      <c r="G603" t="n">
        <v>7.4</v>
      </c>
      <c r="H603" t="n">
        <v>0</v>
      </c>
      <c r="I603" t="n">
        <v>0</v>
      </c>
      <c r="J603" t="n">
        <v>0</v>
      </c>
      <c r="K603" t="n">
        <v>0</v>
      </c>
      <c r="L603" t="n">
        <v>0</v>
      </c>
      <c r="M603" t="n">
        <v>0</v>
      </c>
      <c r="N603" t="n">
        <v>0</v>
      </c>
      <c r="O603" t="n">
        <v>0</v>
      </c>
      <c r="P603" t="n">
        <v>0</v>
      </c>
      <c r="Q603" t="n">
        <v>0</v>
      </c>
      <c r="R603" s="2" t="inlineStr"/>
    </row>
    <row r="604" ht="15" customHeight="1">
      <c r="A604" t="inlineStr">
        <is>
          <t>A 68395-2020</t>
        </is>
      </c>
      <c r="B604" s="1" t="n">
        <v>44183</v>
      </c>
      <c r="C604" s="1" t="n">
        <v>45734</v>
      </c>
      <c r="D604" t="inlineStr">
        <is>
          <t>JÄMTLANDS LÄN</t>
        </is>
      </c>
      <c r="E604" t="inlineStr">
        <is>
          <t>KROKOM</t>
        </is>
      </c>
      <c r="G604" t="n">
        <v>0.5</v>
      </c>
      <c r="H604" t="n">
        <v>0</v>
      </c>
      <c r="I604" t="n">
        <v>0</v>
      </c>
      <c r="J604" t="n">
        <v>0</v>
      </c>
      <c r="K604" t="n">
        <v>0</v>
      </c>
      <c r="L604" t="n">
        <v>0</v>
      </c>
      <c r="M604" t="n">
        <v>0</v>
      </c>
      <c r="N604" t="n">
        <v>0</v>
      </c>
      <c r="O604" t="n">
        <v>0</v>
      </c>
      <c r="P604" t="n">
        <v>0</v>
      </c>
      <c r="Q604" t="n">
        <v>0</v>
      </c>
      <c r="R604" s="2" t="inlineStr"/>
    </row>
    <row r="605" ht="15" customHeight="1">
      <c r="A605" t="inlineStr">
        <is>
          <t>A 68658-2020</t>
        </is>
      </c>
      <c r="B605" s="1" t="n">
        <v>44186</v>
      </c>
      <c r="C605" s="1" t="n">
        <v>45734</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68764-2020</t>
        </is>
      </c>
      <c r="B606" s="1" t="n">
        <v>44186</v>
      </c>
      <c r="C606" s="1" t="n">
        <v>45734</v>
      </c>
      <c r="D606" t="inlineStr">
        <is>
          <t>JÄMTLANDS LÄN</t>
        </is>
      </c>
      <c r="E606" t="inlineStr">
        <is>
          <t>KROKOM</t>
        </is>
      </c>
      <c r="G606" t="n">
        <v>0.3</v>
      </c>
      <c r="H606" t="n">
        <v>0</v>
      </c>
      <c r="I606" t="n">
        <v>0</v>
      </c>
      <c r="J606" t="n">
        <v>0</v>
      </c>
      <c r="K606" t="n">
        <v>0</v>
      </c>
      <c r="L606" t="n">
        <v>0</v>
      </c>
      <c r="M606" t="n">
        <v>0</v>
      </c>
      <c r="N606" t="n">
        <v>0</v>
      </c>
      <c r="O606" t="n">
        <v>0</v>
      </c>
      <c r="P606" t="n">
        <v>0</v>
      </c>
      <c r="Q606" t="n">
        <v>0</v>
      </c>
      <c r="R606" s="2" t="inlineStr"/>
    </row>
    <row r="607" ht="15" customHeight="1">
      <c r="A607" t="inlineStr">
        <is>
          <t>A 69120-2020</t>
        </is>
      </c>
      <c r="B607" s="1" t="n">
        <v>44188</v>
      </c>
      <c r="C607" s="1" t="n">
        <v>45734</v>
      </c>
      <c r="D607" t="inlineStr">
        <is>
          <t>JÄMTLANDS LÄN</t>
        </is>
      </c>
      <c r="E607" t="inlineStr">
        <is>
          <t>KROKOM</t>
        </is>
      </c>
      <c r="G607" t="n">
        <v>4.1</v>
      </c>
      <c r="H607" t="n">
        <v>0</v>
      </c>
      <c r="I607" t="n">
        <v>0</v>
      </c>
      <c r="J607" t="n">
        <v>0</v>
      </c>
      <c r="K607" t="n">
        <v>0</v>
      </c>
      <c r="L607" t="n">
        <v>0</v>
      </c>
      <c r="M607" t="n">
        <v>0</v>
      </c>
      <c r="N607" t="n">
        <v>0</v>
      </c>
      <c r="O607" t="n">
        <v>0</v>
      </c>
      <c r="P607" t="n">
        <v>0</v>
      </c>
      <c r="Q607" t="n">
        <v>0</v>
      </c>
      <c r="R607" s="2" t="inlineStr"/>
    </row>
    <row r="608" ht="15" customHeight="1">
      <c r="A608" t="inlineStr">
        <is>
          <t>A 327-2021</t>
        </is>
      </c>
      <c r="B608" s="1" t="n">
        <v>44200</v>
      </c>
      <c r="C608" s="1" t="n">
        <v>45734</v>
      </c>
      <c r="D608" t="inlineStr">
        <is>
          <t>JÄMTLANDS LÄN</t>
        </is>
      </c>
      <c r="E608" t="inlineStr">
        <is>
          <t>KROKOM</t>
        </is>
      </c>
      <c r="G608" t="n">
        <v>0.2</v>
      </c>
      <c r="H608" t="n">
        <v>0</v>
      </c>
      <c r="I608" t="n">
        <v>0</v>
      </c>
      <c r="J608" t="n">
        <v>0</v>
      </c>
      <c r="K608" t="n">
        <v>0</v>
      </c>
      <c r="L608" t="n">
        <v>0</v>
      </c>
      <c r="M608" t="n">
        <v>0</v>
      </c>
      <c r="N608" t="n">
        <v>0</v>
      </c>
      <c r="O608" t="n">
        <v>0</v>
      </c>
      <c r="P608" t="n">
        <v>0</v>
      </c>
      <c r="Q608" t="n">
        <v>0</v>
      </c>
      <c r="R608" s="2" t="inlineStr"/>
    </row>
    <row r="609" ht="15" customHeight="1">
      <c r="A609" t="inlineStr">
        <is>
          <t>A 688-2021</t>
        </is>
      </c>
      <c r="B609" s="1" t="n">
        <v>44203</v>
      </c>
      <c r="C609" s="1" t="n">
        <v>45734</v>
      </c>
      <c r="D609" t="inlineStr">
        <is>
          <t>JÄMTLANDS LÄN</t>
        </is>
      </c>
      <c r="E609" t="inlineStr">
        <is>
          <t>KROKOM</t>
        </is>
      </c>
      <c r="G609" t="n">
        <v>7.8</v>
      </c>
      <c r="H609" t="n">
        <v>0</v>
      </c>
      <c r="I609" t="n">
        <v>0</v>
      </c>
      <c r="J609" t="n">
        <v>0</v>
      </c>
      <c r="K609" t="n">
        <v>0</v>
      </c>
      <c r="L609" t="n">
        <v>0</v>
      </c>
      <c r="M609" t="n">
        <v>0</v>
      </c>
      <c r="N609" t="n">
        <v>0</v>
      </c>
      <c r="O609" t="n">
        <v>0</v>
      </c>
      <c r="P609" t="n">
        <v>0</v>
      </c>
      <c r="Q609" t="n">
        <v>0</v>
      </c>
      <c r="R609" s="2" t="inlineStr"/>
    </row>
    <row r="610" ht="15" customHeight="1">
      <c r="A610" t="inlineStr">
        <is>
          <t>A 884-2021</t>
        </is>
      </c>
      <c r="B610" s="1" t="n">
        <v>44206</v>
      </c>
      <c r="C610" s="1" t="n">
        <v>45734</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913-2021</t>
        </is>
      </c>
      <c r="B611" s="1" t="n">
        <v>44207</v>
      </c>
      <c r="C611" s="1" t="n">
        <v>45734</v>
      </c>
      <c r="D611" t="inlineStr">
        <is>
          <t>JÄMTLANDS LÄN</t>
        </is>
      </c>
      <c r="E611" t="inlineStr">
        <is>
          <t>KROKOM</t>
        </is>
      </c>
      <c r="F611" t="inlineStr">
        <is>
          <t>Övriga Aktiebolag</t>
        </is>
      </c>
      <c r="G611" t="n">
        <v>50.8</v>
      </c>
      <c r="H611" t="n">
        <v>0</v>
      </c>
      <c r="I611" t="n">
        <v>0</v>
      </c>
      <c r="J611" t="n">
        <v>0</v>
      </c>
      <c r="K611" t="n">
        <v>0</v>
      </c>
      <c r="L611" t="n">
        <v>0</v>
      </c>
      <c r="M611" t="n">
        <v>0</v>
      </c>
      <c r="N611" t="n">
        <v>0</v>
      </c>
      <c r="O611" t="n">
        <v>0</v>
      </c>
      <c r="P611" t="n">
        <v>0</v>
      </c>
      <c r="Q611" t="n">
        <v>0</v>
      </c>
      <c r="R611" s="2" t="inlineStr"/>
    </row>
    <row r="612" ht="15" customHeight="1">
      <c r="A612" t="inlineStr">
        <is>
          <t>A 981-2021</t>
        </is>
      </c>
      <c r="B612" s="1" t="n">
        <v>44207</v>
      </c>
      <c r="C612" s="1" t="n">
        <v>45734</v>
      </c>
      <c r="D612" t="inlineStr">
        <is>
          <t>JÄMTLANDS LÄN</t>
        </is>
      </c>
      <c r="E612" t="inlineStr">
        <is>
          <t>KROKOM</t>
        </is>
      </c>
      <c r="G612" t="n">
        <v>3.5</v>
      </c>
      <c r="H612" t="n">
        <v>0</v>
      </c>
      <c r="I612" t="n">
        <v>0</v>
      </c>
      <c r="J612" t="n">
        <v>0</v>
      </c>
      <c r="K612" t="n">
        <v>0</v>
      </c>
      <c r="L612" t="n">
        <v>0</v>
      </c>
      <c r="M612" t="n">
        <v>0</v>
      </c>
      <c r="N612" t="n">
        <v>0</v>
      </c>
      <c r="O612" t="n">
        <v>0</v>
      </c>
      <c r="P612" t="n">
        <v>0</v>
      </c>
      <c r="Q612" t="n">
        <v>0</v>
      </c>
      <c r="R612" s="2" t="inlineStr"/>
    </row>
    <row r="613" ht="15" customHeight="1">
      <c r="A613" t="inlineStr">
        <is>
          <t>A 915-2021</t>
        </is>
      </c>
      <c r="B613" s="1" t="n">
        <v>44207</v>
      </c>
      <c r="C613" s="1" t="n">
        <v>45734</v>
      </c>
      <c r="D613" t="inlineStr">
        <is>
          <t>JÄMTLANDS LÄN</t>
        </is>
      </c>
      <c r="E613" t="inlineStr">
        <is>
          <t>KROKOM</t>
        </is>
      </c>
      <c r="F613" t="inlineStr">
        <is>
          <t>Övriga Aktiebolag</t>
        </is>
      </c>
      <c r="G613" t="n">
        <v>107.9</v>
      </c>
      <c r="H613" t="n">
        <v>0</v>
      </c>
      <c r="I613" t="n">
        <v>0</v>
      </c>
      <c r="J613" t="n">
        <v>0</v>
      </c>
      <c r="K613" t="n">
        <v>0</v>
      </c>
      <c r="L613" t="n">
        <v>0</v>
      </c>
      <c r="M613" t="n">
        <v>0</v>
      </c>
      <c r="N613" t="n">
        <v>0</v>
      </c>
      <c r="O613" t="n">
        <v>0</v>
      </c>
      <c r="P613" t="n">
        <v>0</v>
      </c>
      <c r="Q613" t="n">
        <v>0</v>
      </c>
      <c r="R613" s="2" t="inlineStr"/>
    </row>
    <row r="614" ht="15" customHeight="1">
      <c r="A614" t="inlineStr">
        <is>
          <t>A 1287-2021</t>
        </is>
      </c>
      <c r="B614" s="1" t="n">
        <v>44207</v>
      </c>
      <c r="C614" s="1" t="n">
        <v>45734</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1696-2021</t>
        </is>
      </c>
      <c r="B615" s="1" t="n">
        <v>44209</v>
      </c>
      <c r="C615" s="1" t="n">
        <v>45734</v>
      </c>
      <c r="D615" t="inlineStr">
        <is>
          <t>JÄMTLANDS LÄN</t>
        </is>
      </c>
      <c r="E615" t="inlineStr">
        <is>
          <t>KROKOM</t>
        </is>
      </c>
      <c r="G615" t="n">
        <v>3.1</v>
      </c>
      <c r="H615" t="n">
        <v>0</v>
      </c>
      <c r="I615" t="n">
        <v>0</v>
      </c>
      <c r="J615" t="n">
        <v>0</v>
      </c>
      <c r="K615" t="n">
        <v>0</v>
      </c>
      <c r="L615" t="n">
        <v>0</v>
      </c>
      <c r="M615" t="n">
        <v>0</v>
      </c>
      <c r="N615" t="n">
        <v>0</v>
      </c>
      <c r="O615" t="n">
        <v>0</v>
      </c>
      <c r="P615" t="n">
        <v>0</v>
      </c>
      <c r="Q615" t="n">
        <v>0</v>
      </c>
      <c r="R615" s="2" t="inlineStr"/>
    </row>
    <row r="616" ht="15" customHeight="1">
      <c r="A616" t="inlineStr">
        <is>
          <t>A 1718-2021</t>
        </is>
      </c>
      <c r="B616" s="1" t="n">
        <v>44209</v>
      </c>
      <c r="C616" s="1" t="n">
        <v>45734</v>
      </c>
      <c r="D616" t="inlineStr">
        <is>
          <t>JÄMTLANDS LÄN</t>
        </is>
      </c>
      <c r="E616" t="inlineStr">
        <is>
          <t>KROKOM</t>
        </is>
      </c>
      <c r="G616" t="n">
        <v>8</v>
      </c>
      <c r="H616" t="n">
        <v>0</v>
      </c>
      <c r="I616" t="n">
        <v>0</v>
      </c>
      <c r="J616" t="n">
        <v>0</v>
      </c>
      <c r="K616" t="n">
        <v>0</v>
      </c>
      <c r="L616" t="n">
        <v>0</v>
      </c>
      <c r="M616" t="n">
        <v>0</v>
      </c>
      <c r="N616" t="n">
        <v>0</v>
      </c>
      <c r="O616" t="n">
        <v>0</v>
      </c>
      <c r="P616" t="n">
        <v>0</v>
      </c>
      <c r="Q616" t="n">
        <v>0</v>
      </c>
      <c r="R616" s="2" t="inlineStr"/>
    </row>
    <row r="617" ht="15" customHeight="1">
      <c r="A617" t="inlineStr">
        <is>
          <t>A 1753-2021</t>
        </is>
      </c>
      <c r="B617" s="1" t="n">
        <v>44209</v>
      </c>
      <c r="C617" s="1" t="n">
        <v>45734</v>
      </c>
      <c r="D617" t="inlineStr">
        <is>
          <t>JÄMTLANDS LÄN</t>
        </is>
      </c>
      <c r="E617" t="inlineStr">
        <is>
          <t>KROKOM</t>
        </is>
      </c>
      <c r="G617" t="n">
        <v>17.2</v>
      </c>
      <c r="H617" t="n">
        <v>0</v>
      </c>
      <c r="I617" t="n">
        <v>0</v>
      </c>
      <c r="J617" t="n">
        <v>0</v>
      </c>
      <c r="K617" t="n">
        <v>0</v>
      </c>
      <c r="L617" t="n">
        <v>0</v>
      </c>
      <c r="M617" t="n">
        <v>0</v>
      </c>
      <c r="N617" t="n">
        <v>0</v>
      </c>
      <c r="O617" t="n">
        <v>0</v>
      </c>
      <c r="P617" t="n">
        <v>0</v>
      </c>
      <c r="Q617" t="n">
        <v>0</v>
      </c>
      <c r="R617" s="2" t="inlineStr"/>
    </row>
    <row r="618" ht="15" customHeight="1">
      <c r="A618" t="inlineStr">
        <is>
          <t>A 1756-2021</t>
        </is>
      </c>
      <c r="B618" s="1" t="n">
        <v>44209</v>
      </c>
      <c r="C618" s="1" t="n">
        <v>45734</v>
      </c>
      <c r="D618" t="inlineStr">
        <is>
          <t>JÄMTLANDS LÄN</t>
        </is>
      </c>
      <c r="E618" t="inlineStr">
        <is>
          <t>KROKOM</t>
        </is>
      </c>
      <c r="G618" t="n">
        <v>7.4</v>
      </c>
      <c r="H618" t="n">
        <v>0</v>
      </c>
      <c r="I618" t="n">
        <v>0</v>
      </c>
      <c r="J618" t="n">
        <v>0</v>
      </c>
      <c r="K618" t="n">
        <v>0</v>
      </c>
      <c r="L618" t="n">
        <v>0</v>
      </c>
      <c r="M618" t="n">
        <v>0</v>
      </c>
      <c r="N618" t="n">
        <v>0</v>
      </c>
      <c r="O618" t="n">
        <v>0</v>
      </c>
      <c r="P618" t="n">
        <v>0</v>
      </c>
      <c r="Q618" t="n">
        <v>0</v>
      </c>
      <c r="R618" s="2" t="inlineStr"/>
    </row>
    <row r="619" ht="15" customHeight="1">
      <c r="A619" t="inlineStr">
        <is>
          <t>A 2062-2021</t>
        </is>
      </c>
      <c r="B619" s="1" t="n">
        <v>44211</v>
      </c>
      <c r="C619" s="1" t="n">
        <v>45734</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2356-2021</t>
        </is>
      </c>
      <c r="B620" s="1" t="n">
        <v>44214</v>
      </c>
      <c r="C620" s="1" t="n">
        <v>45734</v>
      </c>
      <c r="D620" t="inlineStr">
        <is>
          <t>JÄMTLANDS LÄN</t>
        </is>
      </c>
      <c r="E620" t="inlineStr">
        <is>
          <t>KROKOM</t>
        </is>
      </c>
      <c r="G620" t="n">
        <v>22.6</v>
      </c>
      <c r="H620" t="n">
        <v>0</v>
      </c>
      <c r="I620" t="n">
        <v>0</v>
      </c>
      <c r="J620" t="n">
        <v>0</v>
      </c>
      <c r="K620" t="n">
        <v>0</v>
      </c>
      <c r="L620" t="n">
        <v>0</v>
      </c>
      <c r="M620" t="n">
        <v>0</v>
      </c>
      <c r="N620" t="n">
        <v>0</v>
      </c>
      <c r="O620" t="n">
        <v>0</v>
      </c>
      <c r="P620" t="n">
        <v>0</v>
      </c>
      <c r="Q620" t="n">
        <v>0</v>
      </c>
      <c r="R620" s="2" t="inlineStr"/>
    </row>
    <row r="621" ht="15" customHeight="1">
      <c r="A621" t="inlineStr">
        <is>
          <t>A 2410-2021</t>
        </is>
      </c>
      <c r="B621" s="1" t="n">
        <v>44214</v>
      </c>
      <c r="C621" s="1" t="n">
        <v>45734</v>
      </c>
      <c r="D621" t="inlineStr">
        <is>
          <t>JÄMTLANDS LÄN</t>
        </is>
      </c>
      <c r="E621" t="inlineStr">
        <is>
          <t>KROKOM</t>
        </is>
      </c>
      <c r="G621" t="n">
        <v>32.7</v>
      </c>
      <c r="H621" t="n">
        <v>0</v>
      </c>
      <c r="I621" t="n">
        <v>0</v>
      </c>
      <c r="J621" t="n">
        <v>0</v>
      </c>
      <c r="K621" t="n">
        <v>0</v>
      </c>
      <c r="L621" t="n">
        <v>0</v>
      </c>
      <c r="M621" t="n">
        <v>0</v>
      </c>
      <c r="N621" t="n">
        <v>0</v>
      </c>
      <c r="O621" t="n">
        <v>0</v>
      </c>
      <c r="P621" t="n">
        <v>0</v>
      </c>
      <c r="Q621" t="n">
        <v>0</v>
      </c>
      <c r="R621" s="2" t="inlineStr"/>
    </row>
    <row r="622" ht="15" customHeight="1">
      <c r="A622" t="inlineStr">
        <is>
          <t>A 2427-2021</t>
        </is>
      </c>
      <c r="B622" s="1" t="n">
        <v>44214</v>
      </c>
      <c r="C622" s="1" t="n">
        <v>45734</v>
      </c>
      <c r="D622" t="inlineStr">
        <is>
          <t>JÄMTLANDS LÄN</t>
        </is>
      </c>
      <c r="E622" t="inlineStr">
        <is>
          <t>KROKOM</t>
        </is>
      </c>
      <c r="G622" t="n">
        <v>20.5</v>
      </c>
      <c r="H622" t="n">
        <v>0</v>
      </c>
      <c r="I622" t="n">
        <v>0</v>
      </c>
      <c r="J622" t="n">
        <v>0</v>
      </c>
      <c r="K622" t="n">
        <v>0</v>
      </c>
      <c r="L622" t="n">
        <v>0</v>
      </c>
      <c r="M622" t="n">
        <v>0</v>
      </c>
      <c r="N622" t="n">
        <v>0</v>
      </c>
      <c r="O622" t="n">
        <v>0</v>
      </c>
      <c r="P622" t="n">
        <v>0</v>
      </c>
      <c r="Q622" t="n">
        <v>0</v>
      </c>
      <c r="R622" s="2" t="inlineStr"/>
    </row>
    <row r="623" ht="15" customHeight="1">
      <c r="A623" t="inlineStr">
        <is>
          <t>A 2442-2021</t>
        </is>
      </c>
      <c r="B623" s="1" t="n">
        <v>44214</v>
      </c>
      <c r="C623" s="1" t="n">
        <v>45734</v>
      </c>
      <c r="D623" t="inlineStr">
        <is>
          <t>JÄMTLANDS LÄN</t>
        </is>
      </c>
      <c r="E623" t="inlineStr">
        <is>
          <t>KROKOM</t>
        </is>
      </c>
      <c r="G623" t="n">
        <v>25.4</v>
      </c>
      <c r="H623" t="n">
        <v>0</v>
      </c>
      <c r="I623" t="n">
        <v>0</v>
      </c>
      <c r="J623" t="n">
        <v>0</v>
      </c>
      <c r="K623" t="n">
        <v>0</v>
      </c>
      <c r="L623" t="n">
        <v>0</v>
      </c>
      <c r="M623" t="n">
        <v>0</v>
      </c>
      <c r="N623" t="n">
        <v>0</v>
      </c>
      <c r="O623" t="n">
        <v>0</v>
      </c>
      <c r="P623" t="n">
        <v>0</v>
      </c>
      <c r="Q623" t="n">
        <v>0</v>
      </c>
      <c r="R623" s="2" t="inlineStr"/>
    </row>
    <row r="624" ht="15" customHeight="1">
      <c r="A624" t="inlineStr">
        <is>
          <t>A 2451-2021</t>
        </is>
      </c>
      <c r="B624" s="1" t="n">
        <v>44214</v>
      </c>
      <c r="C624" s="1" t="n">
        <v>45734</v>
      </c>
      <c r="D624" t="inlineStr">
        <is>
          <t>JÄMTLANDS LÄN</t>
        </is>
      </c>
      <c r="E624" t="inlineStr">
        <is>
          <t>KROKOM</t>
        </is>
      </c>
      <c r="G624" t="n">
        <v>29.5</v>
      </c>
      <c r="H624" t="n">
        <v>0</v>
      </c>
      <c r="I624" t="n">
        <v>0</v>
      </c>
      <c r="J624" t="n">
        <v>0</v>
      </c>
      <c r="K624" t="n">
        <v>0</v>
      </c>
      <c r="L624" t="n">
        <v>0</v>
      </c>
      <c r="M624" t="n">
        <v>0</v>
      </c>
      <c r="N624" t="n">
        <v>0</v>
      </c>
      <c r="O624" t="n">
        <v>0</v>
      </c>
      <c r="P624" t="n">
        <v>0</v>
      </c>
      <c r="Q624" t="n">
        <v>0</v>
      </c>
      <c r="R624" s="2" t="inlineStr"/>
    </row>
    <row r="625" ht="15" customHeight="1">
      <c r="A625" t="inlineStr">
        <is>
          <t>A 2568-2021</t>
        </is>
      </c>
      <c r="B625" s="1" t="n">
        <v>44214</v>
      </c>
      <c r="C625" s="1" t="n">
        <v>45734</v>
      </c>
      <c r="D625" t="inlineStr">
        <is>
          <t>JÄMTLANDS LÄN</t>
        </is>
      </c>
      <c r="E625" t="inlineStr">
        <is>
          <t>KROKOM</t>
        </is>
      </c>
      <c r="G625" t="n">
        <v>0.9</v>
      </c>
      <c r="H625" t="n">
        <v>0</v>
      </c>
      <c r="I625" t="n">
        <v>0</v>
      </c>
      <c r="J625" t="n">
        <v>0</v>
      </c>
      <c r="K625" t="n">
        <v>0</v>
      </c>
      <c r="L625" t="n">
        <v>0</v>
      </c>
      <c r="M625" t="n">
        <v>0</v>
      </c>
      <c r="N625" t="n">
        <v>0</v>
      </c>
      <c r="O625" t="n">
        <v>0</v>
      </c>
      <c r="P625" t="n">
        <v>0</v>
      </c>
      <c r="Q625" t="n">
        <v>0</v>
      </c>
      <c r="R625" s="2" t="inlineStr"/>
    </row>
    <row r="626" ht="15" customHeight="1">
      <c r="A626" t="inlineStr">
        <is>
          <t>A 5422-2021</t>
        </is>
      </c>
      <c r="B626" s="1" t="n">
        <v>44228</v>
      </c>
      <c r="C626" s="1" t="n">
        <v>45734</v>
      </c>
      <c r="D626" t="inlineStr">
        <is>
          <t>JÄMTLANDS LÄN</t>
        </is>
      </c>
      <c r="E626" t="inlineStr">
        <is>
          <t>KROKOM</t>
        </is>
      </c>
      <c r="G626" t="n">
        <v>11</v>
      </c>
      <c r="H626" t="n">
        <v>0</v>
      </c>
      <c r="I626" t="n">
        <v>0</v>
      </c>
      <c r="J626" t="n">
        <v>0</v>
      </c>
      <c r="K626" t="n">
        <v>0</v>
      </c>
      <c r="L626" t="n">
        <v>0</v>
      </c>
      <c r="M626" t="n">
        <v>0</v>
      </c>
      <c r="N626" t="n">
        <v>0</v>
      </c>
      <c r="O626" t="n">
        <v>0</v>
      </c>
      <c r="P626" t="n">
        <v>0</v>
      </c>
      <c r="Q626" t="n">
        <v>0</v>
      </c>
      <c r="R626" s="2" t="inlineStr"/>
    </row>
    <row r="627" ht="15" customHeight="1">
      <c r="A627" t="inlineStr">
        <is>
          <t>A 8154-2021</t>
        </is>
      </c>
      <c r="B627" s="1" t="n">
        <v>44243</v>
      </c>
      <c r="C627" s="1" t="n">
        <v>45734</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8302-2021</t>
        </is>
      </c>
      <c r="B628" s="1" t="n">
        <v>44244</v>
      </c>
      <c r="C628" s="1" t="n">
        <v>45734</v>
      </c>
      <c r="D628" t="inlineStr">
        <is>
          <t>JÄMTLANDS LÄN</t>
        </is>
      </c>
      <c r="E628" t="inlineStr">
        <is>
          <t>KROKOM</t>
        </is>
      </c>
      <c r="G628" t="n">
        <v>2.1</v>
      </c>
      <c r="H628" t="n">
        <v>0</v>
      </c>
      <c r="I628" t="n">
        <v>0</v>
      </c>
      <c r="J628" t="n">
        <v>0</v>
      </c>
      <c r="K628" t="n">
        <v>0</v>
      </c>
      <c r="L628" t="n">
        <v>0</v>
      </c>
      <c r="M628" t="n">
        <v>0</v>
      </c>
      <c r="N628" t="n">
        <v>0</v>
      </c>
      <c r="O628" t="n">
        <v>0</v>
      </c>
      <c r="P628" t="n">
        <v>0</v>
      </c>
      <c r="Q628" t="n">
        <v>0</v>
      </c>
      <c r="R628" s="2" t="inlineStr"/>
    </row>
    <row r="629" ht="15" customHeight="1">
      <c r="A629" t="inlineStr">
        <is>
          <t>A 10008-2021</t>
        </is>
      </c>
      <c r="B629" s="1" t="n">
        <v>44255</v>
      </c>
      <c r="C629" s="1" t="n">
        <v>45734</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10303-2021</t>
        </is>
      </c>
      <c r="B630" s="1" t="n">
        <v>44256</v>
      </c>
      <c r="C630" s="1" t="n">
        <v>45734</v>
      </c>
      <c r="D630" t="inlineStr">
        <is>
          <t>JÄMTLANDS LÄN</t>
        </is>
      </c>
      <c r="E630" t="inlineStr">
        <is>
          <t>KROKOM</t>
        </is>
      </c>
      <c r="G630" t="n">
        <v>1.1</v>
      </c>
      <c r="H630" t="n">
        <v>0</v>
      </c>
      <c r="I630" t="n">
        <v>0</v>
      </c>
      <c r="J630" t="n">
        <v>0</v>
      </c>
      <c r="K630" t="n">
        <v>0</v>
      </c>
      <c r="L630" t="n">
        <v>0</v>
      </c>
      <c r="M630" t="n">
        <v>0</v>
      </c>
      <c r="N630" t="n">
        <v>0</v>
      </c>
      <c r="O630" t="n">
        <v>0</v>
      </c>
      <c r="P630" t="n">
        <v>0</v>
      </c>
      <c r="Q630" t="n">
        <v>0</v>
      </c>
      <c r="R630" s="2" t="inlineStr"/>
    </row>
    <row r="631" ht="15" customHeight="1">
      <c r="A631" t="inlineStr">
        <is>
          <t>A 11117-2021</t>
        </is>
      </c>
      <c r="B631" s="1" t="n">
        <v>44260</v>
      </c>
      <c r="C631" s="1" t="n">
        <v>45734</v>
      </c>
      <c r="D631" t="inlineStr">
        <is>
          <t>JÄMTLANDS LÄN</t>
        </is>
      </c>
      <c r="E631" t="inlineStr">
        <is>
          <t>KROKOM</t>
        </is>
      </c>
      <c r="G631" t="n">
        <v>8</v>
      </c>
      <c r="H631" t="n">
        <v>0</v>
      </c>
      <c r="I631" t="n">
        <v>0</v>
      </c>
      <c r="J631" t="n">
        <v>0</v>
      </c>
      <c r="K631" t="n">
        <v>0</v>
      </c>
      <c r="L631" t="n">
        <v>0</v>
      </c>
      <c r="M631" t="n">
        <v>0</v>
      </c>
      <c r="N631" t="n">
        <v>0</v>
      </c>
      <c r="O631" t="n">
        <v>0</v>
      </c>
      <c r="P631" t="n">
        <v>0</v>
      </c>
      <c r="Q631" t="n">
        <v>0</v>
      </c>
      <c r="R631" s="2" t="inlineStr"/>
    </row>
    <row r="632" ht="15" customHeight="1">
      <c r="A632" t="inlineStr">
        <is>
          <t>A 11530-2021</t>
        </is>
      </c>
      <c r="B632" s="1" t="n">
        <v>44263</v>
      </c>
      <c r="C632" s="1" t="n">
        <v>45734</v>
      </c>
      <c r="D632" t="inlineStr">
        <is>
          <t>JÄMTLANDS LÄN</t>
        </is>
      </c>
      <c r="E632" t="inlineStr">
        <is>
          <t>KROKOM</t>
        </is>
      </c>
      <c r="G632" t="n">
        <v>9</v>
      </c>
      <c r="H632" t="n">
        <v>0</v>
      </c>
      <c r="I632" t="n">
        <v>0</v>
      </c>
      <c r="J632" t="n">
        <v>0</v>
      </c>
      <c r="K632" t="n">
        <v>0</v>
      </c>
      <c r="L632" t="n">
        <v>0</v>
      </c>
      <c r="M632" t="n">
        <v>0</v>
      </c>
      <c r="N632" t="n">
        <v>0</v>
      </c>
      <c r="O632" t="n">
        <v>0</v>
      </c>
      <c r="P632" t="n">
        <v>0</v>
      </c>
      <c r="Q632" t="n">
        <v>0</v>
      </c>
      <c r="R632" s="2" t="inlineStr"/>
    </row>
    <row r="633" ht="15" customHeight="1">
      <c r="A633" t="inlineStr">
        <is>
          <t>A 12721-2021</t>
        </is>
      </c>
      <c r="B633" s="1" t="n">
        <v>44270</v>
      </c>
      <c r="C633" s="1" t="n">
        <v>45734</v>
      </c>
      <c r="D633" t="inlineStr">
        <is>
          <t>JÄMTLANDS LÄN</t>
        </is>
      </c>
      <c r="E633" t="inlineStr">
        <is>
          <t>KROKOM</t>
        </is>
      </c>
      <c r="F633" t="inlineStr">
        <is>
          <t>Kommuner</t>
        </is>
      </c>
      <c r="G633" t="n">
        <v>1.2</v>
      </c>
      <c r="H633" t="n">
        <v>0</v>
      </c>
      <c r="I633" t="n">
        <v>0</v>
      </c>
      <c r="J633" t="n">
        <v>0</v>
      </c>
      <c r="K633" t="n">
        <v>0</v>
      </c>
      <c r="L633" t="n">
        <v>0</v>
      </c>
      <c r="M633" t="n">
        <v>0</v>
      </c>
      <c r="N633" t="n">
        <v>0</v>
      </c>
      <c r="O633" t="n">
        <v>0</v>
      </c>
      <c r="P633" t="n">
        <v>0</v>
      </c>
      <c r="Q633" t="n">
        <v>0</v>
      </c>
      <c r="R633" s="2" t="inlineStr"/>
    </row>
    <row r="634" ht="15" customHeight="1">
      <c r="A634" t="inlineStr">
        <is>
          <t>A 12884-2021</t>
        </is>
      </c>
      <c r="B634" s="1" t="n">
        <v>44271</v>
      </c>
      <c r="C634" s="1" t="n">
        <v>45734</v>
      </c>
      <c r="D634" t="inlineStr">
        <is>
          <t>JÄMTLANDS LÄN</t>
        </is>
      </c>
      <c r="E634" t="inlineStr">
        <is>
          <t>KROKOM</t>
        </is>
      </c>
      <c r="G634" t="n">
        <v>5.5</v>
      </c>
      <c r="H634" t="n">
        <v>0</v>
      </c>
      <c r="I634" t="n">
        <v>0</v>
      </c>
      <c r="J634" t="n">
        <v>0</v>
      </c>
      <c r="K634" t="n">
        <v>0</v>
      </c>
      <c r="L634" t="n">
        <v>0</v>
      </c>
      <c r="M634" t="n">
        <v>0</v>
      </c>
      <c r="N634" t="n">
        <v>0</v>
      </c>
      <c r="O634" t="n">
        <v>0</v>
      </c>
      <c r="P634" t="n">
        <v>0</v>
      </c>
      <c r="Q634" t="n">
        <v>0</v>
      </c>
      <c r="R634" s="2" t="inlineStr"/>
    </row>
    <row r="635" ht="15" customHeight="1">
      <c r="A635" t="inlineStr">
        <is>
          <t>A 12889-2021</t>
        </is>
      </c>
      <c r="B635" s="1" t="n">
        <v>44271</v>
      </c>
      <c r="C635" s="1" t="n">
        <v>45734</v>
      </c>
      <c r="D635" t="inlineStr">
        <is>
          <t>JÄMTLANDS LÄN</t>
        </is>
      </c>
      <c r="E635" t="inlineStr">
        <is>
          <t>KROKOM</t>
        </is>
      </c>
      <c r="G635" t="n">
        <v>0.3</v>
      </c>
      <c r="H635" t="n">
        <v>0</v>
      </c>
      <c r="I635" t="n">
        <v>0</v>
      </c>
      <c r="J635" t="n">
        <v>0</v>
      </c>
      <c r="K635" t="n">
        <v>0</v>
      </c>
      <c r="L635" t="n">
        <v>0</v>
      </c>
      <c r="M635" t="n">
        <v>0</v>
      </c>
      <c r="N635" t="n">
        <v>0</v>
      </c>
      <c r="O635" t="n">
        <v>0</v>
      </c>
      <c r="P635" t="n">
        <v>0</v>
      </c>
      <c r="Q635" t="n">
        <v>0</v>
      </c>
      <c r="R635" s="2" t="inlineStr"/>
    </row>
    <row r="636" ht="15" customHeight="1">
      <c r="A636" t="inlineStr">
        <is>
          <t>A 13395-2021</t>
        </is>
      </c>
      <c r="B636" s="1" t="n">
        <v>44273</v>
      </c>
      <c r="C636" s="1" t="n">
        <v>45734</v>
      </c>
      <c r="D636" t="inlineStr">
        <is>
          <t>JÄMTLANDS LÄN</t>
        </is>
      </c>
      <c r="E636" t="inlineStr">
        <is>
          <t>KROKOM</t>
        </is>
      </c>
      <c r="G636" t="n">
        <v>13.7</v>
      </c>
      <c r="H636" t="n">
        <v>0</v>
      </c>
      <c r="I636" t="n">
        <v>0</v>
      </c>
      <c r="J636" t="n">
        <v>0</v>
      </c>
      <c r="K636" t="n">
        <v>0</v>
      </c>
      <c r="L636" t="n">
        <v>0</v>
      </c>
      <c r="M636" t="n">
        <v>0</v>
      </c>
      <c r="N636" t="n">
        <v>0</v>
      </c>
      <c r="O636" t="n">
        <v>0</v>
      </c>
      <c r="P636" t="n">
        <v>0</v>
      </c>
      <c r="Q636" t="n">
        <v>0</v>
      </c>
      <c r="R636" s="2" t="inlineStr"/>
    </row>
    <row r="637" ht="15" customHeight="1">
      <c r="A637" t="inlineStr">
        <is>
          <t>A 13989-2021</t>
        </is>
      </c>
      <c r="B637" s="1" t="n">
        <v>44277</v>
      </c>
      <c r="C637" s="1" t="n">
        <v>45734</v>
      </c>
      <c r="D637" t="inlineStr">
        <is>
          <t>JÄMTLANDS LÄN</t>
        </is>
      </c>
      <c r="E637" t="inlineStr">
        <is>
          <t>KROKOM</t>
        </is>
      </c>
      <c r="G637" t="n">
        <v>2.2</v>
      </c>
      <c r="H637" t="n">
        <v>0</v>
      </c>
      <c r="I637" t="n">
        <v>0</v>
      </c>
      <c r="J637" t="n">
        <v>0</v>
      </c>
      <c r="K637" t="n">
        <v>0</v>
      </c>
      <c r="L637" t="n">
        <v>0</v>
      </c>
      <c r="M637" t="n">
        <v>0</v>
      </c>
      <c r="N637" t="n">
        <v>0</v>
      </c>
      <c r="O637" t="n">
        <v>0</v>
      </c>
      <c r="P637" t="n">
        <v>0</v>
      </c>
      <c r="Q637" t="n">
        <v>0</v>
      </c>
      <c r="R637" s="2" t="inlineStr"/>
    </row>
    <row r="638" ht="15" customHeight="1">
      <c r="A638" t="inlineStr">
        <is>
          <t>A 14167-2021</t>
        </is>
      </c>
      <c r="B638" s="1" t="n">
        <v>44278</v>
      </c>
      <c r="C638" s="1" t="n">
        <v>45734</v>
      </c>
      <c r="D638" t="inlineStr">
        <is>
          <t>JÄMTLANDS LÄN</t>
        </is>
      </c>
      <c r="E638" t="inlineStr">
        <is>
          <t>KROKOM</t>
        </is>
      </c>
      <c r="G638" t="n">
        <v>5.4</v>
      </c>
      <c r="H638" t="n">
        <v>0</v>
      </c>
      <c r="I638" t="n">
        <v>0</v>
      </c>
      <c r="J638" t="n">
        <v>0</v>
      </c>
      <c r="K638" t="n">
        <v>0</v>
      </c>
      <c r="L638" t="n">
        <v>0</v>
      </c>
      <c r="M638" t="n">
        <v>0</v>
      </c>
      <c r="N638" t="n">
        <v>0</v>
      </c>
      <c r="O638" t="n">
        <v>0</v>
      </c>
      <c r="P638" t="n">
        <v>0</v>
      </c>
      <c r="Q638" t="n">
        <v>0</v>
      </c>
      <c r="R638" s="2" t="inlineStr"/>
    </row>
    <row r="639" ht="15" customHeight="1">
      <c r="A639" t="inlineStr">
        <is>
          <t>A 14593-2021</t>
        </is>
      </c>
      <c r="B639" s="1" t="n">
        <v>44279</v>
      </c>
      <c r="C639" s="1" t="n">
        <v>45734</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14598-2021</t>
        </is>
      </c>
      <c r="B640" s="1" t="n">
        <v>44279</v>
      </c>
      <c r="C640" s="1" t="n">
        <v>45734</v>
      </c>
      <c r="D640" t="inlineStr">
        <is>
          <t>JÄMTLANDS LÄN</t>
        </is>
      </c>
      <c r="E640" t="inlineStr">
        <is>
          <t>KROKOM</t>
        </is>
      </c>
      <c r="G640" t="n">
        <v>25.4</v>
      </c>
      <c r="H640" t="n">
        <v>0</v>
      </c>
      <c r="I640" t="n">
        <v>0</v>
      </c>
      <c r="J640" t="n">
        <v>0</v>
      </c>
      <c r="K640" t="n">
        <v>0</v>
      </c>
      <c r="L640" t="n">
        <v>0</v>
      </c>
      <c r="M640" t="n">
        <v>0</v>
      </c>
      <c r="N640" t="n">
        <v>0</v>
      </c>
      <c r="O640" t="n">
        <v>0</v>
      </c>
      <c r="P640" t="n">
        <v>0</v>
      </c>
      <c r="Q640" t="n">
        <v>0</v>
      </c>
      <c r="R640" s="2" t="inlineStr"/>
    </row>
    <row r="641" ht="15" customHeight="1">
      <c r="A641" t="inlineStr">
        <is>
          <t>A 14591-2021</t>
        </is>
      </c>
      <c r="B641" s="1" t="n">
        <v>44279</v>
      </c>
      <c r="C641" s="1" t="n">
        <v>45734</v>
      </c>
      <c r="D641" t="inlineStr">
        <is>
          <t>JÄMTLANDS LÄN</t>
        </is>
      </c>
      <c r="E641" t="inlineStr">
        <is>
          <t>KROKOM</t>
        </is>
      </c>
      <c r="G641" t="n">
        <v>4</v>
      </c>
      <c r="H641" t="n">
        <v>0</v>
      </c>
      <c r="I641" t="n">
        <v>0</v>
      </c>
      <c r="J641" t="n">
        <v>0</v>
      </c>
      <c r="K641" t="n">
        <v>0</v>
      </c>
      <c r="L641" t="n">
        <v>0</v>
      </c>
      <c r="M641" t="n">
        <v>0</v>
      </c>
      <c r="N641" t="n">
        <v>0</v>
      </c>
      <c r="O641" t="n">
        <v>0</v>
      </c>
      <c r="P641" t="n">
        <v>0</v>
      </c>
      <c r="Q641" t="n">
        <v>0</v>
      </c>
      <c r="R641" s="2" t="inlineStr"/>
    </row>
    <row r="642" ht="15" customHeight="1">
      <c r="A642" t="inlineStr">
        <is>
          <t>A 14595-2021</t>
        </is>
      </c>
      <c r="B642" s="1" t="n">
        <v>44279</v>
      </c>
      <c r="C642" s="1" t="n">
        <v>45734</v>
      </c>
      <c r="D642" t="inlineStr">
        <is>
          <t>JÄMTLANDS LÄN</t>
        </is>
      </c>
      <c r="E642" t="inlineStr">
        <is>
          <t>KROKOM</t>
        </is>
      </c>
      <c r="G642" t="n">
        <v>4.5</v>
      </c>
      <c r="H642" t="n">
        <v>0</v>
      </c>
      <c r="I642" t="n">
        <v>0</v>
      </c>
      <c r="J642" t="n">
        <v>0</v>
      </c>
      <c r="K642" t="n">
        <v>0</v>
      </c>
      <c r="L642" t="n">
        <v>0</v>
      </c>
      <c r="M642" t="n">
        <v>0</v>
      </c>
      <c r="N642" t="n">
        <v>0</v>
      </c>
      <c r="O642" t="n">
        <v>0</v>
      </c>
      <c r="P642" t="n">
        <v>0</v>
      </c>
      <c r="Q642" t="n">
        <v>0</v>
      </c>
      <c r="R642" s="2" t="inlineStr"/>
    </row>
    <row r="643" ht="15" customHeight="1">
      <c r="A643" t="inlineStr">
        <is>
          <t>A 14592-2021</t>
        </is>
      </c>
      <c r="B643" s="1" t="n">
        <v>44279</v>
      </c>
      <c r="C643" s="1" t="n">
        <v>45734</v>
      </c>
      <c r="D643" t="inlineStr">
        <is>
          <t>JÄMTLANDS LÄN</t>
        </is>
      </c>
      <c r="E643" t="inlineStr">
        <is>
          <t>KROKOM</t>
        </is>
      </c>
      <c r="G643" t="n">
        <v>5.6</v>
      </c>
      <c r="H643" t="n">
        <v>0</v>
      </c>
      <c r="I643" t="n">
        <v>0</v>
      </c>
      <c r="J643" t="n">
        <v>0</v>
      </c>
      <c r="K643" t="n">
        <v>0</v>
      </c>
      <c r="L643" t="n">
        <v>0</v>
      </c>
      <c r="M643" t="n">
        <v>0</v>
      </c>
      <c r="N643" t="n">
        <v>0</v>
      </c>
      <c r="O643" t="n">
        <v>0</v>
      </c>
      <c r="P643" t="n">
        <v>0</v>
      </c>
      <c r="Q643" t="n">
        <v>0</v>
      </c>
      <c r="R643" s="2" t="inlineStr"/>
    </row>
    <row r="644" ht="15" customHeight="1">
      <c r="A644" t="inlineStr">
        <is>
          <t>A 14596-2021</t>
        </is>
      </c>
      <c r="B644" s="1" t="n">
        <v>44279</v>
      </c>
      <c r="C644" s="1" t="n">
        <v>45734</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15425-2021</t>
        </is>
      </c>
      <c r="B645" s="1" t="n">
        <v>44284</v>
      </c>
      <c r="C645" s="1" t="n">
        <v>45734</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15452-2021</t>
        </is>
      </c>
      <c r="B646" s="1" t="n">
        <v>44285</v>
      </c>
      <c r="C646" s="1" t="n">
        <v>45734</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15455-2021</t>
        </is>
      </c>
      <c r="B647" s="1" t="n">
        <v>44285</v>
      </c>
      <c r="C647" s="1" t="n">
        <v>45734</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15451-2021</t>
        </is>
      </c>
      <c r="B648" s="1" t="n">
        <v>44285</v>
      </c>
      <c r="C648" s="1" t="n">
        <v>45734</v>
      </c>
      <c r="D648" t="inlineStr">
        <is>
          <t>JÄMTLANDS LÄN</t>
        </is>
      </c>
      <c r="E648" t="inlineStr">
        <is>
          <t>KROKOM</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15748-2021</t>
        </is>
      </c>
      <c r="B649" s="1" t="n">
        <v>44286</v>
      </c>
      <c r="C649" s="1" t="n">
        <v>45734</v>
      </c>
      <c r="D649" t="inlineStr">
        <is>
          <t>JÄMTLANDS LÄN</t>
        </is>
      </c>
      <c r="E649" t="inlineStr">
        <is>
          <t>KROKOM</t>
        </is>
      </c>
      <c r="G649" t="n">
        <v>2.5</v>
      </c>
      <c r="H649" t="n">
        <v>0</v>
      </c>
      <c r="I649" t="n">
        <v>0</v>
      </c>
      <c r="J649" t="n">
        <v>0</v>
      </c>
      <c r="K649" t="n">
        <v>0</v>
      </c>
      <c r="L649" t="n">
        <v>0</v>
      </c>
      <c r="M649" t="n">
        <v>0</v>
      </c>
      <c r="N649" t="n">
        <v>0</v>
      </c>
      <c r="O649" t="n">
        <v>0</v>
      </c>
      <c r="P649" t="n">
        <v>0</v>
      </c>
      <c r="Q649" t="n">
        <v>0</v>
      </c>
      <c r="R649" s="2" t="inlineStr"/>
    </row>
    <row r="650" ht="15" customHeight="1">
      <c r="A650" t="inlineStr">
        <is>
          <t>A 16188-2021</t>
        </is>
      </c>
      <c r="B650" s="1" t="n">
        <v>44287</v>
      </c>
      <c r="C650" s="1" t="n">
        <v>45734</v>
      </c>
      <c r="D650" t="inlineStr">
        <is>
          <t>JÄMTLANDS LÄN</t>
        </is>
      </c>
      <c r="E650" t="inlineStr">
        <is>
          <t>KROKOM</t>
        </is>
      </c>
      <c r="G650" t="n">
        <v>30.5</v>
      </c>
      <c r="H650" t="n">
        <v>0</v>
      </c>
      <c r="I650" t="n">
        <v>0</v>
      </c>
      <c r="J650" t="n">
        <v>0</v>
      </c>
      <c r="K650" t="n">
        <v>0</v>
      </c>
      <c r="L650" t="n">
        <v>0</v>
      </c>
      <c r="M650" t="n">
        <v>0</v>
      </c>
      <c r="N650" t="n">
        <v>0</v>
      </c>
      <c r="O650" t="n">
        <v>0</v>
      </c>
      <c r="P650" t="n">
        <v>0</v>
      </c>
      <c r="Q650" t="n">
        <v>0</v>
      </c>
      <c r="R650" s="2" t="inlineStr"/>
    </row>
    <row r="651" ht="15" customHeight="1">
      <c r="A651" t="inlineStr">
        <is>
          <t>A 16242-2021</t>
        </is>
      </c>
      <c r="B651" s="1" t="n">
        <v>44292</v>
      </c>
      <c r="C651" s="1" t="n">
        <v>45734</v>
      </c>
      <c r="D651" t="inlineStr">
        <is>
          <t>JÄMTLANDS LÄN</t>
        </is>
      </c>
      <c r="E651" t="inlineStr">
        <is>
          <t>KROKOM</t>
        </is>
      </c>
      <c r="G651" t="n">
        <v>1.4</v>
      </c>
      <c r="H651" t="n">
        <v>0</v>
      </c>
      <c r="I651" t="n">
        <v>0</v>
      </c>
      <c r="J651" t="n">
        <v>0</v>
      </c>
      <c r="K651" t="n">
        <v>0</v>
      </c>
      <c r="L651" t="n">
        <v>0</v>
      </c>
      <c r="M651" t="n">
        <v>0</v>
      </c>
      <c r="N651" t="n">
        <v>0</v>
      </c>
      <c r="O651" t="n">
        <v>0</v>
      </c>
      <c r="P651" t="n">
        <v>0</v>
      </c>
      <c r="Q651" t="n">
        <v>0</v>
      </c>
      <c r="R651" s="2" t="inlineStr"/>
    </row>
    <row r="652" ht="15" customHeight="1">
      <c r="A652" t="inlineStr">
        <is>
          <t>A 17599-2021</t>
        </is>
      </c>
      <c r="B652" s="1" t="n">
        <v>44299</v>
      </c>
      <c r="C652" s="1" t="n">
        <v>45734</v>
      </c>
      <c r="D652" t="inlineStr">
        <is>
          <t>JÄMTLANDS LÄN</t>
        </is>
      </c>
      <c r="E652" t="inlineStr">
        <is>
          <t>KROKOM</t>
        </is>
      </c>
      <c r="G652" t="n">
        <v>1.8</v>
      </c>
      <c r="H652" t="n">
        <v>0</v>
      </c>
      <c r="I652" t="n">
        <v>0</v>
      </c>
      <c r="J652" t="n">
        <v>0</v>
      </c>
      <c r="K652" t="n">
        <v>0</v>
      </c>
      <c r="L652" t="n">
        <v>0</v>
      </c>
      <c r="M652" t="n">
        <v>0</v>
      </c>
      <c r="N652" t="n">
        <v>0</v>
      </c>
      <c r="O652" t="n">
        <v>0</v>
      </c>
      <c r="P652" t="n">
        <v>0</v>
      </c>
      <c r="Q652" t="n">
        <v>0</v>
      </c>
      <c r="R652" s="2" t="inlineStr"/>
    </row>
    <row r="653" ht="15" customHeight="1">
      <c r="A653" t="inlineStr">
        <is>
          <t>A 17726-2021</t>
        </is>
      </c>
      <c r="B653" s="1" t="n">
        <v>44300</v>
      </c>
      <c r="C653" s="1" t="n">
        <v>45734</v>
      </c>
      <c r="D653" t="inlineStr">
        <is>
          <t>JÄMTLANDS LÄN</t>
        </is>
      </c>
      <c r="E653" t="inlineStr">
        <is>
          <t>KROKOM</t>
        </is>
      </c>
      <c r="G653" t="n">
        <v>30.7</v>
      </c>
      <c r="H653" t="n">
        <v>0</v>
      </c>
      <c r="I653" t="n">
        <v>0</v>
      </c>
      <c r="J653" t="n">
        <v>0</v>
      </c>
      <c r="K653" t="n">
        <v>0</v>
      </c>
      <c r="L653" t="n">
        <v>0</v>
      </c>
      <c r="M653" t="n">
        <v>0</v>
      </c>
      <c r="N653" t="n">
        <v>0</v>
      </c>
      <c r="O653" t="n">
        <v>0</v>
      </c>
      <c r="P653" t="n">
        <v>0</v>
      </c>
      <c r="Q653" t="n">
        <v>0</v>
      </c>
      <c r="R653" s="2" t="inlineStr"/>
    </row>
    <row r="654" ht="15" customHeight="1">
      <c r="A654" t="inlineStr">
        <is>
          <t>A 18544-2021</t>
        </is>
      </c>
      <c r="B654" s="1" t="n">
        <v>44306</v>
      </c>
      <c r="C654" s="1" t="n">
        <v>45734</v>
      </c>
      <c r="D654" t="inlineStr">
        <is>
          <t>JÄMTLANDS LÄN</t>
        </is>
      </c>
      <c r="E654" t="inlineStr">
        <is>
          <t>KROKOM</t>
        </is>
      </c>
      <c r="G654" t="n">
        <v>4.1</v>
      </c>
      <c r="H654" t="n">
        <v>0</v>
      </c>
      <c r="I654" t="n">
        <v>0</v>
      </c>
      <c r="J654" t="n">
        <v>0</v>
      </c>
      <c r="K654" t="n">
        <v>0</v>
      </c>
      <c r="L654" t="n">
        <v>0</v>
      </c>
      <c r="M654" t="n">
        <v>0</v>
      </c>
      <c r="N654" t="n">
        <v>0</v>
      </c>
      <c r="O654" t="n">
        <v>0</v>
      </c>
      <c r="P654" t="n">
        <v>0</v>
      </c>
      <c r="Q654" t="n">
        <v>0</v>
      </c>
      <c r="R654" s="2" t="inlineStr"/>
    </row>
    <row r="655" ht="15" customHeight="1">
      <c r="A655" t="inlineStr">
        <is>
          <t>A 18731-2021</t>
        </is>
      </c>
      <c r="B655" s="1" t="n">
        <v>44307</v>
      </c>
      <c r="C655" s="1" t="n">
        <v>45734</v>
      </c>
      <c r="D655" t="inlineStr">
        <is>
          <t>JÄMTLANDS LÄN</t>
        </is>
      </c>
      <c r="E655" t="inlineStr">
        <is>
          <t>KROKOM</t>
        </is>
      </c>
      <c r="G655" t="n">
        <v>2.7</v>
      </c>
      <c r="H655" t="n">
        <v>0</v>
      </c>
      <c r="I655" t="n">
        <v>0</v>
      </c>
      <c r="J655" t="n">
        <v>0</v>
      </c>
      <c r="K655" t="n">
        <v>0</v>
      </c>
      <c r="L655" t="n">
        <v>0</v>
      </c>
      <c r="M655" t="n">
        <v>0</v>
      </c>
      <c r="N655" t="n">
        <v>0</v>
      </c>
      <c r="O655" t="n">
        <v>0</v>
      </c>
      <c r="P655" t="n">
        <v>0</v>
      </c>
      <c r="Q655" t="n">
        <v>0</v>
      </c>
      <c r="R655" s="2" t="inlineStr"/>
    </row>
    <row r="656" ht="15" customHeight="1">
      <c r="A656" t="inlineStr">
        <is>
          <t>A 20405-2021</t>
        </is>
      </c>
      <c r="B656" s="1" t="n">
        <v>44312</v>
      </c>
      <c r="C656" s="1" t="n">
        <v>45734</v>
      </c>
      <c r="D656" t="inlineStr">
        <is>
          <t>JÄMTLANDS LÄN</t>
        </is>
      </c>
      <c r="E656" t="inlineStr">
        <is>
          <t>KROKOM</t>
        </is>
      </c>
      <c r="G656" t="n">
        <v>7.1</v>
      </c>
      <c r="H656" t="n">
        <v>0</v>
      </c>
      <c r="I656" t="n">
        <v>0</v>
      </c>
      <c r="J656" t="n">
        <v>0</v>
      </c>
      <c r="K656" t="n">
        <v>0</v>
      </c>
      <c r="L656" t="n">
        <v>0</v>
      </c>
      <c r="M656" t="n">
        <v>0</v>
      </c>
      <c r="N656" t="n">
        <v>0</v>
      </c>
      <c r="O656" t="n">
        <v>0</v>
      </c>
      <c r="P656" t="n">
        <v>0</v>
      </c>
      <c r="Q656" t="n">
        <v>0</v>
      </c>
      <c r="R656" s="2" t="inlineStr"/>
    </row>
    <row r="657" ht="15" customHeight="1">
      <c r="A657" t="inlineStr">
        <is>
          <t>A 19984-2021</t>
        </is>
      </c>
      <c r="B657" s="1" t="n">
        <v>44313</v>
      </c>
      <c r="C657" s="1" t="n">
        <v>45734</v>
      </c>
      <c r="D657" t="inlineStr">
        <is>
          <t>JÄMTLANDS LÄN</t>
        </is>
      </c>
      <c r="E657" t="inlineStr">
        <is>
          <t>KROKOM</t>
        </is>
      </c>
      <c r="G657" t="n">
        <v>1.9</v>
      </c>
      <c r="H657" t="n">
        <v>0</v>
      </c>
      <c r="I657" t="n">
        <v>0</v>
      </c>
      <c r="J657" t="n">
        <v>0</v>
      </c>
      <c r="K657" t="n">
        <v>0</v>
      </c>
      <c r="L657" t="n">
        <v>0</v>
      </c>
      <c r="M657" t="n">
        <v>0</v>
      </c>
      <c r="N657" t="n">
        <v>0</v>
      </c>
      <c r="O657" t="n">
        <v>0</v>
      </c>
      <c r="P657" t="n">
        <v>0</v>
      </c>
      <c r="Q657" t="n">
        <v>0</v>
      </c>
      <c r="R657" s="2" t="inlineStr"/>
    </row>
    <row r="658" ht="15" customHeight="1">
      <c r="A658" t="inlineStr">
        <is>
          <t>A 21000-2021</t>
        </is>
      </c>
      <c r="B658" s="1" t="n">
        <v>44316</v>
      </c>
      <c r="C658" s="1" t="n">
        <v>45734</v>
      </c>
      <c r="D658" t="inlineStr">
        <is>
          <t>JÄMTLANDS LÄN</t>
        </is>
      </c>
      <c r="E658" t="inlineStr">
        <is>
          <t>KROKOM</t>
        </is>
      </c>
      <c r="G658" t="n">
        <v>2.5</v>
      </c>
      <c r="H658" t="n">
        <v>0</v>
      </c>
      <c r="I658" t="n">
        <v>0</v>
      </c>
      <c r="J658" t="n">
        <v>0</v>
      </c>
      <c r="K658" t="n">
        <v>0</v>
      </c>
      <c r="L658" t="n">
        <v>0</v>
      </c>
      <c r="M658" t="n">
        <v>0</v>
      </c>
      <c r="N658" t="n">
        <v>0</v>
      </c>
      <c r="O658" t="n">
        <v>0</v>
      </c>
      <c r="P658" t="n">
        <v>0</v>
      </c>
      <c r="Q658" t="n">
        <v>0</v>
      </c>
      <c r="R658" s="2" t="inlineStr"/>
    </row>
    <row r="659" ht="15" customHeight="1">
      <c r="A659" t="inlineStr">
        <is>
          <t>A 22083-2021</t>
        </is>
      </c>
      <c r="B659" s="1" t="n">
        <v>44323</v>
      </c>
      <c r="C659" s="1" t="n">
        <v>45734</v>
      </c>
      <c r="D659" t="inlineStr">
        <is>
          <t>JÄMTLANDS LÄN</t>
        </is>
      </c>
      <c r="E659" t="inlineStr">
        <is>
          <t>KROKOM</t>
        </is>
      </c>
      <c r="G659" t="n">
        <v>12.3</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45734</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45734</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45734</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45734</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45734</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45734</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45734</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45734</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45734</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45734</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45734</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45734</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45734</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45734</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45734</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45734</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45734</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45734</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45734</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45734</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45734</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45734</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45734</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45734</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45734</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45734</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45734</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45734</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45734</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45734</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45734</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45734</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45734</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45734</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45734</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45734</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45734</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45734</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45734</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45734</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45734</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45734</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45734</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45734</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45734</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45734</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45734</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45734</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45734</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45734</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45734</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45734</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45734</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45734</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45734</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45734</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45734</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45734</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45734</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45734</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45734</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45734</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45734</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45734</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45734</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45734</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45734</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45734</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45734</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45734</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45734</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45734</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45734</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45734</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45734</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45734</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45734</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45734</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45734</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45734</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45734</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45734</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45734</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45734</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45734</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45734</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45734</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45734</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45734</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45734</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45734</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45734</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45734</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45734</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45734</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45734</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45734</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45734</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45734</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45734</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45734</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45734</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45734</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45734</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45734</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45734</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45734</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45734</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45734</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45734</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45734</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45734</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45734</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45734</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45734</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45734</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45734</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45734</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45734</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45734</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45734</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45734</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45734</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45734</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45734</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45734</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45734</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45734</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45734</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45734</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45734</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45734</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45734</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45734</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45734</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45734</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45734</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45734</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45734</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45734</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45734</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45734</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45734</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45734</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45734</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45734</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45734</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45734</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45734</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45734</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45734</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45734</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45734</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45734</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45734</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45734</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45734</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45734</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45734</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45734</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45734</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45734</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45734</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45734</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45734</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45734</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45734</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45734</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45734</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45734</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45734</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45734</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45734</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45734</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45734</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45734</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45734</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45734</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45734</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45734</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45734</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45734</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45734</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45734</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45734</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45734</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45734</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45734</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45734</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45734</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45734</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45734</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45734</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45734</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45734</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45734</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45734</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45734</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45734</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45734</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45734</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45734</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45734</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45734</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45734</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45734</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45734</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45734</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45734</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45734</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45734</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45734</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45734</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45734</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45734</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45734</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45734</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45734</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45734</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45734</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45734</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45734</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45734</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45734</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45734</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45734</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45734</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45734</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45734</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45734</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45734</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45734</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45734</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45734</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45734</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45734</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45734</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45734</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45734</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45734</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45734</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45734</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45734</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45734</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45734</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45734</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45734</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45734</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45734</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45734</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45734</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45734</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45734</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45734</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45734</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45734</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45734</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45734</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45734</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45734</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45734</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45734</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45734</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45734</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45734</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45734</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45734</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45734</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45734</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45734</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45734</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45734</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45734</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45734</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45734</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45734</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45734</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45734</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45734</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45734</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45734</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45734</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45734</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45734</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45734</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45734</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45734</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45734</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45734</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45734</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45734</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45734</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45734</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45734</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45734</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45734</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45734</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45734</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45734</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45734</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45734</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45734</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45734</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45734</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45734</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45734</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45734</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45734</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45734</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45734</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45734</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45734</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45734</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45734</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45734</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45734</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45734</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45734</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45734</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45734</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45734</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45734</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45734</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45734</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45734</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45734</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45734</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45734</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45734</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45734</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45734</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45734</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45734</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45734</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45734</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45734</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45734</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45734</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45734</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45734</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45734</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45734</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45734</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45734</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45734</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45734</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45734</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45734</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45734</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45734</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45734</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45734</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45734</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45734</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45734</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45734</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45734</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45734</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45734</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45734</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45734</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45734</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45734</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45734</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45734</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45734</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45734</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45734</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45734</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45734</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45734</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45734</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45734</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45734</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45734</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45734</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45734</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45734</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45734</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45734</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45734</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45734</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45734</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45734</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45734</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45734</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45734</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45734</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45734</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45734</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45734</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45734</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45734</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45734</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45734</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45734</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45734</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45734</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45734</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45734</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45734</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45734</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45734</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45734</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45734</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45734</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45734</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45734</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45734</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45734</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45734</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45734</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45734</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45734</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45734</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45734</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45734</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45734</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45734</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45734</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45734</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45734</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45734</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45734</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45734</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45734</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45734</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45734</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45734</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45734</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45734</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45734</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45734</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45734</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45734</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45734</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45734</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45734</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45734</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45734</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45734</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45734</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45734</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45734</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45734</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45734</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45734</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45734</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45734</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45734</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45734</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45734</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45734</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45734</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45734</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45734</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45734</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45734</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45734</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45734</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45734</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45734</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45734</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45734</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45734</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45734</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45734</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45734</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45734</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45734</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45734</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45734</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45734</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45734</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45734</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45734</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45734</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45734</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45734</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45734</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45734</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45734</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45734</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45734</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45734</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45734</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45734</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45734</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45734</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45734</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45734</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45734</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45734</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45734</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45734</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45734</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45734</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45734</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45734</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45734</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45734</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45734</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45734</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45734</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45734</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45734</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45734</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45734</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45734</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45734</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45734</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45734</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45734</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45734</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45734</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45734</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45734</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45734</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45734</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45734</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45734</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45734</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45734</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45734</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45734</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45734</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45734</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45734</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45734</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45734</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45734</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45734</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45734</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45734</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45734</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45734</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45734</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45734</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45734</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45734</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45734</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45734</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45734</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45734</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45734</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45734</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45734</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45734</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45734</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45734</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45734</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45734</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45734</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45734</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45734</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45734</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45734</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45734</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45734</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45734</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45734</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45734</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45734</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45734</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45734</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45734</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45734</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45734</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45734</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45734</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45734</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45734</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45734</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45734</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45734</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45734</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45734</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45734</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45734</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45734</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45734</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45734</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45734</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45734</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45734</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45734</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45734</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45734</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45734</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45734</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45734</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45734</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45734</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45734</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45734</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45734</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45734</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45734</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45734</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45734</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45734</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45734</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45734</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45734</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45734</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45734</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45734</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45734</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45734</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45734</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45734</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45734</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45734</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45734</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45734</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45734</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45734</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45734</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45734</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45734</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45734</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45734</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45734</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45734</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45734</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45734</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45734</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45734</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45734</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45734</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45734</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45734</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45734</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45734</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45734</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45734</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45734</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45734</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45734</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45734</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45734</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45734</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45734</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45734</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45734</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45734</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45734</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45734</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45734</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45734</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45734</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45734</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45734</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45734</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45734</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45734</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45734</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45734</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45734</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45734</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45734</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45734</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45734</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45734</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45734</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45734</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45734</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45734</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45734</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45734</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45734</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45734</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45734</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45734</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45734</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45734</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45734</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45734</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45734</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45734</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45734</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45734</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45734</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45734</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45734</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45734</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45734</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45734</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45734</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45734</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45734</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45734</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45734</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45734</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45734</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45734</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45734</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45734</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45734</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45734</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45734</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45734</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45734</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45734</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45734</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45734</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45734</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45734</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45734</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45734</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45734</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45734</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45734</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45734</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45734</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45734</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45734</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45734</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45734</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45734</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45734</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45734</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45734</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45734</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45734</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45734</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45734</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45734</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45734</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45734</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45734</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45734</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45734</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45734</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45734</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45734</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45734</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45734</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45734</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45734</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45734</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45734</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45734</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45734</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45734</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45734</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45734</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45734</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45734</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45734</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45734</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45734</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45734</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45734</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45734</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45734</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45734</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45734</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45734</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45734</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45734</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45734</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45734</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45734</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45734</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45734</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45734</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45734</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45734</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45734</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45734</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45734</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45734</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45734</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45734</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45734</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45734</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45734</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45734</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45734</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45734</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45734</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45734</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45734</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45734</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45734</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45734</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45734</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45734</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45734</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45734</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45734</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45734</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45734</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45734</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45734</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45734</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45734</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45734</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45734</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45734</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45734</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45734</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45734</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45734</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45734</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45734</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45734</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45734</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45734</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45734</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45734</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45734</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45734</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45734</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45734</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45734</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45734</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45734</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45734</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45734</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45734</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45734</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45734</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45734</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45734</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45734</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45734</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45734</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45734</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45734</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45734</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45734</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45734</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45734</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45734</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45734</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45734</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45734</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45734</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45734</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45734</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45734</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45734</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45734</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45734</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45734</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45734</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45734</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45734</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45734</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45734</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45734</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45734</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45734</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45734</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45734</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45734</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45734</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45734</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45734</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45734</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45734</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45734</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45734</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45734</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45734</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45734</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45734</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45734</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45734</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45734</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45734</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45734</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45734</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45734</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45734</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45734</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45734</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45734</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45734</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45734</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45734</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45734</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45734</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45734</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45734</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45734</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45734</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45734</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45734</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45734</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45734</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45734</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45734</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45734</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45734</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45734</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45734</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45734</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45734</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45734</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45734</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45734</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45734</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45734</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45734</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45734</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45734</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45734</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45734</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45734</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45734</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45734</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45734</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45734</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45734</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45734</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45734</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45734</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45734</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45734</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45734</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45734</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45734</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45734</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45734</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45734</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45734</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45734</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45734</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45734</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45734</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45734</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45734</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45734</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45734</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45734</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45734</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45734</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45734</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45734</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45734</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45734</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45734</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45734</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45734</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45734</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45734</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45734</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45734</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45734</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45734</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45734</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45734</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45734</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45734</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45734</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45734</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45734</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45734</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45734</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45734</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45734</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45734</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45734</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45734</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45734</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45734</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45734</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45734</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45734</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45734</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45734</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45734</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45734</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45734</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45734</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45734</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45734</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45734</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45734</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45734</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45734</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45734</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45734</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45734</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45734</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45734</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45734</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45734</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45734</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45734</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45734</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45734</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45734</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45734</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45734</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45734</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45734</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45734</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45734</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45734</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45734</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45734</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45734</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45734</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45734</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45734</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45734</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45734</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45734</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45734</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45734</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45734</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45734</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45734</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45734</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45734</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45734</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45734</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45734</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45734</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45734</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45734</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45734</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45734</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45734</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45734</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45734</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45734</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45734</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45734</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6234-2025</t>
        </is>
      </c>
      <c r="B1693" s="1" t="n">
        <v>45698</v>
      </c>
      <c r="C1693" s="1" t="n">
        <v>45734</v>
      </c>
      <c r="D1693" t="inlineStr">
        <is>
          <t>JÄMTLANDS LÄN</t>
        </is>
      </c>
      <c r="E1693" t="inlineStr">
        <is>
          <t>KROKOM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45734</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45734</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45734</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6145-2025</t>
        </is>
      </c>
      <c r="B1697" s="1" t="n">
        <v>45698</v>
      </c>
      <c r="C1697" s="1" t="n">
        <v>45734</v>
      </c>
      <c r="D1697" t="inlineStr">
        <is>
          <t>JÄMTLANDS LÄN</t>
        </is>
      </c>
      <c r="E1697" t="inlineStr">
        <is>
          <t>KROKOM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6114-2025</t>
        </is>
      </c>
      <c r="B1698" s="1" t="n">
        <v>45698</v>
      </c>
      <c r="C1698" s="1" t="n">
        <v>45734</v>
      </c>
      <c r="D1698" t="inlineStr">
        <is>
          <t>JÄMTLANDS LÄN</t>
        </is>
      </c>
      <c r="E1698" t="inlineStr">
        <is>
          <t>KROKOM</t>
        </is>
      </c>
      <c r="F1698" t="inlineStr">
        <is>
          <t>Övriga Aktiebolag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6166-2025</t>
        </is>
      </c>
      <c r="B1699" s="1" t="n">
        <v>45698</v>
      </c>
      <c r="C1699" s="1" t="n">
        <v>45734</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6148-2025</t>
        </is>
      </c>
      <c r="B1700" s="1" t="n">
        <v>45698</v>
      </c>
      <c r="C1700" s="1" t="n">
        <v>45734</v>
      </c>
      <c r="D1700" t="inlineStr">
        <is>
          <t>JÄMTLANDS LÄN</t>
        </is>
      </c>
      <c r="E1700" t="inlineStr">
        <is>
          <t>KROKOM</t>
        </is>
      </c>
      <c r="G1700" t="n">
        <v>43.6</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45734</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6524-2025</t>
        </is>
      </c>
      <c r="B1702" s="1" t="n">
        <v>45699</v>
      </c>
      <c r="C1702" s="1" t="n">
        <v>45734</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6461-2025</t>
        </is>
      </c>
      <c r="B1703" s="1" t="n">
        <v>45699</v>
      </c>
      <c r="C1703" s="1" t="n">
        <v>45734</v>
      </c>
      <c r="D1703" t="inlineStr">
        <is>
          <t>JÄMTLANDS LÄN</t>
        </is>
      </c>
      <c r="E1703" t="inlineStr">
        <is>
          <t>KROKOM</t>
        </is>
      </c>
      <c r="F1703" t="inlineStr">
        <is>
          <t>Övriga Aktiebolag</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6627-2025</t>
        </is>
      </c>
      <c r="B1704" s="1" t="n">
        <v>45700</v>
      </c>
      <c r="C1704" s="1" t="n">
        <v>45734</v>
      </c>
      <c r="D1704" t="inlineStr">
        <is>
          <t>JÄMTLANDS LÄN</t>
        </is>
      </c>
      <c r="E1704" t="inlineStr">
        <is>
          <t>KROKOM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6705-2025</t>
        </is>
      </c>
      <c r="B1705" s="1" t="n">
        <v>45700</v>
      </c>
      <c r="C1705" s="1" t="n">
        <v>45734</v>
      </c>
      <c r="D1705" t="inlineStr">
        <is>
          <t>JÄMTLANDS LÄN</t>
        </is>
      </c>
      <c r="E1705" t="inlineStr">
        <is>
          <t>KROKOM</t>
        </is>
      </c>
      <c r="G1705" t="n">
        <v>20.4</v>
      </c>
      <c r="H1705" t="n">
        <v>0</v>
      </c>
      <c r="I1705" t="n">
        <v>0</v>
      </c>
      <c r="J1705" t="n">
        <v>0</v>
      </c>
      <c r="K1705" t="n">
        <v>0</v>
      </c>
      <c r="L1705" t="n">
        <v>0</v>
      </c>
      <c r="M1705" t="n">
        <v>0</v>
      </c>
      <c r="N1705" t="n">
        <v>0</v>
      </c>
      <c r="O1705" t="n">
        <v>0</v>
      </c>
      <c r="P1705" t="n">
        <v>0</v>
      </c>
      <c r="Q1705" t="n">
        <v>0</v>
      </c>
      <c r="R1705" s="2" t="inlineStr"/>
    </row>
    <row r="1706" ht="15" customHeight="1">
      <c r="A1706" t="inlineStr">
        <is>
          <t>A 6629-2025</t>
        </is>
      </c>
      <c r="B1706" s="1" t="n">
        <v>45700</v>
      </c>
      <c r="C1706" s="1" t="n">
        <v>45734</v>
      </c>
      <c r="D1706" t="inlineStr">
        <is>
          <t>JÄMTLANDS LÄN</t>
        </is>
      </c>
      <c r="E1706" t="inlineStr">
        <is>
          <t>KROKOM</t>
        </is>
      </c>
      <c r="F1706" t="inlineStr">
        <is>
          <t>Övriga Aktiebolag</t>
        </is>
      </c>
      <c r="G1706" t="n">
        <v>24.8</v>
      </c>
      <c r="H1706" t="n">
        <v>0</v>
      </c>
      <c r="I1706" t="n">
        <v>0</v>
      </c>
      <c r="J1706" t="n">
        <v>0</v>
      </c>
      <c r="K1706" t="n">
        <v>0</v>
      </c>
      <c r="L1706" t="n">
        <v>0</v>
      </c>
      <c r="M1706" t="n">
        <v>0</v>
      </c>
      <c r="N1706" t="n">
        <v>0</v>
      </c>
      <c r="O1706" t="n">
        <v>0</v>
      </c>
      <c r="P1706" t="n">
        <v>0</v>
      </c>
      <c r="Q1706" t="n">
        <v>0</v>
      </c>
      <c r="R1706" s="2" t="inlineStr"/>
    </row>
    <row r="1707" ht="15" customHeight="1">
      <c r="A1707" t="inlineStr">
        <is>
          <t>A 6590-2025</t>
        </is>
      </c>
      <c r="B1707" s="1" t="n">
        <v>45700</v>
      </c>
      <c r="C1707" s="1" t="n">
        <v>45734</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45734</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6585-2025</t>
        </is>
      </c>
      <c r="B1709" s="1" t="n">
        <v>45700</v>
      </c>
      <c r="C1709" s="1" t="n">
        <v>45734</v>
      </c>
      <c r="D1709" t="inlineStr">
        <is>
          <t>JÄMTLANDS LÄN</t>
        </is>
      </c>
      <c r="E1709" t="inlineStr">
        <is>
          <t>KROKOM</t>
        </is>
      </c>
      <c r="F1709" t="inlineStr">
        <is>
          <t>Övriga Aktiebolag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6711-2025</t>
        </is>
      </c>
      <c r="B1710" s="1" t="n">
        <v>45700</v>
      </c>
      <c r="C1710" s="1" t="n">
        <v>45734</v>
      </c>
      <c r="D1710" t="inlineStr">
        <is>
          <t>JÄMTLANDS LÄN</t>
        </is>
      </c>
      <c r="E1710" t="inlineStr">
        <is>
          <t>KROKOM</t>
        </is>
      </c>
      <c r="F1710" t="inlineStr">
        <is>
          <t>Övriga Aktiebolag</t>
        </is>
      </c>
      <c r="G1710" t="n">
        <v>37.6</v>
      </c>
      <c r="H1710" t="n">
        <v>0</v>
      </c>
      <c r="I1710" t="n">
        <v>0</v>
      </c>
      <c r="J1710" t="n">
        <v>0</v>
      </c>
      <c r="K1710" t="n">
        <v>0</v>
      </c>
      <c r="L1710" t="n">
        <v>0</v>
      </c>
      <c r="M1710" t="n">
        <v>0</v>
      </c>
      <c r="N1710" t="n">
        <v>0</v>
      </c>
      <c r="O1710" t="n">
        <v>0</v>
      </c>
      <c r="P1710" t="n">
        <v>0</v>
      </c>
      <c r="Q1710" t="n">
        <v>0</v>
      </c>
      <c r="R1710" s="2" t="inlineStr"/>
    </row>
    <row r="1711" ht="15" customHeight="1">
      <c r="A1711" t="inlineStr">
        <is>
          <t>A 6991-2025</t>
        </is>
      </c>
      <c r="B1711" s="1" t="n">
        <v>45701</v>
      </c>
      <c r="C1711" s="1" t="n">
        <v>45734</v>
      </c>
      <c r="D1711" t="inlineStr">
        <is>
          <t>JÄMTLANDS LÄN</t>
        </is>
      </c>
      <c r="E1711" t="inlineStr">
        <is>
          <t>KROKOM</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45734</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45734</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7013-2025</t>
        </is>
      </c>
      <c r="B1714" s="1" t="n">
        <v>45701</v>
      </c>
      <c r="C1714" s="1" t="n">
        <v>45734</v>
      </c>
      <c r="D1714" t="inlineStr">
        <is>
          <t>JÄMTLANDS LÄN</t>
        </is>
      </c>
      <c r="E1714" t="inlineStr">
        <is>
          <t>KROKOM</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6870-2025</t>
        </is>
      </c>
      <c r="B1715" s="1" t="n">
        <v>45701</v>
      </c>
      <c r="C1715" s="1" t="n">
        <v>45734</v>
      </c>
      <c r="D1715" t="inlineStr">
        <is>
          <t>JÄMTLANDS LÄN</t>
        </is>
      </c>
      <c r="E1715" t="inlineStr">
        <is>
          <t>KROKOM</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45734</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7392-2025</t>
        </is>
      </c>
      <c r="B1717" s="1" t="n">
        <v>45705</v>
      </c>
      <c r="C1717" s="1" t="n">
        <v>45734</v>
      </c>
      <c r="D1717" t="inlineStr">
        <is>
          <t>JÄMTLANDS LÄN</t>
        </is>
      </c>
      <c r="E1717" t="inlineStr">
        <is>
          <t>KROKOM</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7391-2025</t>
        </is>
      </c>
      <c r="B1718" s="1" t="n">
        <v>45705</v>
      </c>
      <c r="C1718" s="1" t="n">
        <v>45734</v>
      </c>
      <c r="D1718" t="inlineStr">
        <is>
          <t>JÄMTLANDS LÄN</t>
        </is>
      </c>
      <c r="E1718" t="inlineStr">
        <is>
          <t>KROKOM</t>
        </is>
      </c>
      <c r="F1718" t="inlineStr">
        <is>
          <t>Övriga Aktiebolag</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7556-2025</t>
        </is>
      </c>
      <c r="B1719" s="1" t="n">
        <v>45705</v>
      </c>
      <c r="C1719" s="1" t="n">
        <v>45734</v>
      </c>
      <c r="D1719" t="inlineStr">
        <is>
          <t>JÄMTLANDS LÄN</t>
        </is>
      </c>
      <c r="E1719" t="inlineStr">
        <is>
          <t>KROKOM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7673-2025</t>
        </is>
      </c>
      <c r="B1720" s="1" t="n">
        <v>45706</v>
      </c>
      <c r="C1720" s="1" t="n">
        <v>45734</v>
      </c>
      <c r="D1720" t="inlineStr">
        <is>
          <t>JÄMTLANDS LÄN</t>
        </is>
      </c>
      <c r="E1720" t="inlineStr">
        <is>
          <t>KROKOM</t>
        </is>
      </c>
      <c r="F1720" t="inlineStr">
        <is>
          <t>Övriga Aktiebolag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7767-2025</t>
        </is>
      </c>
      <c r="B1721" s="1" t="n">
        <v>45706</v>
      </c>
      <c r="C1721" s="1" t="n">
        <v>45734</v>
      </c>
      <c r="D1721" t="inlineStr">
        <is>
          <t>JÄMTLANDS LÄN</t>
        </is>
      </c>
      <c r="E1721" t="inlineStr">
        <is>
          <t>KROKOM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45734</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7724-2025</t>
        </is>
      </c>
      <c r="B1723" s="1" t="n">
        <v>45706</v>
      </c>
      <c r="C1723" s="1" t="n">
        <v>45734</v>
      </c>
      <c r="D1723" t="inlineStr">
        <is>
          <t>JÄMTLANDS LÄN</t>
        </is>
      </c>
      <c r="E1723" t="inlineStr">
        <is>
          <t>KROKOM</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7908-2025</t>
        </is>
      </c>
      <c r="B1724" s="1" t="n">
        <v>45707</v>
      </c>
      <c r="C1724" s="1" t="n">
        <v>45734</v>
      </c>
      <c r="D1724" t="inlineStr">
        <is>
          <t>JÄMTLANDS LÄN</t>
        </is>
      </c>
      <c r="E1724" t="inlineStr">
        <is>
          <t>KROKOM</t>
        </is>
      </c>
      <c r="F1724" t="inlineStr">
        <is>
          <t>Övriga Aktiebolag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8024-2025</t>
        </is>
      </c>
      <c r="B1725" s="1" t="n">
        <v>45707</v>
      </c>
      <c r="C1725" s="1" t="n">
        <v>45734</v>
      </c>
      <c r="D1725" t="inlineStr">
        <is>
          <t>JÄMTLANDS LÄN</t>
        </is>
      </c>
      <c r="E1725" t="inlineStr">
        <is>
          <t>KROKOM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7921-2025</t>
        </is>
      </c>
      <c r="B1726" s="1" t="n">
        <v>45707</v>
      </c>
      <c r="C1726" s="1" t="n">
        <v>45734</v>
      </c>
      <c r="D1726" t="inlineStr">
        <is>
          <t>JÄMTLANDS LÄN</t>
        </is>
      </c>
      <c r="E1726" t="inlineStr">
        <is>
          <t>KROKOM</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8011-2025</t>
        </is>
      </c>
      <c r="B1727" s="1" t="n">
        <v>45707</v>
      </c>
      <c r="C1727" s="1" t="n">
        <v>45734</v>
      </c>
      <c r="D1727" t="inlineStr">
        <is>
          <t>JÄMTLANDS LÄN</t>
        </is>
      </c>
      <c r="E1727" t="inlineStr">
        <is>
          <t>KROKOM</t>
        </is>
      </c>
      <c r="F1727" t="inlineStr">
        <is>
          <t>Övriga Aktiebolag</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45734</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8168-2025</t>
        </is>
      </c>
      <c r="B1729" s="1" t="n">
        <v>45708</v>
      </c>
      <c r="C1729" s="1" t="n">
        <v>45734</v>
      </c>
      <c r="D1729" t="inlineStr">
        <is>
          <t>JÄMTLANDS LÄN</t>
        </is>
      </c>
      <c r="E1729" t="inlineStr">
        <is>
          <t>KROKOM</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8167-2025</t>
        </is>
      </c>
      <c r="B1730" s="1" t="n">
        <v>45708</v>
      </c>
      <c r="C1730" s="1" t="n">
        <v>45734</v>
      </c>
      <c r="D1730" t="inlineStr">
        <is>
          <t>JÄMTLANDS LÄN</t>
        </is>
      </c>
      <c r="E1730" t="inlineStr">
        <is>
          <t>KROKOM</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45734</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45734</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8865-2025</t>
        </is>
      </c>
      <c r="B1733" s="1" t="n">
        <v>45713</v>
      </c>
      <c r="C1733" s="1" t="n">
        <v>45734</v>
      </c>
      <c r="D1733" t="inlineStr">
        <is>
          <t>JÄMTLANDS LÄN</t>
        </is>
      </c>
      <c r="E1733" t="inlineStr">
        <is>
          <t>KROKOM</t>
        </is>
      </c>
      <c r="F1733" t="inlineStr">
        <is>
          <t>Övriga Aktiebolag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9023-2025</t>
        </is>
      </c>
      <c r="B1734" s="1" t="n">
        <v>45713</v>
      </c>
      <c r="C1734" s="1" t="n">
        <v>45734</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9027-2025</t>
        </is>
      </c>
      <c r="B1735" s="1" t="n">
        <v>45713</v>
      </c>
      <c r="C1735" s="1" t="n">
        <v>45734</v>
      </c>
      <c r="D1735" t="inlineStr">
        <is>
          <t>JÄMTLANDS LÄN</t>
        </is>
      </c>
      <c r="E1735" t="inlineStr">
        <is>
          <t>KROKOM</t>
        </is>
      </c>
      <c r="F1735" t="inlineStr">
        <is>
          <t>Övriga Aktiebolag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9043-2025</t>
        </is>
      </c>
      <c r="B1736" s="1" t="n">
        <v>45713</v>
      </c>
      <c r="C1736" s="1" t="n">
        <v>45734</v>
      </c>
      <c r="D1736" t="inlineStr">
        <is>
          <t>JÄMTLANDS LÄN</t>
        </is>
      </c>
      <c r="E1736" t="inlineStr">
        <is>
          <t>KROKOM</t>
        </is>
      </c>
      <c r="F1736" t="inlineStr">
        <is>
          <t>Övriga Aktiebolag</t>
        </is>
      </c>
      <c r="G1736" t="n">
        <v>43.6</v>
      </c>
      <c r="H1736" t="n">
        <v>0</v>
      </c>
      <c r="I1736" t="n">
        <v>0</v>
      </c>
      <c r="J1736" t="n">
        <v>0</v>
      </c>
      <c r="K1736" t="n">
        <v>0</v>
      </c>
      <c r="L1736" t="n">
        <v>0</v>
      </c>
      <c r="M1736" t="n">
        <v>0</v>
      </c>
      <c r="N1736" t="n">
        <v>0</v>
      </c>
      <c r="O1736" t="n">
        <v>0</v>
      </c>
      <c r="P1736" t="n">
        <v>0</v>
      </c>
      <c r="Q1736" t="n">
        <v>0</v>
      </c>
      <c r="R1736" s="2" t="inlineStr"/>
    </row>
    <row r="1737" ht="15" customHeight="1">
      <c r="A1737" t="inlineStr">
        <is>
          <t>A 9025-2025</t>
        </is>
      </c>
      <c r="B1737" s="1" t="n">
        <v>45713</v>
      </c>
      <c r="C1737" s="1" t="n">
        <v>45734</v>
      </c>
      <c r="D1737" t="inlineStr">
        <is>
          <t>JÄMTLANDS LÄN</t>
        </is>
      </c>
      <c r="E1737" t="inlineStr">
        <is>
          <t>KROKOM</t>
        </is>
      </c>
      <c r="F1737" t="inlineStr">
        <is>
          <t>Övriga Aktiebolag</t>
        </is>
      </c>
      <c r="G1737" t="n">
        <v>28.4</v>
      </c>
      <c r="H1737" t="n">
        <v>0</v>
      </c>
      <c r="I1737" t="n">
        <v>0</v>
      </c>
      <c r="J1737" t="n">
        <v>0</v>
      </c>
      <c r="K1737" t="n">
        <v>0</v>
      </c>
      <c r="L1737" t="n">
        <v>0</v>
      </c>
      <c r="M1737" t="n">
        <v>0</v>
      </c>
      <c r="N1737" t="n">
        <v>0</v>
      </c>
      <c r="O1737" t="n">
        <v>0</v>
      </c>
      <c r="P1737" t="n">
        <v>0</v>
      </c>
      <c r="Q1737" t="n">
        <v>0</v>
      </c>
      <c r="R1737" s="2" t="inlineStr"/>
    </row>
    <row r="1738" ht="15" customHeight="1">
      <c r="A1738" t="inlineStr">
        <is>
          <t>A 9022-2025</t>
        </is>
      </c>
      <c r="B1738" s="1" t="n">
        <v>45713</v>
      </c>
      <c r="C1738" s="1" t="n">
        <v>45734</v>
      </c>
      <c r="D1738" t="inlineStr">
        <is>
          <t>JÄMTLANDS LÄN</t>
        </is>
      </c>
      <c r="E1738" t="inlineStr">
        <is>
          <t>KROKOM</t>
        </is>
      </c>
      <c r="F1738" t="inlineStr">
        <is>
          <t>Övriga Aktiebolag</t>
        </is>
      </c>
      <c r="G1738" t="n">
        <v>29.9</v>
      </c>
      <c r="H1738" t="n">
        <v>0</v>
      </c>
      <c r="I1738" t="n">
        <v>0</v>
      </c>
      <c r="J1738" t="n">
        <v>0</v>
      </c>
      <c r="K1738" t="n">
        <v>0</v>
      </c>
      <c r="L1738" t="n">
        <v>0</v>
      </c>
      <c r="M1738" t="n">
        <v>0</v>
      </c>
      <c r="N1738" t="n">
        <v>0</v>
      </c>
      <c r="O1738" t="n">
        <v>0</v>
      </c>
      <c r="P1738" t="n">
        <v>0</v>
      </c>
      <c r="Q1738" t="n">
        <v>0</v>
      </c>
      <c r="R1738" s="2" t="inlineStr"/>
    </row>
    <row r="1739" ht="15" customHeight="1">
      <c r="A1739" t="inlineStr">
        <is>
          <t>A 8868-2025</t>
        </is>
      </c>
      <c r="B1739" s="1" t="n">
        <v>45713</v>
      </c>
      <c r="C1739" s="1" t="n">
        <v>45734</v>
      </c>
      <c r="D1739" t="inlineStr">
        <is>
          <t>JÄMTLANDS LÄN</t>
        </is>
      </c>
      <c r="E1739" t="inlineStr">
        <is>
          <t>KROKOM</t>
        </is>
      </c>
      <c r="F1739" t="inlineStr">
        <is>
          <t>Övriga Aktiebolag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8872-2025</t>
        </is>
      </c>
      <c r="B1740" s="1" t="n">
        <v>45713</v>
      </c>
      <c r="C1740" s="1" t="n">
        <v>45734</v>
      </c>
      <c r="D1740" t="inlineStr">
        <is>
          <t>JÄMTLANDS LÄN</t>
        </is>
      </c>
      <c r="E1740" t="inlineStr">
        <is>
          <t>KROKOM</t>
        </is>
      </c>
      <c r="F1740" t="inlineStr">
        <is>
          <t>Övriga Aktiebolag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8880-2025</t>
        </is>
      </c>
      <c r="B1741" s="1" t="n">
        <v>45713</v>
      </c>
      <c r="C1741" s="1" t="n">
        <v>45734</v>
      </c>
      <c r="D1741" t="inlineStr">
        <is>
          <t>JÄMTLANDS LÄN</t>
        </is>
      </c>
      <c r="E1741" t="inlineStr">
        <is>
          <t>KROKOM</t>
        </is>
      </c>
      <c r="F1741" t="inlineStr">
        <is>
          <t>Övriga Aktiebolag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9016-2025</t>
        </is>
      </c>
      <c r="B1742" s="1" t="n">
        <v>45713</v>
      </c>
      <c r="C1742" s="1" t="n">
        <v>45734</v>
      </c>
      <c r="D1742" t="inlineStr">
        <is>
          <t>JÄMTLANDS LÄN</t>
        </is>
      </c>
      <c r="E1742" t="inlineStr">
        <is>
          <t>KROKOM</t>
        </is>
      </c>
      <c r="F1742" t="inlineStr">
        <is>
          <t>Övriga Aktiebolag</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45734</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9313-2025</t>
        </is>
      </c>
      <c r="B1744" s="1" t="n">
        <v>45714</v>
      </c>
      <c r="C1744" s="1" t="n">
        <v>45734</v>
      </c>
      <c r="D1744" t="inlineStr">
        <is>
          <t>JÄMTLANDS LÄN</t>
        </is>
      </c>
      <c r="E1744" t="inlineStr">
        <is>
          <t>KROKOM</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45734</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9621-2025</t>
        </is>
      </c>
      <c r="B1746" s="1" t="n">
        <v>45715</v>
      </c>
      <c r="C1746" s="1" t="n">
        <v>45734</v>
      </c>
      <c r="D1746" t="inlineStr">
        <is>
          <t>JÄMTLANDS LÄN</t>
        </is>
      </c>
      <c r="E1746" t="inlineStr">
        <is>
          <t>KROKOM</t>
        </is>
      </c>
      <c r="F1746" t="inlineStr">
        <is>
          <t>Kyrkan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9623-2025</t>
        </is>
      </c>
      <c r="B1747" s="1" t="n">
        <v>45715</v>
      </c>
      <c r="C1747" s="1" t="n">
        <v>45734</v>
      </c>
      <c r="D1747" t="inlineStr">
        <is>
          <t>JÄMTLANDS LÄN</t>
        </is>
      </c>
      <c r="E1747" t="inlineStr">
        <is>
          <t>KROKOM</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9701-2025</t>
        </is>
      </c>
      <c r="B1748" s="1" t="n">
        <v>45716</v>
      </c>
      <c r="C1748" s="1" t="n">
        <v>45734</v>
      </c>
      <c r="D1748" t="inlineStr">
        <is>
          <t>JÄMTLANDS LÄN</t>
        </is>
      </c>
      <c r="E1748" t="inlineStr">
        <is>
          <t>KROKOM</t>
        </is>
      </c>
      <c r="F1748" t="inlineStr">
        <is>
          <t>Övriga Aktiebolag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9796-2025</t>
        </is>
      </c>
      <c r="B1749" s="1" t="n">
        <v>45716</v>
      </c>
      <c r="C1749" s="1" t="n">
        <v>45734</v>
      </c>
      <c r="D1749" t="inlineStr">
        <is>
          <t>JÄMTLANDS LÄN</t>
        </is>
      </c>
      <c r="E1749" t="inlineStr">
        <is>
          <t>KROKOM</t>
        </is>
      </c>
      <c r="F1749" t="inlineStr">
        <is>
          <t>SCA</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9963-2025</t>
        </is>
      </c>
      <c r="B1750" s="1" t="n">
        <v>45719</v>
      </c>
      <c r="C1750" s="1" t="n">
        <v>45734</v>
      </c>
      <c r="D1750" t="inlineStr">
        <is>
          <t>JÄMTLANDS LÄN</t>
        </is>
      </c>
      <c r="E1750" t="inlineStr">
        <is>
          <t>KROKOM</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10051-2025</t>
        </is>
      </c>
      <c r="B1751" s="1" t="n">
        <v>45719</v>
      </c>
      <c r="C1751" s="1" t="n">
        <v>45734</v>
      </c>
      <c r="D1751" t="inlineStr">
        <is>
          <t>JÄMTLANDS LÄN</t>
        </is>
      </c>
      <c r="E1751" t="inlineStr">
        <is>
          <t>KROKOM</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10053-2025</t>
        </is>
      </c>
      <c r="B1752" s="1" t="n">
        <v>45719</v>
      </c>
      <c r="C1752" s="1" t="n">
        <v>45734</v>
      </c>
      <c r="D1752" t="inlineStr">
        <is>
          <t>JÄMTLANDS LÄN</t>
        </is>
      </c>
      <c r="E1752" t="inlineStr">
        <is>
          <t>KROKOM</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9948-2025</t>
        </is>
      </c>
      <c r="B1753" s="1" t="n">
        <v>45719</v>
      </c>
      <c r="C1753" s="1" t="n">
        <v>45734</v>
      </c>
      <c r="D1753" t="inlineStr">
        <is>
          <t>JÄMTLANDS LÄN</t>
        </is>
      </c>
      <c r="E1753" t="inlineStr">
        <is>
          <t>KROKOM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10128-2025</t>
        </is>
      </c>
      <c r="B1754" s="1" t="n">
        <v>45719</v>
      </c>
      <c r="C1754" s="1" t="n">
        <v>45734</v>
      </c>
      <c r="D1754" t="inlineStr">
        <is>
          <t>JÄMTLANDS LÄN</t>
        </is>
      </c>
      <c r="E1754" t="inlineStr">
        <is>
          <t>KROKOM</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10071-2025</t>
        </is>
      </c>
      <c r="B1755" s="1" t="n">
        <v>45719</v>
      </c>
      <c r="C1755" s="1" t="n">
        <v>45734</v>
      </c>
      <c r="D1755" t="inlineStr">
        <is>
          <t>JÄMTLANDS LÄN</t>
        </is>
      </c>
      <c r="E1755" t="inlineStr">
        <is>
          <t>KROKOM</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10133-2025</t>
        </is>
      </c>
      <c r="B1756" s="1" t="n">
        <v>45719</v>
      </c>
      <c r="C1756" s="1" t="n">
        <v>45734</v>
      </c>
      <c r="D1756" t="inlineStr">
        <is>
          <t>JÄMTLANDS LÄN</t>
        </is>
      </c>
      <c r="E1756" t="inlineStr">
        <is>
          <t>KROKOM</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10220-2025</t>
        </is>
      </c>
      <c r="B1757" s="1" t="n">
        <v>45720</v>
      </c>
      <c r="C1757" s="1" t="n">
        <v>45734</v>
      </c>
      <c r="D1757" t="inlineStr">
        <is>
          <t>JÄMTLANDS LÄN</t>
        </is>
      </c>
      <c r="E1757" t="inlineStr">
        <is>
          <t>KROKOM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10279-2025</t>
        </is>
      </c>
      <c r="B1758" s="1" t="n">
        <v>45720</v>
      </c>
      <c r="C1758" s="1" t="n">
        <v>45734</v>
      </c>
      <c r="D1758" t="inlineStr">
        <is>
          <t>JÄMTLANDS LÄN</t>
        </is>
      </c>
      <c r="E1758" t="inlineStr">
        <is>
          <t>KROKOM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10397-2025</t>
        </is>
      </c>
      <c r="B1759" s="1" t="n">
        <v>45720</v>
      </c>
      <c r="C1759" s="1" t="n">
        <v>45734</v>
      </c>
      <c r="D1759" t="inlineStr">
        <is>
          <t>JÄMTLANDS LÄN</t>
        </is>
      </c>
      <c r="E1759" t="inlineStr">
        <is>
          <t>KROKOM</t>
        </is>
      </c>
      <c r="F1759" t="inlineStr">
        <is>
          <t>Övriga Aktiebolag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10494-2025</t>
        </is>
      </c>
      <c r="B1760" s="1" t="n">
        <v>45721</v>
      </c>
      <c r="C1760" s="1" t="n">
        <v>45734</v>
      </c>
      <c r="D1760" t="inlineStr">
        <is>
          <t>JÄMTLANDS LÄN</t>
        </is>
      </c>
      <c r="E1760" t="inlineStr">
        <is>
          <t>KROKOM</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10498-2025</t>
        </is>
      </c>
      <c r="B1761" s="1" t="n">
        <v>45721</v>
      </c>
      <c r="C1761" s="1" t="n">
        <v>45734</v>
      </c>
      <c r="D1761" t="inlineStr">
        <is>
          <t>JÄMTLANDS LÄN</t>
        </is>
      </c>
      <c r="E1761" t="inlineStr">
        <is>
          <t>KROKOM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10588-2025</t>
        </is>
      </c>
      <c r="B1762" s="1" t="n">
        <v>45721</v>
      </c>
      <c r="C1762" s="1" t="n">
        <v>45734</v>
      </c>
      <c r="D1762" t="inlineStr">
        <is>
          <t>JÄMTLANDS LÄN</t>
        </is>
      </c>
      <c r="E1762" t="inlineStr">
        <is>
          <t>KROKOM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10532-2025</t>
        </is>
      </c>
      <c r="B1763" s="1" t="n">
        <v>45721</v>
      </c>
      <c r="C1763" s="1" t="n">
        <v>45734</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10552-2025</t>
        </is>
      </c>
      <c r="B1764" s="1" t="n">
        <v>45721</v>
      </c>
      <c r="C1764" s="1" t="n">
        <v>45734</v>
      </c>
      <c r="D1764" t="inlineStr">
        <is>
          <t>JÄMTLANDS LÄN</t>
        </is>
      </c>
      <c r="E1764" t="inlineStr">
        <is>
          <t>KROKOM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10581-2025</t>
        </is>
      </c>
      <c r="B1765" s="1" t="n">
        <v>45721</v>
      </c>
      <c r="C1765" s="1" t="n">
        <v>45734</v>
      </c>
      <c r="D1765" t="inlineStr">
        <is>
          <t>JÄMTLANDS LÄN</t>
        </is>
      </c>
      <c r="E1765" t="inlineStr">
        <is>
          <t>KROKOM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10632-2025</t>
        </is>
      </c>
      <c r="B1766" s="1" t="n">
        <v>45721</v>
      </c>
      <c r="C1766" s="1" t="n">
        <v>45734</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10646-2025</t>
        </is>
      </c>
      <c r="B1767" s="1" t="n">
        <v>45721</v>
      </c>
      <c r="C1767" s="1" t="n">
        <v>45734</v>
      </c>
      <c r="D1767" t="inlineStr">
        <is>
          <t>JÄMTLANDS LÄN</t>
        </is>
      </c>
      <c r="E1767" t="inlineStr">
        <is>
          <t>KROKOM</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10533-2025</t>
        </is>
      </c>
      <c r="B1768" s="1" t="n">
        <v>45721</v>
      </c>
      <c r="C1768" s="1" t="n">
        <v>45734</v>
      </c>
      <c r="D1768" t="inlineStr">
        <is>
          <t>JÄMTLANDS LÄN</t>
        </is>
      </c>
      <c r="E1768" t="inlineStr">
        <is>
          <t>KROKOM</t>
        </is>
      </c>
      <c r="F1768" t="inlineStr">
        <is>
          <t>SCA</t>
        </is>
      </c>
      <c r="G1768" t="n">
        <v>64.90000000000001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11070-2025</t>
        </is>
      </c>
      <c r="B1769" s="1" t="n">
        <v>45723</v>
      </c>
      <c r="C1769" s="1" t="n">
        <v>45734</v>
      </c>
      <c r="D1769" t="inlineStr">
        <is>
          <t>JÄMTLANDS LÄN</t>
        </is>
      </c>
      <c r="E1769" t="inlineStr">
        <is>
          <t>KROKOM</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10991-2025</t>
        </is>
      </c>
      <c r="B1770" s="1" t="n">
        <v>45723</v>
      </c>
      <c r="C1770" s="1" t="n">
        <v>45734</v>
      </c>
      <c r="D1770" t="inlineStr">
        <is>
          <t>JÄMTLANDS LÄN</t>
        </is>
      </c>
      <c r="E1770" t="inlineStr">
        <is>
          <t>KROKOM</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11056-2025</t>
        </is>
      </c>
      <c r="B1771" s="1" t="n">
        <v>45723</v>
      </c>
      <c r="C1771" s="1" t="n">
        <v>45734</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45734</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11243-2025</t>
        </is>
      </c>
      <c r="B1773" s="1" t="n">
        <v>45726</v>
      </c>
      <c r="C1773" s="1" t="n">
        <v>45734</v>
      </c>
      <c r="D1773" t="inlineStr">
        <is>
          <t>JÄMTLANDS LÄN</t>
        </is>
      </c>
      <c r="E1773" t="inlineStr">
        <is>
          <t>KROKOM</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11317-2025</t>
        </is>
      </c>
      <c r="B1774" s="1" t="n">
        <v>45726</v>
      </c>
      <c r="C1774" s="1" t="n">
        <v>45734</v>
      </c>
      <c r="D1774" t="inlineStr">
        <is>
          <t>JÄMTLANDS LÄN</t>
        </is>
      </c>
      <c r="E1774" t="inlineStr">
        <is>
          <t>KROKOM</t>
        </is>
      </c>
      <c r="F1774" t="inlineStr">
        <is>
          <t>Övriga Aktiebolag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11436-2025</t>
        </is>
      </c>
      <c r="B1775" s="1" t="n">
        <v>45726</v>
      </c>
      <c r="C1775" s="1" t="n">
        <v>45734</v>
      </c>
      <c r="D1775" t="inlineStr">
        <is>
          <t>JÄMTLANDS LÄN</t>
        </is>
      </c>
      <c r="E1775" t="inlineStr">
        <is>
          <t>KROKOM</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11386-2025</t>
        </is>
      </c>
      <c r="B1776" s="1" t="n">
        <v>45726</v>
      </c>
      <c r="C1776" s="1" t="n">
        <v>45734</v>
      </c>
      <c r="D1776" t="inlineStr">
        <is>
          <t>JÄMTLANDS LÄN</t>
        </is>
      </c>
      <c r="E1776" t="inlineStr">
        <is>
          <t>KROKOM</t>
        </is>
      </c>
      <c r="F1776" t="inlineStr">
        <is>
          <t>Övriga Aktiebolag</t>
        </is>
      </c>
      <c r="G1776" t="n">
        <v>42.4</v>
      </c>
      <c r="H1776" t="n">
        <v>0</v>
      </c>
      <c r="I1776" t="n">
        <v>0</v>
      </c>
      <c r="J1776" t="n">
        <v>0</v>
      </c>
      <c r="K1776" t="n">
        <v>0</v>
      </c>
      <c r="L1776" t="n">
        <v>0</v>
      </c>
      <c r="M1776" t="n">
        <v>0</v>
      </c>
      <c r="N1776" t="n">
        <v>0</v>
      </c>
      <c r="O1776" t="n">
        <v>0</v>
      </c>
      <c r="P1776" t="n">
        <v>0</v>
      </c>
      <c r="Q1776" t="n">
        <v>0</v>
      </c>
      <c r="R1776" s="2" t="inlineStr"/>
    </row>
    <row r="1777" ht="15" customHeight="1">
      <c r="A1777" t="inlineStr">
        <is>
          <t>A 11403-2025</t>
        </is>
      </c>
      <c r="B1777" s="1" t="n">
        <v>45726</v>
      </c>
      <c r="C1777" s="1" t="n">
        <v>45734</v>
      </c>
      <c r="D1777" t="inlineStr">
        <is>
          <t>JÄMTLANDS LÄN</t>
        </is>
      </c>
      <c r="E1777" t="inlineStr">
        <is>
          <t>KROKOM</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11424-2025</t>
        </is>
      </c>
      <c r="B1778" s="1" t="n">
        <v>45726</v>
      </c>
      <c r="C1778" s="1" t="n">
        <v>45734</v>
      </c>
      <c r="D1778" t="inlineStr">
        <is>
          <t>JÄMTLANDS LÄN</t>
        </is>
      </c>
      <c r="E1778" t="inlineStr">
        <is>
          <t>KROKOM</t>
        </is>
      </c>
      <c r="F1778" t="inlineStr">
        <is>
          <t>Övriga Aktiebolag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12479-2025</t>
        </is>
      </c>
      <c r="B1779" s="1" t="n">
        <v>45730</v>
      </c>
      <c r="C1779" s="1" t="n">
        <v>45734</v>
      </c>
      <c r="D1779" t="inlineStr">
        <is>
          <t>JÄMTLANDS LÄN</t>
        </is>
      </c>
      <c r="E1779" t="inlineStr">
        <is>
          <t>KROKOM</t>
        </is>
      </c>
      <c r="G1779" t="n">
        <v>13.8</v>
      </c>
      <c r="H1779" t="n">
        <v>0</v>
      </c>
      <c r="I1779" t="n">
        <v>0</v>
      </c>
      <c r="J1779" t="n">
        <v>0</v>
      </c>
      <c r="K1779" t="n">
        <v>0</v>
      </c>
      <c r="L1779" t="n">
        <v>0</v>
      </c>
      <c r="M1779" t="n">
        <v>0</v>
      </c>
      <c r="N1779" t="n">
        <v>0</v>
      </c>
      <c r="O1779" t="n">
        <v>0</v>
      </c>
      <c r="P1779" t="n">
        <v>0</v>
      </c>
      <c r="Q1779" t="n">
        <v>0</v>
      </c>
      <c r="R1779" s="2" t="inlineStr"/>
    </row>
    <row r="1780" ht="15" customHeight="1">
      <c r="A1780" t="inlineStr">
        <is>
          <t>A 12489-2025</t>
        </is>
      </c>
      <c r="B1780" s="1" t="n">
        <v>45730</v>
      </c>
      <c r="C1780" s="1" t="n">
        <v>45734</v>
      </c>
      <c r="D1780" t="inlineStr">
        <is>
          <t>JÄMTLANDS LÄN</t>
        </is>
      </c>
      <c r="E1780" t="inlineStr">
        <is>
          <t>KROKOM</t>
        </is>
      </c>
      <c r="G1780" t="n">
        <v>13.4</v>
      </c>
      <c r="H1780" t="n">
        <v>0</v>
      </c>
      <c r="I1780" t="n">
        <v>0</v>
      </c>
      <c r="J1780" t="n">
        <v>0</v>
      </c>
      <c r="K1780" t="n">
        <v>0</v>
      </c>
      <c r="L1780" t="n">
        <v>0</v>
      </c>
      <c r="M1780" t="n">
        <v>0</v>
      </c>
      <c r="N1780" t="n">
        <v>0</v>
      </c>
      <c r="O1780" t="n">
        <v>0</v>
      </c>
      <c r="P1780" t="n">
        <v>0</v>
      </c>
      <c r="Q1780" t="n">
        <v>0</v>
      </c>
      <c r="R1780" s="2" t="inlineStr"/>
    </row>
    <row r="1781" ht="15" customHeight="1">
      <c r="A1781" t="inlineStr">
        <is>
          <t>A 12508-2025</t>
        </is>
      </c>
      <c r="B1781" s="1" t="n">
        <v>45730</v>
      </c>
      <c r="C1781" s="1" t="n">
        <v>45734</v>
      </c>
      <c r="D1781" t="inlineStr">
        <is>
          <t>JÄMTLANDS LÄN</t>
        </is>
      </c>
      <c r="E1781" t="inlineStr">
        <is>
          <t>KROKOM</t>
        </is>
      </c>
      <c r="G1781" t="n">
        <v>22.6</v>
      </c>
      <c r="H1781" t="n">
        <v>0</v>
      </c>
      <c r="I1781" t="n">
        <v>0</v>
      </c>
      <c r="J1781" t="n">
        <v>0</v>
      </c>
      <c r="K1781" t="n">
        <v>0</v>
      </c>
      <c r="L1781" t="n">
        <v>0</v>
      </c>
      <c r="M1781" t="n">
        <v>0</v>
      </c>
      <c r="N1781" t="n">
        <v>0</v>
      </c>
      <c r="O1781" t="n">
        <v>0</v>
      </c>
      <c r="P1781" t="n">
        <v>0</v>
      </c>
      <c r="Q1781" t="n">
        <v>0</v>
      </c>
      <c r="R1781" s="2" t="inlineStr"/>
    </row>
    <row r="1782" ht="15" customHeight="1">
      <c r="A1782" t="inlineStr">
        <is>
          <t>A 12838-2025</t>
        </is>
      </c>
      <c r="B1782" s="1" t="n">
        <v>45733</v>
      </c>
      <c r="C1782" s="1" t="n">
        <v>45734</v>
      </c>
      <c r="D1782" t="inlineStr">
        <is>
          <t>JÄMTLANDS LÄN</t>
        </is>
      </c>
      <c r="E1782" t="inlineStr">
        <is>
          <t>KROKOM</t>
        </is>
      </c>
      <c r="G1782" t="n">
        <v>59.3</v>
      </c>
      <c r="H1782" t="n">
        <v>0</v>
      </c>
      <c r="I1782" t="n">
        <v>0</v>
      </c>
      <c r="J1782" t="n">
        <v>0</v>
      </c>
      <c r="K1782" t="n">
        <v>0</v>
      </c>
      <c r="L1782" t="n">
        <v>0</v>
      </c>
      <c r="M1782" t="n">
        <v>0</v>
      </c>
      <c r="N1782" t="n">
        <v>0</v>
      </c>
      <c r="O1782" t="n">
        <v>0</v>
      </c>
      <c r="P1782" t="n">
        <v>0</v>
      </c>
      <c r="Q1782" t="n">
        <v>0</v>
      </c>
      <c r="R1782" s="2" t="inlineStr"/>
    </row>
    <row r="1783" ht="15" customHeight="1">
      <c r="A1783" t="inlineStr">
        <is>
          <t>A 12868-2025</t>
        </is>
      </c>
      <c r="B1783" s="1" t="n">
        <v>45733</v>
      </c>
      <c r="C1783" s="1" t="n">
        <v>45734</v>
      </c>
      <c r="D1783" t="inlineStr">
        <is>
          <t>JÄMTLANDS LÄN</t>
        </is>
      </c>
      <c r="E1783" t="inlineStr">
        <is>
          <t>KROKOM</t>
        </is>
      </c>
      <c r="G1783" t="n">
        <v>24.2</v>
      </c>
      <c r="H1783" t="n">
        <v>0</v>
      </c>
      <c r="I1783" t="n">
        <v>0</v>
      </c>
      <c r="J1783" t="n">
        <v>0</v>
      </c>
      <c r="K1783" t="n">
        <v>0</v>
      </c>
      <c r="L1783" t="n">
        <v>0</v>
      </c>
      <c r="M1783" t="n">
        <v>0</v>
      </c>
      <c r="N1783" t="n">
        <v>0</v>
      </c>
      <c r="O1783" t="n">
        <v>0</v>
      </c>
      <c r="P1783" t="n">
        <v>0</v>
      </c>
      <c r="Q1783" t="n">
        <v>0</v>
      </c>
      <c r="R1783" s="2" t="inlineStr"/>
    </row>
    <row r="1784">
      <c r="A1784" t="inlineStr">
        <is>
          <t>A 12774-2025</t>
        </is>
      </c>
      <c r="B1784" s="1" t="n">
        <v>45733</v>
      </c>
      <c r="C1784" s="1" t="n">
        <v>45734</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2025-03-18T15:31:08Z</dcterms:created>
  <dcterms:modified xmlns:dcterms="http://purl.org/dc/terms/" xmlns:xsi="http://www.w3.org/2001/XMLSchema-instance" xsi:type="dcterms:W3CDTF">2025-03-18T15:31:10Z</dcterms:modified>
</cp:coreProperties>
</file>