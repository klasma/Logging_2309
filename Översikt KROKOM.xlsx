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46012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46012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46012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46012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46012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46012</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46012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46012</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46012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46012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46012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46012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46012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46012</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46012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46012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46012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46012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46012</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46012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30145-2021</t>
        </is>
      </c>
      <c r="B22" s="1" t="n">
        <v>44363</v>
      </c>
      <c r="C22" s="1" t="n">
        <v>46012</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46012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46012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46012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46012</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46012</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46012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46012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46012</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39937-2024</t>
        </is>
      </c>
      <c r="B31" s="1" t="n">
        <v>45553</v>
      </c>
      <c r="C31" s="1" t="n">
        <v>46012</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46012</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46012</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46012</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46012</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19403-2024</t>
        </is>
      </c>
      <c r="B36" s="1" t="n">
        <v>45428</v>
      </c>
      <c r="C36" s="1" t="n">
        <v>46012</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36309-2024</t>
        </is>
      </c>
      <c r="B37" s="1" t="n">
        <v>45534</v>
      </c>
      <c r="C37" s="1" t="n">
        <v>46012</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46012</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46012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46012</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46012</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46012</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46012</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46012</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46012</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46012</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46012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46012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46012</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46012</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5877-2021</t>
        </is>
      </c>
      <c r="B51" s="1" t="n">
        <v>44231</v>
      </c>
      <c r="C51" s="1" t="n">
        <v>46012</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46012</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46012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46012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46012</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46012</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46012</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46012</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52633-2023</t>
        </is>
      </c>
      <c r="B59" s="1" t="n">
        <v>45219</v>
      </c>
      <c r="C59" s="1" t="n">
        <v>46012</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46012</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46012</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46012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46012</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46012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46012</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62118-2023</t>
        </is>
      </c>
      <c r="B66" s="1" t="n">
        <v>45267</v>
      </c>
      <c r="C66" s="1" t="n">
        <v>46012</v>
      </c>
      <c r="D66" t="inlineStr">
        <is>
          <t>JÄMTLANDS LÄN</t>
        </is>
      </c>
      <c r="E66" t="inlineStr">
        <is>
          <t>KROKOM</t>
        </is>
      </c>
      <c r="G66" t="n">
        <v>5.3</v>
      </c>
      <c r="H66" t="n">
        <v>5</v>
      </c>
      <c r="I66" t="n">
        <v>1</v>
      </c>
      <c r="J66" t="n">
        <v>5</v>
      </c>
      <c r="K66" t="n">
        <v>2</v>
      </c>
      <c r="L66" t="n">
        <v>0</v>
      </c>
      <c r="M66" t="n">
        <v>0</v>
      </c>
      <c r="N66" t="n">
        <v>0</v>
      </c>
      <c r="O66" t="n">
        <v>7</v>
      </c>
      <c r="P66" t="n">
        <v>2</v>
      </c>
      <c r="Q66" t="n">
        <v>8</v>
      </c>
      <c r="R66" s="2" t="inlineStr">
        <is>
          <t>Doftticka
Knärot
Garnlav
Lunglav
Spillkråka
Talltita
Tretåig hackspett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53766-2025</t>
        </is>
      </c>
      <c r="B67" s="1" t="n">
        <v>45960.67778935185</v>
      </c>
      <c r="C67" s="1" t="n">
        <v>46012</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46012</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46012</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46012</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46012</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46012</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46012</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46012</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46012</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46012</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v>
      </c>
      <c r="C77" s="1" t="n">
        <v>46012</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35884-2025</t>
        </is>
      </c>
      <c r="B78" s="1" t="n">
        <v>45862.42901620371</v>
      </c>
      <c r="C78" s="1" t="n">
        <v>46012</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v>
      </c>
      <c r="C79" s="1" t="n">
        <v>46012</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61448-2021</t>
        </is>
      </c>
      <c r="B80" s="1" t="n">
        <v>44500</v>
      </c>
      <c r="C80" s="1" t="n">
        <v>46012</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36272-2024</t>
        </is>
      </c>
      <c r="B81" s="1" t="n">
        <v>45534.57745370371</v>
      </c>
      <c r="C81" s="1" t="n">
        <v>46012</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3134-2024</t>
        </is>
      </c>
      <c r="B82" s="1" t="n">
        <v>45316</v>
      </c>
      <c r="C82" s="1" t="n">
        <v>46012</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46012</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46012</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46012</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46012</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46012</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46012</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56194-2021</t>
        </is>
      </c>
      <c r="B89" s="1" t="n">
        <v>44477</v>
      </c>
      <c r="C89" s="1" t="n">
        <v>46012</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46012</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46012</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46012</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46012</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46012</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11097-2024</t>
        </is>
      </c>
      <c r="B95" s="1" t="n">
        <v>45370</v>
      </c>
      <c r="C95" s="1" t="n">
        <v>46012</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42385-2023</t>
        </is>
      </c>
      <c r="B96" s="1" t="n">
        <v>45180</v>
      </c>
      <c r="C96" s="1" t="n">
        <v>46012</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43190-2022</t>
        </is>
      </c>
      <c r="B97" s="1" t="n">
        <v>44834</v>
      </c>
      <c r="C97" s="1" t="n">
        <v>46012</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46012</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65187-2021</t>
        </is>
      </c>
      <c r="B99" s="1" t="n">
        <v>44515</v>
      </c>
      <c r="C99" s="1" t="n">
        <v>46012</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46012</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46012</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11319-2025</t>
        </is>
      </c>
      <c r="B102" s="1" t="n">
        <v>45726</v>
      </c>
      <c r="C102" s="1" t="n">
        <v>46012</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56152-2025</t>
        </is>
      </c>
      <c r="B103" s="1" t="n">
        <v>45974.36434027777</v>
      </c>
      <c r="C103" s="1" t="n">
        <v>46012</v>
      </c>
      <c r="D103" t="inlineStr">
        <is>
          <t>JÄMTLANDS LÄN</t>
        </is>
      </c>
      <c r="E103" t="inlineStr">
        <is>
          <t>KROKOM</t>
        </is>
      </c>
      <c r="G103" t="n">
        <v>6.7</v>
      </c>
      <c r="H103" t="n">
        <v>2</v>
      </c>
      <c r="I103" t="n">
        <v>0</v>
      </c>
      <c r="J103" t="n">
        <v>4</v>
      </c>
      <c r="K103" t="n">
        <v>0</v>
      </c>
      <c r="L103" t="n">
        <v>0</v>
      </c>
      <c r="M103" t="n">
        <v>0</v>
      </c>
      <c r="N103" t="n">
        <v>0</v>
      </c>
      <c r="O103" t="n">
        <v>4</v>
      </c>
      <c r="P103" t="n">
        <v>0</v>
      </c>
      <c r="Q103" t="n">
        <v>5</v>
      </c>
      <c r="R103" s="2" t="inlineStr">
        <is>
          <t>Garnlav
Granticka
Harticka
Tretåig hackspett
Revlummer</t>
        </is>
      </c>
      <c r="S103">
        <f>HYPERLINK("https://klasma.github.io/Logging_2309/artfynd/A 56152-2025 artfynd.xlsx", "A 56152-2025")</f>
        <v/>
      </c>
      <c r="T103">
        <f>HYPERLINK("https://klasma.github.io/Logging_2309/kartor/A 56152-2025 karta.png", "A 56152-2025")</f>
        <v/>
      </c>
      <c r="V103">
        <f>HYPERLINK("https://klasma.github.io/Logging_2309/klagomål/A 56152-2025 FSC-klagomål.docx", "A 56152-2025")</f>
        <v/>
      </c>
      <c r="W103">
        <f>HYPERLINK("https://klasma.github.io/Logging_2309/klagomålsmail/A 56152-2025 FSC-klagomål mail.docx", "A 56152-2025")</f>
        <v/>
      </c>
      <c r="X103">
        <f>HYPERLINK("https://klasma.github.io/Logging_2309/tillsyn/A 56152-2025 tillsynsbegäran.docx", "A 56152-2025")</f>
        <v/>
      </c>
      <c r="Y103">
        <f>HYPERLINK("https://klasma.github.io/Logging_2309/tillsynsmail/A 56152-2025 tillsynsbegäran mail.docx", "A 56152-2025")</f>
        <v/>
      </c>
      <c r="Z103">
        <f>HYPERLINK("https://klasma.github.io/Logging_2309/fåglar/A 56152-2025 prioriterade fågelarter.docx", "A 56152-2025")</f>
        <v/>
      </c>
    </row>
    <row r="104" ht="15" customHeight="1">
      <c r="A104" t="inlineStr">
        <is>
          <t>A 36995-2025</t>
        </is>
      </c>
      <c r="B104" s="1" t="n">
        <v>45874.67765046296</v>
      </c>
      <c r="C104" s="1" t="n">
        <v>46012</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53815-2024</t>
        </is>
      </c>
      <c r="B105" s="1" t="n">
        <v>45615</v>
      </c>
      <c r="C105" s="1" t="n">
        <v>46012</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25286-2023</t>
        </is>
      </c>
      <c r="B106" s="1" t="n">
        <v>45079</v>
      </c>
      <c r="C106" s="1" t="n">
        <v>46012</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35749-2024</t>
        </is>
      </c>
      <c r="B107" s="1" t="n">
        <v>45532</v>
      </c>
      <c r="C107" s="1" t="n">
        <v>46012</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48914-2021</t>
        </is>
      </c>
      <c r="B108" s="1" t="n">
        <v>44452</v>
      </c>
      <c r="C108" s="1" t="n">
        <v>46012</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46012</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46012</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39487-2024</t>
        </is>
      </c>
      <c r="B111" s="1" t="n">
        <v>45551</v>
      </c>
      <c r="C111" s="1" t="n">
        <v>46012</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59039-2022</t>
        </is>
      </c>
      <c r="B112" s="1" t="n">
        <v>44903</v>
      </c>
      <c r="C112" s="1" t="n">
        <v>46012</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46012</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64302-2021</t>
        </is>
      </c>
      <c r="B114" s="1" t="n">
        <v>44510.94930555556</v>
      </c>
      <c r="C114" s="1" t="n">
        <v>46012</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46012</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46012</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46012</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46012</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46012</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18940-2025</t>
        </is>
      </c>
      <c r="B120" s="1" t="n">
        <v>45764</v>
      </c>
      <c r="C120" s="1" t="n">
        <v>46012</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46012</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46012</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13383-2025</t>
        </is>
      </c>
      <c r="B123" s="1" t="n">
        <v>45735</v>
      </c>
      <c r="C123" s="1" t="n">
        <v>46012</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58205-2024</t>
        </is>
      </c>
      <c r="B124" s="1" t="n">
        <v>45632</v>
      </c>
      <c r="C124" s="1" t="n">
        <v>46012</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53363-2022</t>
        </is>
      </c>
      <c r="B125" s="1" t="n">
        <v>44879</v>
      </c>
      <c r="C125" s="1" t="n">
        <v>46012</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46012</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40179-2023</t>
        </is>
      </c>
      <c r="B127" s="1" t="n">
        <v>45169</v>
      </c>
      <c r="C127" s="1" t="n">
        <v>46012</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6682-2023</t>
        </is>
      </c>
      <c r="B128" s="1" t="n">
        <v>44966</v>
      </c>
      <c r="C128" s="1" t="n">
        <v>46012</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55224-2024</t>
        </is>
      </c>
      <c r="B129" s="1" t="n">
        <v>45621</v>
      </c>
      <c r="C129" s="1" t="n">
        <v>46012</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46012</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38966-2025</t>
        </is>
      </c>
      <c r="B131" s="1" t="n">
        <v>45887.6989699074</v>
      </c>
      <c r="C131" s="1" t="n">
        <v>46012</v>
      </c>
      <c r="D131" t="inlineStr">
        <is>
          <t>JÄMTLANDS LÄN</t>
        </is>
      </c>
      <c r="E131" t="inlineStr">
        <is>
          <t>KROKOM</t>
        </is>
      </c>
      <c r="G131" t="n">
        <v>8.199999999999999</v>
      </c>
      <c r="H131" t="n">
        <v>0</v>
      </c>
      <c r="I131" t="n">
        <v>3</v>
      </c>
      <c r="J131" t="n">
        <v>0</v>
      </c>
      <c r="K131" t="n">
        <v>0</v>
      </c>
      <c r="L131" t="n">
        <v>0</v>
      </c>
      <c r="M131" t="n">
        <v>0</v>
      </c>
      <c r="N131" t="n">
        <v>0</v>
      </c>
      <c r="O131" t="n">
        <v>0</v>
      </c>
      <c r="P131" t="n">
        <v>0</v>
      </c>
      <c r="Q131" t="n">
        <v>3</v>
      </c>
      <c r="R131" s="2" t="inlineStr">
        <is>
          <t>Luddlav
Skinnlav
Stuplav</t>
        </is>
      </c>
      <c r="S131">
        <f>HYPERLINK("https://klasma.github.io/Logging_2309/artfynd/A 38966-2025 artfynd.xlsx", "A 38966-2025")</f>
        <v/>
      </c>
      <c r="T131">
        <f>HYPERLINK("https://klasma.github.io/Logging_2309/kartor/A 38966-2025 karta.png", "A 38966-2025")</f>
        <v/>
      </c>
      <c r="V131">
        <f>HYPERLINK("https://klasma.github.io/Logging_2309/klagomål/A 38966-2025 FSC-klagomål.docx", "A 38966-2025")</f>
        <v/>
      </c>
      <c r="W131">
        <f>HYPERLINK("https://klasma.github.io/Logging_2309/klagomålsmail/A 38966-2025 FSC-klagomål mail.docx", "A 38966-2025")</f>
        <v/>
      </c>
      <c r="X131">
        <f>HYPERLINK("https://klasma.github.io/Logging_2309/tillsyn/A 38966-2025 tillsynsbegäran.docx", "A 38966-2025")</f>
        <v/>
      </c>
      <c r="Y131">
        <f>HYPERLINK("https://klasma.github.io/Logging_2309/tillsynsmail/A 38966-2025 tillsynsbegäran mail.docx", "A 38966-2025")</f>
        <v/>
      </c>
    </row>
    <row r="132" ht="15" customHeight="1">
      <c r="A132" t="inlineStr">
        <is>
          <t>A 71573-2021</t>
        </is>
      </c>
      <c r="B132" s="1" t="n">
        <v>44540</v>
      </c>
      <c r="C132" s="1" t="n">
        <v>46012</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23439-2024</t>
        </is>
      </c>
      <c r="B133" s="1" t="n">
        <v>45453.63133101852</v>
      </c>
      <c r="C133" s="1" t="n">
        <v>46012</v>
      </c>
      <c r="D133" t="inlineStr">
        <is>
          <t>JÄMTLANDS LÄN</t>
        </is>
      </c>
      <c r="E133" t="inlineStr">
        <is>
          <t>KROKOM</t>
        </is>
      </c>
      <c r="G133" t="n">
        <v>15.7</v>
      </c>
      <c r="H133" t="n">
        <v>2</v>
      </c>
      <c r="I133" t="n">
        <v>0</v>
      </c>
      <c r="J133" t="n">
        <v>2</v>
      </c>
      <c r="K133" t="n">
        <v>0</v>
      </c>
      <c r="L133" t="n">
        <v>0</v>
      </c>
      <c r="M133" t="n">
        <v>0</v>
      </c>
      <c r="N133" t="n">
        <v>0</v>
      </c>
      <c r="O133" t="n">
        <v>2</v>
      </c>
      <c r="P133" t="n">
        <v>0</v>
      </c>
      <c r="Q133" t="n">
        <v>3</v>
      </c>
      <c r="R133" s="2" t="inlineStr">
        <is>
          <t>Granticka
Tretåig hackspett
Lavskrika</t>
        </is>
      </c>
      <c r="S133">
        <f>HYPERLINK("https://klasma.github.io/Logging_2309/artfynd/A 23439-2024 artfynd.xlsx", "A 23439-2024")</f>
        <v/>
      </c>
      <c r="T133">
        <f>HYPERLINK("https://klasma.github.io/Logging_2309/kartor/A 23439-2024 karta.png", "A 23439-2024")</f>
        <v/>
      </c>
      <c r="V133">
        <f>HYPERLINK("https://klasma.github.io/Logging_2309/klagomål/A 23439-2024 FSC-klagomål.docx", "A 23439-2024")</f>
        <v/>
      </c>
      <c r="W133">
        <f>HYPERLINK("https://klasma.github.io/Logging_2309/klagomålsmail/A 23439-2024 FSC-klagomål mail.docx", "A 23439-2024")</f>
        <v/>
      </c>
      <c r="X133">
        <f>HYPERLINK("https://klasma.github.io/Logging_2309/tillsyn/A 23439-2024 tillsynsbegäran.docx", "A 23439-2024")</f>
        <v/>
      </c>
      <c r="Y133">
        <f>HYPERLINK("https://klasma.github.io/Logging_2309/tillsynsmail/A 23439-2024 tillsynsbegäran mail.docx", "A 23439-2024")</f>
        <v/>
      </c>
      <c r="Z133">
        <f>HYPERLINK("https://klasma.github.io/Logging_2309/fåglar/A 23439-2024 prioriterade fågelarter.docx", "A 23439-2024")</f>
        <v/>
      </c>
    </row>
    <row r="134" ht="15" customHeight="1">
      <c r="A134" t="inlineStr">
        <is>
          <t>A 11439-2024</t>
        </is>
      </c>
      <c r="B134" s="1" t="n">
        <v>45372</v>
      </c>
      <c r="C134" s="1" t="n">
        <v>46012</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54924-2025</t>
        </is>
      </c>
      <c r="B135" s="1" t="n">
        <v>45967.40671296296</v>
      </c>
      <c r="C135" s="1" t="n">
        <v>46012</v>
      </c>
      <c r="D135" t="inlineStr">
        <is>
          <t>JÄMTLANDS LÄN</t>
        </is>
      </c>
      <c r="E135" t="inlineStr">
        <is>
          <t>KROKOM</t>
        </is>
      </c>
      <c r="F135" t="inlineStr">
        <is>
          <t>SCA</t>
        </is>
      </c>
      <c r="G135" t="n">
        <v>3.8</v>
      </c>
      <c r="H135" t="n">
        <v>0</v>
      </c>
      <c r="I135" t="n">
        <v>2</v>
      </c>
      <c r="J135" t="n">
        <v>0</v>
      </c>
      <c r="K135" t="n">
        <v>1</v>
      </c>
      <c r="L135" t="n">
        <v>0</v>
      </c>
      <c r="M135" t="n">
        <v>0</v>
      </c>
      <c r="N135" t="n">
        <v>0</v>
      </c>
      <c r="O135" t="n">
        <v>1</v>
      </c>
      <c r="P135" t="n">
        <v>1</v>
      </c>
      <c r="Q135" t="n">
        <v>3</v>
      </c>
      <c r="R135" s="2" t="inlineStr">
        <is>
          <t>Rynkskinn
Luddlav
Trådticka</t>
        </is>
      </c>
      <c r="S135">
        <f>HYPERLINK("https://klasma.github.io/Logging_2309/artfynd/A 54924-2025 artfynd.xlsx", "A 54924-2025")</f>
        <v/>
      </c>
      <c r="T135">
        <f>HYPERLINK("https://klasma.github.io/Logging_2309/kartor/A 54924-2025 karta.png", "A 54924-2025")</f>
        <v/>
      </c>
      <c r="V135">
        <f>HYPERLINK("https://klasma.github.io/Logging_2309/klagomål/A 54924-2025 FSC-klagomål.docx", "A 54924-2025")</f>
        <v/>
      </c>
      <c r="W135">
        <f>HYPERLINK("https://klasma.github.io/Logging_2309/klagomålsmail/A 54924-2025 FSC-klagomål mail.docx", "A 54924-2025")</f>
        <v/>
      </c>
      <c r="X135">
        <f>HYPERLINK("https://klasma.github.io/Logging_2309/tillsyn/A 54924-2025 tillsynsbegäran.docx", "A 54924-2025")</f>
        <v/>
      </c>
      <c r="Y135">
        <f>HYPERLINK("https://klasma.github.io/Logging_2309/tillsynsmail/A 54924-2025 tillsynsbegäran mail.docx", "A 54924-2025")</f>
        <v/>
      </c>
    </row>
    <row r="136" ht="15" customHeight="1">
      <c r="A136" t="inlineStr">
        <is>
          <t>A 36009-2025</t>
        </is>
      </c>
      <c r="B136" s="1" t="n">
        <v>45863.58127314815</v>
      </c>
      <c r="C136" s="1" t="n">
        <v>46012</v>
      </c>
      <c r="D136" t="inlineStr">
        <is>
          <t>JÄMTLANDS LÄN</t>
        </is>
      </c>
      <c r="E136" t="inlineStr">
        <is>
          <t>KROKOM</t>
        </is>
      </c>
      <c r="F136" t="inlineStr">
        <is>
          <t>Övriga Aktiebolag</t>
        </is>
      </c>
      <c r="G136" t="n">
        <v>3.8</v>
      </c>
      <c r="H136" t="n">
        <v>1</v>
      </c>
      <c r="I136" t="n">
        <v>0</v>
      </c>
      <c r="J136" t="n">
        <v>3</v>
      </c>
      <c r="K136" t="n">
        <v>0</v>
      </c>
      <c r="L136" t="n">
        <v>0</v>
      </c>
      <c r="M136" t="n">
        <v>0</v>
      </c>
      <c r="N136" t="n">
        <v>0</v>
      </c>
      <c r="O136" t="n">
        <v>3</v>
      </c>
      <c r="P136" t="n">
        <v>0</v>
      </c>
      <c r="Q136" t="n">
        <v>3</v>
      </c>
      <c r="R136" s="2" t="inlineStr">
        <is>
          <t>Garnlav
Harticka
Tretåig hackspett</t>
        </is>
      </c>
      <c r="S136">
        <f>HYPERLINK("https://klasma.github.io/Logging_2309/artfynd/A 36009-2025 artfynd.xlsx", "A 36009-2025")</f>
        <v/>
      </c>
      <c r="T136">
        <f>HYPERLINK("https://klasma.github.io/Logging_2309/kartor/A 36009-2025 karta.png", "A 36009-2025")</f>
        <v/>
      </c>
      <c r="V136">
        <f>HYPERLINK("https://klasma.github.io/Logging_2309/klagomål/A 36009-2025 FSC-klagomål.docx", "A 36009-2025")</f>
        <v/>
      </c>
      <c r="W136">
        <f>HYPERLINK("https://klasma.github.io/Logging_2309/klagomålsmail/A 36009-2025 FSC-klagomål mail.docx", "A 36009-2025")</f>
        <v/>
      </c>
      <c r="X136">
        <f>HYPERLINK("https://klasma.github.io/Logging_2309/tillsyn/A 36009-2025 tillsynsbegäran.docx", "A 36009-2025")</f>
        <v/>
      </c>
      <c r="Y136">
        <f>HYPERLINK("https://klasma.github.io/Logging_2309/tillsynsmail/A 36009-2025 tillsynsbegäran mail.docx", "A 36009-2025")</f>
        <v/>
      </c>
      <c r="Z136">
        <f>HYPERLINK("https://klasma.github.io/Logging_2309/fåglar/A 36009-2025 prioriterade fågelarter.docx", "A 36009-2025")</f>
        <v/>
      </c>
    </row>
    <row r="137" ht="15" customHeight="1">
      <c r="A137" t="inlineStr">
        <is>
          <t>A 2592-2024</t>
        </is>
      </c>
      <c r="B137" s="1" t="n">
        <v>45313</v>
      </c>
      <c r="C137" s="1" t="n">
        <v>46012</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50431-2023</t>
        </is>
      </c>
      <c r="B138" s="1" t="n">
        <v>45216.67748842593</v>
      </c>
      <c r="C138" s="1" t="n">
        <v>46012</v>
      </c>
      <c r="D138" t="inlineStr">
        <is>
          <t>JÄMTLANDS LÄN</t>
        </is>
      </c>
      <c r="E138" t="inlineStr">
        <is>
          <t>KROKOM</t>
        </is>
      </c>
      <c r="G138" t="n">
        <v>6.9</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HYPERLINK("https://klasma.github.io/Logging_2309/artfynd/A 50431-2023 artfynd.xlsx", "A 50431-2023")</f>
        <v/>
      </c>
      <c r="T138">
        <f>HYPERLINK("https://klasma.github.io/Logging_2309/kartor/A 50431-2023 karta.png", "A 50431-2023")</f>
        <v/>
      </c>
      <c r="V138">
        <f>HYPERLINK("https://klasma.github.io/Logging_2309/klagomål/A 50431-2023 FSC-klagomål.docx", "A 50431-2023")</f>
        <v/>
      </c>
      <c r="W138">
        <f>HYPERLINK("https://klasma.github.io/Logging_2309/klagomålsmail/A 50431-2023 FSC-klagomål mail.docx", "A 50431-2023")</f>
        <v/>
      </c>
      <c r="X138">
        <f>HYPERLINK("https://klasma.github.io/Logging_2309/tillsyn/A 50431-2023 tillsynsbegäran.docx", "A 50431-2023")</f>
        <v/>
      </c>
      <c r="Y138">
        <f>HYPERLINK("https://klasma.github.io/Logging_2309/tillsynsmail/A 50431-2023 tillsynsbegäran mail.docx", "A 50431-2023")</f>
        <v/>
      </c>
      <c r="Z138">
        <f>HYPERLINK("https://klasma.github.io/Logging_2309/fåglar/A 50431-2023 prioriterade fågelarter.docx", "A 50431-2023")</f>
        <v/>
      </c>
    </row>
    <row r="139" ht="15" customHeight="1">
      <c r="A139" t="inlineStr">
        <is>
          <t>A 30069-2022</t>
        </is>
      </c>
      <c r="B139" s="1" t="n">
        <v>44757</v>
      </c>
      <c r="C139" s="1" t="n">
        <v>46012</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52264-2022</t>
        </is>
      </c>
      <c r="B140" s="1" t="n">
        <v>44873</v>
      </c>
      <c r="C140" s="1" t="n">
        <v>46012</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57468-2024</t>
        </is>
      </c>
      <c r="B141" s="1" t="n">
        <v>45630</v>
      </c>
      <c r="C141" s="1" t="n">
        <v>46012</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61231-2025</t>
        </is>
      </c>
      <c r="B142" s="1" t="n">
        <v>46000.63320601852</v>
      </c>
      <c r="C142" s="1" t="n">
        <v>46012</v>
      </c>
      <c r="D142" t="inlineStr">
        <is>
          <t>JÄMTLANDS LÄN</t>
        </is>
      </c>
      <c r="E142" t="inlineStr">
        <is>
          <t>KROKOM</t>
        </is>
      </c>
      <c r="F142" t="inlineStr">
        <is>
          <t>Övriga Aktiebolag</t>
        </is>
      </c>
      <c r="G142" t="n">
        <v>11.1</v>
      </c>
      <c r="H142" t="n">
        <v>0</v>
      </c>
      <c r="I142" t="n">
        <v>1</v>
      </c>
      <c r="J142" t="n">
        <v>2</v>
      </c>
      <c r="K142" t="n">
        <v>0</v>
      </c>
      <c r="L142" t="n">
        <v>0</v>
      </c>
      <c r="M142" t="n">
        <v>0</v>
      </c>
      <c r="N142" t="n">
        <v>0</v>
      </c>
      <c r="O142" t="n">
        <v>2</v>
      </c>
      <c r="P142" t="n">
        <v>0</v>
      </c>
      <c r="Q142" t="n">
        <v>3</v>
      </c>
      <c r="R142" s="2" t="inlineStr">
        <is>
          <t>Doftskinn
Vitgrynig nållav
Trådticka</t>
        </is>
      </c>
      <c r="S142">
        <f>HYPERLINK("https://klasma.github.io/Logging_2309/artfynd/A 61231-2025 artfynd.xlsx", "A 61231-2025")</f>
        <v/>
      </c>
      <c r="T142">
        <f>HYPERLINK("https://klasma.github.io/Logging_2309/kartor/A 61231-2025 karta.png", "A 61231-2025")</f>
        <v/>
      </c>
      <c r="V142">
        <f>HYPERLINK("https://klasma.github.io/Logging_2309/klagomål/A 61231-2025 FSC-klagomål.docx", "A 61231-2025")</f>
        <v/>
      </c>
      <c r="W142">
        <f>HYPERLINK("https://klasma.github.io/Logging_2309/klagomålsmail/A 61231-2025 FSC-klagomål mail.docx", "A 61231-2025")</f>
        <v/>
      </c>
      <c r="X142">
        <f>HYPERLINK("https://klasma.github.io/Logging_2309/tillsyn/A 61231-2025 tillsynsbegäran.docx", "A 61231-2025")</f>
        <v/>
      </c>
      <c r="Y142">
        <f>HYPERLINK("https://klasma.github.io/Logging_2309/tillsynsmail/A 61231-2025 tillsynsbegäran mail.docx", "A 61231-2025")</f>
        <v/>
      </c>
    </row>
    <row r="143" ht="15" customHeight="1">
      <c r="A143" t="inlineStr">
        <is>
          <t>A 34582-2024</t>
        </is>
      </c>
      <c r="B143" s="1" t="n">
        <v>45526</v>
      </c>
      <c r="C143" s="1" t="n">
        <v>46012</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62113-2024</t>
        </is>
      </c>
      <c r="B144" s="1" t="n">
        <v>45656.54600694445</v>
      </c>
      <c r="C144" s="1" t="n">
        <v>46012</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50345-2023</t>
        </is>
      </c>
      <c r="B145" s="1" t="n">
        <v>45216</v>
      </c>
      <c r="C145" s="1" t="n">
        <v>46012</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30068-2022</t>
        </is>
      </c>
      <c r="B146" s="1" t="n">
        <v>44757</v>
      </c>
      <c r="C146" s="1" t="n">
        <v>46012</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44869-2022</t>
        </is>
      </c>
      <c r="B147" s="1" t="n">
        <v>44841</v>
      </c>
      <c r="C147" s="1" t="n">
        <v>46012</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54494-2023</t>
        </is>
      </c>
      <c r="B148" s="1" t="n">
        <v>45233</v>
      </c>
      <c r="C148" s="1" t="n">
        <v>46012</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51663-2022</t>
        </is>
      </c>
      <c r="B149" s="1" t="n">
        <v>44867</v>
      </c>
      <c r="C149" s="1" t="n">
        <v>46012</v>
      </c>
      <c r="D149" t="inlineStr">
        <is>
          <t>JÄMTLANDS LÄN</t>
        </is>
      </c>
      <c r="E149" t="inlineStr">
        <is>
          <t>KROKOM</t>
        </is>
      </c>
      <c r="G149" t="n">
        <v>28.5</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51663-2022 artfynd.xlsx", "A 51663-2022")</f>
        <v/>
      </c>
      <c r="T149">
        <f>HYPERLINK("https://klasma.github.io/Logging_2309/kartor/A 51663-2022 karta.png", "A 51663-2022")</f>
        <v/>
      </c>
      <c r="V149">
        <f>HYPERLINK("https://klasma.github.io/Logging_2309/klagomål/A 51663-2022 FSC-klagomål.docx", "A 51663-2022")</f>
        <v/>
      </c>
      <c r="W149">
        <f>HYPERLINK("https://klasma.github.io/Logging_2309/klagomålsmail/A 51663-2022 FSC-klagomål mail.docx", "A 51663-2022")</f>
        <v/>
      </c>
      <c r="X149">
        <f>HYPERLINK("https://klasma.github.io/Logging_2309/tillsyn/A 51663-2022 tillsynsbegäran.docx", "A 51663-2022")</f>
        <v/>
      </c>
      <c r="Y149">
        <f>HYPERLINK("https://klasma.github.io/Logging_2309/tillsynsmail/A 51663-2022 tillsynsbegäran mail.docx", "A 51663-2022")</f>
        <v/>
      </c>
      <c r="Z149">
        <f>HYPERLINK("https://klasma.github.io/Logging_2309/fåglar/A 51663-2022 prioriterade fågelarter.docx", "A 51663-2022")</f>
        <v/>
      </c>
    </row>
    <row r="150" ht="15" customHeight="1">
      <c r="A150" t="inlineStr">
        <is>
          <t>A 5278-2025</t>
        </is>
      </c>
      <c r="B150" s="1" t="n">
        <v>45692</v>
      </c>
      <c r="C150" s="1" t="n">
        <v>46012</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32148-2024</t>
        </is>
      </c>
      <c r="B151" s="1" t="n">
        <v>45511.55719907407</v>
      </c>
      <c r="C151" s="1" t="n">
        <v>46012</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28151-2021</t>
        </is>
      </c>
      <c r="B152" s="1" t="n">
        <v>44355</v>
      </c>
      <c r="C152" s="1" t="n">
        <v>46012</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46012</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46012</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46012</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46012</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46012</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62453-2023</t>
        </is>
      </c>
      <c r="B158" s="1" t="n">
        <v>45268</v>
      </c>
      <c r="C158" s="1" t="n">
        <v>46012</v>
      </c>
      <c r="D158" t="inlineStr">
        <is>
          <t>JÄMTLANDS LÄN</t>
        </is>
      </c>
      <c r="E158" t="inlineStr">
        <is>
          <t>KROKOM</t>
        </is>
      </c>
      <c r="F158" t="inlineStr">
        <is>
          <t>Övriga Aktiebolag</t>
        </is>
      </c>
      <c r="G158" t="n">
        <v>2.2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62453-2023 artfynd.xlsx", "A 62453-2023")</f>
        <v/>
      </c>
      <c r="T158">
        <f>HYPERLINK("https://klasma.github.io/Logging_2309/kartor/A 62453-2023 karta.png", "A 62453-2023")</f>
        <v/>
      </c>
      <c r="V158">
        <f>HYPERLINK("https://klasma.github.io/Logging_2309/klagomål/A 62453-2023 FSC-klagomål.docx", "A 62453-2023")</f>
        <v/>
      </c>
      <c r="W158">
        <f>HYPERLINK("https://klasma.github.io/Logging_2309/klagomålsmail/A 62453-2023 FSC-klagomål mail.docx", "A 62453-2023")</f>
        <v/>
      </c>
      <c r="X158">
        <f>HYPERLINK("https://klasma.github.io/Logging_2309/tillsyn/A 62453-2023 tillsynsbegäran.docx", "A 62453-2023")</f>
        <v/>
      </c>
      <c r="Y158">
        <f>HYPERLINK("https://klasma.github.io/Logging_2309/tillsynsmail/A 62453-2023 tillsynsbegäran mail.docx", "A 62453-2023")</f>
        <v/>
      </c>
      <c r="Z158">
        <f>HYPERLINK("https://klasma.github.io/Logging_2309/fåglar/A 62453-2023 prioriterade fågelarter.docx", "A 62453-2023")</f>
        <v/>
      </c>
    </row>
    <row r="159" ht="15" customHeight="1">
      <c r="A159" t="inlineStr">
        <is>
          <t>A 23730-2025</t>
        </is>
      </c>
      <c r="B159" s="1" t="n">
        <v>45793.4189699074</v>
      </c>
      <c r="C159" s="1" t="n">
        <v>46012</v>
      </c>
      <c r="D159" t="inlineStr">
        <is>
          <t>JÄMTLANDS LÄN</t>
        </is>
      </c>
      <c r="E159" t="inlineStr">
        <is>
          <t>KROKOM</t>
        </is>
      </c>
      <c r="G159" t="n">
        <v>10.2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23730-2025 artfynd.xlsx", "A 23730-2025")</f>
        <v/>
      </c>
      <c r="T159">
        <f>HYPERLINK("https://klasma.github.io/Logging_2309/kartor/A 23730-2025 karta.png", "A 23730-2025")</f>
        <v/>
      </c>
      <c r="V159">
        <f>HYPERLINK("https://klasma.github.io/Logging_2309/klagomål/A 23730-2025 FSC-klagomål.docx", "A 23730-2025")</f>
        <v/>
      </c>
      <c r="W159">
        <f>HYPERLINK("https://klasma.github.io/Logging_2309/klagomålsmail/A 23730-2025 FSC-klagomål mail.docx", "A 23730-2025")</f>
        <v/>
      </c>
      <c r="X159">
        <f>HYPERLINK("https://klasma.github.io/Logging_2309/tillsyn/A 23730-2025 tillsynsbegäran.docx", "A 23730-2025")</f>
        <v/>
      </c>
      <c r="Y159">
        <f>HYPERLINK("https://klasma.github.io/Logging_2309/tillsynsmail/A 23730-2025 tillsynsbegäran mail.docx", "A 23730-2025")</f>
        <v/>
      </c>
      <c r="Z159">
        <f>HYPERLINK("https://klasma.github.io/Logging_2309/fåglar/A 23730-2025 prioriterade fågelarter.docx", "A 23730-2025")</f>
        <v/>
      </c>
    </row>
    <row r="160" ht="15" customHeight="1">
      <c r="A160" t="inlineStr">
        <is>
          <t>A 25952-2025</t>
        </is>
      </c>
      <c r="B160" s="1" t="n">
        <v>45804.60005787037</v>
      </c>
      <c r="C160" s="1" t="n">
        <v>46012</v>
      </c>
      <c r="D160" t="inlineStr">
        <is>
          <t>JÄMTLANDS LÄN</t>
        </is>
      </c>
      <c r="E160" t="inlineStr">
        <is>
          <t>KROKOM</t>
        </is>
      </c>
      <c r="G160" t="n">
        <v>18.7</v>
      </c>
      <c r="H160" t="n">
        <v>0</v>
      </c>
      <c r="I160" t="n">
        <v>0</v>
      </c>
      <c r="J160" t="n">
        <v>2</v>
      </c>
      <c r="K160" t="n">
        <v>0</v>
      </c>
      <c r="L160" t="n">
        <v>0</v>
      </c>
      <c r="M160" t="n">
        <v>0</v>
      </c>
      <c r="N160" t="n">
        <v>0</v>
      </c>
      <c r="O160" t="n">
        <v>2</v>
      </c>
      <c r="P160" t="n">
        <v>0</v>
      </c>
      <c r="Q160" t="n">
        <v>2</v>
      </c>
      <c r="R160" s="2" t="inlineStr">
        <is>
          <t>Garnlav
Skrovellav</t>
        </is>
      </c>
      <c r="S160">
        <f>HYPERLINK("https://klasma.github.io/Logging_2309/artfynd/A 25952-2025 artfynd.xlsx", "A 25952-2025")</f>
        <v/>
      </c>
      <c r="T160">
        <f>HYPERLINK("https://klasma.github.io/Logging_2309/kartor/A 25952-2025 karta.png", "A 25952-2025")</f>
        <v/>
      </c>
      <c r="V160">
        <f>HYPERLINK("https://klasma.github.io/Logging_2309/klagomål/A 25952-2025 FSC-klagomål.docx", "A 25952-2025")</f>
        <v/>
      </c>
      <c r="W160">
        <f>HYPERLINK("https://klasma.github.io/Logging_2309/klagomålsmail/A 25952-2025 FSC-klagomål mail.docx", "A 25952-2025")</f>
        <v/>
      </c>
      <c r="X160">
        <f>HYPERLINK("https://klasma.github.io/Logging_2309/tillsyn/A 25952-2025 tillsynsbegäran.docx", "A 25952-2025")</f>
        <v/>
      </c>
      <c r="Y160">
        <f>HYPERLINK("https://klasma.github.io/Logging_2309/tillsynsmail/A 25952-2025 tillsynsbegäran mail.docx", "A 25952-2025")</f>
        <v/>
      </c>
    </row>
    <row r="161" ht="15" customHeight="1">
      <c r="A161" t="inlineStr">
        <is>
          <t>A 71571-2021</t>
        </is>
      </c>
      <c r="B161" s="1" t="n">
        <v>44540</v>
      </c>
      <c r="C161" s="1" t="n">
        <v>46012</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35891-2025</t>
        </is>
      </c>
      <c r="B162" s="1" t="n">
        <v>45862</v>
      </c>
      <c r="C162" s="1" t="n">
        <v>46012</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46012</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55040-2025</t>
        </is>
      </c>
      <c r="B164" s="1" t="n">
        <v>45967.65667824074</v>
      </c>
      <c r="C164" s="1" t="n">
        <v>46012</v>
      </c>
      <c r="D164" t="inlineStr">
        <is>
          <t>JÄMTLANDS LÄN</t>
        </is>
      </c>
      <c r="E164" t="inlineStr">
        <is>
          <t>KROKOM</t>
        </is>
      </c>
      <c r="F164" t="inlineStr">
        <is>
          <t>SCA</t>
        </is>
      </c>
      <c r="G164" t="n">
        <v>2</v>
      </c>
      <c r="H164" t="n">
        <v>0</v>
      </c>
      <c r="I164" t="n">
        <v>0</v>
      </c>
      <c r="J164" t="n">
        <v>2</v>
      </c>
      <c r="K164" t="n">
        <v>0</v>
      </c>
      <c r="L164" t="n">
        <v>0</v>
      </c>
      <c r="M164" t="n">
        <v>0</v>
      </c>
      <c r="N164" t="n">
        <v>0</v>
      </c>
      <c r="O164" t="n">
        <v>2</v>
      </c>
      <c r="P164" t="n">
        <v>0</v>
      </c>
      <c r="Q164" t="n">
        <v>2</v>
      </c>
      <c r="R164" s="2" t="inlineStr">
        <is>
          <t>Lunglav
Skrovellav</t>
        </is>
      </c>
      <c r="S164">
        <f>HYPERLINK("https://klasma.github.io/Logging_2309/artfynd/A 55040-2025 artfynd.xlsx", "A 55040-2025")</f>
        <v/>
      </c>
      <c r="T164">
        <f>HYPERLINK("https://klasma.github.io/Logging_2309/kartor/A 55040-2025 karta.png", "A 55040-2025")</f>
        <v/>
      </c>
      <c r="V164">
        <f>HYPERLINK("https://klasma.github.io/Logging_2309/klagomål/A 55040-2025 FSC-klagomål.docx", "A 55040-2025")</f>
        <v/>
      </c>
      <c r="W164">
        <f>HYPERLINK("https://klasma.github.io/Logging_2309/klagomålsmail/A 55040-2025 FSC-klagomål mail.docx", "A 55040-2025")</f>
        <v/>
      </c>
      <c r="X164">
        <f>HYPERLINK("https://klasma.github.io/Logging_2309/tillsyn/A 55040-2025 tillsynsbegäran.docx", "A 55040-2025")</f>
        <v/>
      </c>
      <c r="Y164">
        <f>HYPERLINK("https://klasma.github.io/Logging_2309/tillsynsmail/A 55040-2025 tillsynsbegäran mail.docx", "A 55040-2025")</f>
        <v/>
      </c>
    </row>
    <row r="165" ht="15" customHeight="1">
      <c r="A165" t="inlineStr">
        <is>
          <t>A 7575-2024</t>
        </is>
      </c>
      <c r="B165" s="1" t="n">
        <v>45348</v>
      </c>
      <c r="C165" s="1" t="n">
        <v>46012</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46828-2025</t>
        </is>
      </c>
      <c r="B166" s="1" t="n">
        <v>45927.34478009259</v>
      </c>
      <c r="C166" s="1" t="n">
        <v>46012</v>
      </c>
      <c r="D166" t="inlineStr">
        <is>
          <t>JÄMTLANDS LÄN</t>
        </is>
      </c>
      <c r="E166" t="inlineStr">
        <is>
          <t>KROKOM</t>
        </is>
      </c>
      <c r="F166" t="inlineStr">
        <is>
          <t>SCA</t>
        </is>
      </c>
      <c r="G166" t="n">
        <v>3.8</v>
      </c>
      <c r="H166" t="n">
        <v>0</v>
      </c>
      <c r="I166" t="n">
        <v>0</v>
      </c>
      <c r="J166" t="n">
        <v>2</v>
      </c>
      <c r="K166" t="n">
        <v>0</v>
      </c>
      <c r="L166" t="n">
        <v>0</v>
      </c>
      <c r="M166" t="n">
        <v>0</v>
      </c>
      <c r="N166" t="n">
        <v>0</v>
      </c>
      <c r="O166" t="n">
        <v>2</v>
      </c>
      <c r="P166" t="n">
        <v>0</v>
      </c>
      <c r="Q166" t="n">
        <v>2</v>
      </c>
      <c r="R166" s="2" t="inlineStr">
        <is>
          <t>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36445-2025</t>
        </is>
      </c>
      <c r="B167" s="1" t="n">
        <v>45869</v>
      </c>
      <c r="C167" s="1" t="n">
        <v>46012</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37509-2025</t>
        </is>
      </c>
      <c r="B168" s="1" t="n">
        <v>45877.67787037037</v>
      </c>
      <c r="C168" s="1" t="n">
        <v>46012</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60419-2024</t>
        </is>
      </c>
      <c r="B169" s="1" t="n">
        <v>45643.53393518519</v>
      </c>
      <c r="C169" s="1" t="n">
        <v>46012</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36011-2025</t>
        </is>
      </c>
      <c r="B170" s="1" t="n">
        <v>45863.59111111111</v>
      </c>
      <c r="C170" s="1" t="n">
        <v>46012</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62125-2024</t>
        </is>
      </c>
      <c r="B171" s="1" t="n">
        <v>45656.59703703703</v>
      </c>
      <c r="C171" s="1" t="n">
        <v>46012</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49386-2024</t>
        </is>
      </c>
      <c r="B172" s="1" t="n">
        <v>45595</v>
      </c>
      <c r="C172" s="1" t="n">
        <v>46012</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53312-2025</t>
        </is>
      </c>
      <c r="B173" s="1" t="n">
        <v>45959.34450231482</v>
      </c>
      <c r="C173" s="1" t="n">
        <v>46012</v>
      </c>
      <c r="D173" t="inlineStr">
        <is>
          <t>JÄMTLANDS LÄN</t>
        </is>
      </c>
      <c r="E173" t="inlineStr">
        <is>
          <t>KROKOM</t>
        </is>
      </c>
      <c r="F173" t="inlineStr">
        <is>
          <t>SCA</t>
        </is>
      </c>
      <c r="G173" t="n">
        <v>3.7</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HYPERLINK("https://klasma.github.io/Logging_2309/artfynd/A 53312-2025 artfynd.xlsx", "A 53312-2025")</f>
        <v/>
      </c>
      <c r="T173">
        <f>HYPERLINK("https://klasma.github.io/Logging_2309/kartor/A 53312-2025 karta.png", "A 53312-2025")</f>
        <v/>
      </c>
      <c r="V173">
        <f>HYPERLINK("https://klasma.github.io/Logging_2309/klagomål/A 53312-2025 FSC-klagomål.docx", "A 53312-2025")</f>
        <v/>
      </c>
      <c r="W173">
        <f>HYPERLINK("https://klasma.github.io/Logging_2309/klagomålsmail/A 53312-2025 FSC-klagomål mail.docx", "A 53312-2025")</f>
        <v/>
      </c>
      <c r="X173">
        <f>HYPERLINK("https://klasma.github.io/Logging_2309/tillsyn/A 53312-2025 tillsynsbegäran.docx", "A 53312-2025")</f>
        <v/>
      </c>
      <c r="Y173">
        <f>HYPERLINK("https://klasma.github.io/Logging_2309/tillsynsmail/A 53312-2025 tillsynsbegäran mail.docx", "A 53312-2025")</f>
        <v/>
      </c>
      <c r="Z173">
        <f>HYPERLINK("https://klasma.github.io/Logging_2309/fåglar/A 53312-2025 prioriterade fågelarter.docx", "A 53312-2025")</f>
        <v/>
      </c>
    </row>
    <row r="174" ht="15" customHeight="1">
      <c r="A174" t="inlineStr">
        <is>
          <t>A 53762-2025</t>
        </is>
      </c>
      <c r="B174" s="1" t="n">
        <v>45960.67209490741</v>
      </c>
      <c r="C174" s="1" t="n">
        <v>46012</v>
      </c>
      <c r="D174" t="inlineStr">
        <is>
          <t>JÄMTLANDS LÄN</t>
        </is>
      </c>
      <c r="E174" t="inlineStr">
        <is>
          <t>KROKOM</t>
        </is>
      </c>
      <c r="F174" t="inlineStr">
        <is>
          <t>Kyrkan</t>
        </is>
      </c>
      <c r="G174" t="n">
        <v>10.8</v>
      </c>
      <c r="H174" t="n">
        <v>2</v>
      </c>
      <c r="I174" t="n">
        <v>0</v>
      </c>
      <c r="J174" t="n">
        <v>2</v>
      </c>
      <c r="K174" t="n">
        <v>0</v>
      </c>
      <c r="L174" t="n">
        <v>0</v>
      </c>
      <c r="M174" t="n">
        <v>0</v>
      </c>
      <c r="N174" t="n">
        <v>0</v>
      </c>
      <c r="O174" t="n">
        <v>2</v>
      </c>
      <c r="P174" t="n">
        <v>0</v>
      </c>
      <c r="Q174" t="n">
        <v>2</v>
      </c>
      <c r="R174" s="2" t="inlineStr">
        <is>
          <t>Järpe
Tretåig hackspett</t>
        </is>
      </c>
      <c r="S174">
        <f>HYPERLINK("https://klasma.github.io/Logging_2309/artfynd/A 53762-2025 artfynd.xlsx", "A 53762-2025")</f>
        <v/>
      </c>
      <c r="T174">
        <f>HYPERLINK("https://klasma.github.io/Logging_2309/kartor/A 53762-2025 karta.png", "A 53762-2025")</f>
        <v/>
      </c>
      <c r="V174">
        <f>HYPERLINK("https://klasma.github.io/Logging_2309/klagomål/A 53762-2025 FSC-klagomål.docx", "A 53762-2025")</f>
        <v/>
      </c>
      <c r="W174">
        <f>HYPERLINK("https://klasma.github.io/Logging_2309/klagomålsmail/A 53762-2025 FSC-klagomål mail.docx", "A 53762-2025")</f>
        <v/>
      </c>
      <c r="X174">
        <f>HYPERLINK("https://klasma.github.io/Logging_2309/tillsyn/A 53762-2025 tillsynsbegäran.docx", "A 53762-2025")</f>
        <v/>
      </c>
      <c r="Y174">
        <f>HYPERLINK("https://klasma.github.io/Logging_2309/tillsynsmail/A 53762-2025 tillsynsbegäran mail.docx", "A 53762-2025")</f>
        <v/>
      </c>
      <c r="Z174">
        <f>HYPERLINK("https://klasma.github.io/Logging_2309/fåglar/A 53762-2025 prioriterade fågelarter.docx", "A 53762-2025")</f>
        <v/>
      </c>
    </row>
    <row r="175" ht="15" customHeight="1">
      <c r="A175" t="inlineStr">
        <is>
          <t>A 61692-2024</t>
        </is>
      </c>
      <c r="B175" s="1" t="n">
        <v>45647</v>
      </c>
      <c r="C175" s="1" t="n">
        <v>46012</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11984-2024</t>
        </is>
      </c>
      <c r="B176" s="1" t="n">
        <v>45376</v>
      </c>
      <c r="C176" s="1" t="n">
        <v>46012</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60487-2024</t>
        </is>
      </c>
      <c r="B177" s="1" t="n">
        <v>45643.64706018518</v>
      </c>
      <c r="C177" s="1" t="n">
        <v>46012</v>
      </c>
      <c r="D177" t="inlineStr">
        <is>
          <t>JÄMTLANDS LÄN</t>
        </is>
      </c>
      <c r="E177" t="inlineStr">
        <is>
          <t>KROKOM</t>
        </is>
      </c>
      <c r="G177" t="n">
        <v>1</v>
      </c>
      <c r="H177" t="n">
        <v>1</v>
      </c>
      <c r="I177" t="n">
        <v>1</v>
      </c>
      <c r="J177" t="n">
        <v>1</v>
      </c>
      <c r="K177" t="n">
        <v>0</v>
      </c>
      <c r="L177" t="n">
        <v>0</v>
      </c>
      <c r="M177" t="n">
        <v>0</v>
      </c>
      <c r="N177" t="n">
        <v>0</v>
      </c>
      <c r="O177" t="n">
        <v>1</v>
      </c>
      <c r="P177" t="n">
        <v>0</v>
      </c>
      <c r="Q177" t="n">
        <v>2</v>
      </c>
      <c r="R177" s="2" t="inlineStr">
        <is>
          <t>Garnlav
Spindelblomster</t>
        </is>
      </c>
      <c r="S177">
        <f>HYPERLINK("https://klasma.github.io/Logging_2309/artfynd/A 60487-2024 artfynd.xlsx", "A 60487-2024")</f>
        <v/>
      </c>
      <c r="T177">
        <f>HYPERLINK("https://klasma.github.io/Logging_2309/kartor/A 60487-2024 karta.png", "A 60487-2024")</f>
        <v/>
      </c>
      <c r="V177">
        <f>HYPERLINK("https://klasma.github.io/Logging_2309/klagomål/A 60487-2024 FSC-klagomål.docx", "A 60487-2024")</f>
        <v/>
      </c>
      <c r="W177">
        <f>HYPERLINK("https://klasma.github.io/Logging_2309/klagomålsmail/A 60487-2024 FSC-klagomål mail.docx", "A 60487-2024")</f>
        <v/>
      </c>
      <c r="X177">
        <f>HYPERLINK("https://klasma.github.io/Logging_2309/tillsyn/A 60487-2024 tillsynsbegäran.docx", "A 60487-2024")</f>
        <v/>
      </c>
      <c r="Y177">
        <f>HYPERLINK("https://klasma.github.io/Logging_2309/tillsynsmail/A 60487-2024 tillsynsbegäran mail.docx", "A 60487-2024")</f>
        <v/>
      </c>
    </row>
    <row r="178" ht="15" customHeight="1">
      <c r="A178" t="inlineStr">
        <is>
          <t>A 40236-2024</t>
        </is>
      </c>
      <c r="B178" s="1" t="n">
        <v>45554</v>
      </c>
      <c r="C178" s="1" t="n">
        <v>46012</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46012</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18032-2022</t>
        </is>
      </c>
      <c r="B180" s="1" t="n">
        <v>44683</v>
      </c>
      <c r="C180" s="1" t="n">
        <v>46012</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14589-2021</t>
        </is>
      </c>
      <c r="B181" s="1" t="n">
        <v>44279</v>
      </c>
      <c r="C181" s="1" t="n">
        <v>46012</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54189-2022</t>
        </is>
      </c>
      <c r="B182" s="1" t="n">
        <v>44879</v>
      </c>
      <c r="C182" s="1" t="n">
        <v>46012</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46012</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64951-2021</t>
        </is>
      </c>
      <c r="B184" s="1" t="n">
        <v>44512</v>
      </c>
      <c r="C184" s="1" t="n">
        <v>46012</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46012</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46012</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46012</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46012</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46012</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46012</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46012</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46012</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62936-2023</t>
        </is>
      </c>
      <c r="B193" s="1" t="n">
        <v>45271</v>
      </c>
      <c r="C193" s="1" t="n">
        <v>46012</v>
      </c>
      <c r="D193" t="inlineStr">
        <is>
          <t>JÄMTLANDS LÄN</t>
        </is>
      </c>
      <c r="E193" t="inlineStr">
        <is>
          <t>KROKOM</t>
        </is>
      </c>
      <c r="G193" t="n">
        <v>33.9</v>
      </c>
      <c r="H193" t="n">
        <v>0</v>
      </c>
      <c r="I193" t="n">
        <v>1</v>
      </c>
      <c r="J193" t="n">
        <v>0</v>
      </c>
      <c r="K193" t="n">
        <v>0</v>
      </c>
      <c r="L193" t="n">
        <v>0</v>
      </c>
      <c r="M193" t="n">
        <v>0</v>
      </c>
      <c r="N193" t="n">
        <v>0</v>
      </c>
      <c r="O193" t="n">
        <v>0</v>
      </c>
      <c r="P193" t="n">
        <v>0</v>
      </c>
      <c r="Q193" t="n">
        <v>1</v>
      </c>
      <c r="R193" s="2" t="inlineStr">
        <is>
          <t>Stuplav</t>
        </is>
      </c>
      <c r="S193">
        <f>HYPERLINK("https://klasma.github.io/Logging_2309/artfynd/A 62936-2023 artfynd.xlsx", "A 62936-2023")</f>
        <v/>
      </c>
      <c r="T193">
        <f>HYPERLINK("https://klasma.github.io/Logging_2309/kartor/A 62936-2023 karta.png", "A 62936-2023")</f>
        <v/>
      </c>
      <c r="V193">
        <f>HYPERLINK("https://klasma.github.io/Logging_2309/klagomål/A 62936-2023 FSC-klagomål.docx", "A 62936-2023")</f>
        <v/>
      </c>
      <c r="W193">
        <f>HYPERLINK("https://klasma.github.io/Logging_2309/klagomålsmail/A 62936-2023 FSC-klagomål mail.docx", "A 62936-2023")</f>
        <v/>
      </c>
      <c r="X193">
        <f>HYPERLINK("https://klasma.github.io/Logging_2309/tillsyn/A 62936-2023 tillsynsbegäran.docx", "A 62936-2023")</f>
        <v/>
      </c>
      <c r="Y193">
        <f>HYPERLINK("https://klasma.github.io/Logging_2309/tillsynsmail/A 62936-2023 tillsynsbegäran mail.docx", "A 62936-2023")</f>
        <v/>
      </c>
    </row>
    <row r="194" ht="15" customHeight="1">
      <c r="A194" t="inlineStr">
        <is>
          <t>A 25268-2025</t>
        </is>
      </c>
      <c r="B194" s="1" t="n">
        <v>45800</v>
      </c>
      <c r="C194" s="1" t="n">
        <v>46012</v>
      </c>
      <c r="D194" t="inlineStr">
        <is>
          <t>JÄMTLANDS LÄN</t>
        </is>
      </c>
      <c r="E194" t="inlineStr">
        <is>
          <t>KROKOM</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25268-2025 artfynd.xlsx", "A 25268-2025")</f>
        <v/>
      </c>
      <c r="T194">
        <f>HYPERLINK("https://klasma.github.io/Logging_2309/kartor/A 25268-2025 karta.png", "A 25268-2025")</f>
        <v/>
      </c>
      <c r="V194">
        <f>HYPERLINK("https://klasma.github.io/Logging_2309/klagomål/A 25268-2025 FSC-klagomål.docx", "A 25268-2025")</f>
        <v/>
      </c>
      <c r="W194">
        <f>HYPERLINK("https://klasma.github.io/Logging_2309/klagomålsmail/A 25268-2025 FSC-klagomål mail.docx", "A 25268-2025")</f>
        <v/>
      </c>
      <c r="X194">
        <f>HYPERLINK("https://klasma.github.io/Logging_2309/tillsyn/A 25268-2025 tillsynsbegäran.docx", "A 25268-2025")</f>
        <v/>
      </c>
      <c r="Y194">
        <f>HYPERLINK("https://klasma.github.io/Logging_2309/tillsynsmail/A 25268-2025 tillsynsbegäran mail.docx", "A 25268-2025")</f>
        <v/>
      </c>
      <c r="Z194">
        <f>HYPERLINK("https://klasma.github.io/Logging_2309/fåglar/A 25268-2025 prioriterade fågelarter.docx", "A 25268-2025")</f>
        <v/>
      </c>
    </row>
    <row r="195" ht="15" customHeight="1">
      <c r="A195" t="inlineStr">
        <is>
          <t>A 61240-2024</t>
        </is>
      </c>
      <c r="B195" s="1" t="n">
        <v>45645.67945601852</v>
      </c>
      <c r="C195" s="1" t="n">
        <v>46012</v>
      </c>
      <c r="D195" t="inlineStr">
        <is>
          <t>JÄMTLANDS LÄN</t>
        </is>
      </c>
      <c r="E195" t="inlineStr">
        <is>
          <t>KROKOM</t>
        </is>
      </c>
      <c r="G195" t="n">
        <v>5.7</v>
      </c>
      <c r="H195" t="n">
        <v>1</v>
      </c>
      <c r="I195" t="n">
        <v>0</v>
      </c>
      <c r="J195" t="n">
        <v>0</v>
      </c>
      <c r="K195" t="n">
        <v>0</v>
      </c>
      <c r="L195" t="n">
        <v>0</v>
      </c>
      <c r="M195" t="n">
        <v>0</v>
      </c>
      <c r="N195" t="n">
        <v>0</v>
      </c>
      <c r="O195" t="n">
        <v>0</v>
      </c>
      <c r="P195" t="n">
        <v>0</v>
      </c>
      <c r="Q195" t="n">
        <v>1</v>
      </c>
      <c r="R195" s="2" t="inlineStr">
        <is>
          <t>Pärluggla</t>
        </is>
      </c>
      <c r="S195">
        <f>HYPERLINK("https://klasma.github.io/Logging_2309/artfynd/A 61240-2024 artfynd.xlsx", "A 61240-2024")</f>
        <v/>
      </c>
      <c r="T195">
        <f>HYPERLINK("https://klasma.github.io/Logging_2309/kartor/A 61240-2024 karta.png", "A 61240-2024")</f>
        <v/>
      </c>
      <c r="V195">
        <f>HYPERLINK("https://klasma.github.io/Logging_2309/klagomål/A 61240-2024 FSC-klagomål.docx", "A 61240-2024")</f>
        <v/>
      </c>
      <c r="W195">
        <f>HYPERLINK("https://klasma.github.io/Logging_2309/klagomålsmail/A 61240-2024 FSC-klagomål mail.docx", "A 61240-2024")</f>
        <v/>
      </c>
      <c r="X195">
        <f>HYPERLINK("https://klasma.github.io/Logging_2309/tillsyn/A 61240-2024 tillsynsbegäran.docx", "A 61240-2024")</f>
        <v/>
      </c>
      <c r="Y195">
        <f>HYPERLINK("https://klasma.github.io/Logging_2309/tillsynsmail/A 61240-2024 tillsynsbegäran mail.docx", "A 61240-2024")</f>
        <v/>
      </c>
      <c r="Z195">
        <f>HYPERLINK("https://klasma.github.io/Logging_2309/fåglar/A 61240-2024 prioriterade fågelarter.docx", "A 61240-2024")</f>
        <v/>
      </c>
    </row>
    <row r="196" ht="15" customHeight="1">
      <c r="A196" t="inlineStr">
        <is>
          <t>A 11413-2022</t>
        </is>
      </c>
      <c r="B196" s="1" t="n">
        <v>44630</v>
      </c>
      <c r="C196" s="1" t="n">
        <v>46012</v>
      </c>
      <c r="D196" t="inlineStr">
        <is>
          <t>JÄMTLANDS LÄN</t>
        </is>
      </c>
      <c r="E196" t="inlineStr">
        <is>
          <t>KROKOM</t>
        </is>
      </c>
      <c r="G196" t="n">
        <v>0.7</v>
      </c>
      <c r="H196" t="n">
        <v>1</v>
      </c>
      <c r="I196" t="n">
        <v>0</v>
      </c>
      <c r="J196" t="n">
        <v>1</v>
      </c>
      <c r="K196" t="n">
        <v>0</v>
      </c>
      <c r="L196" t="n">
        <v>0</v>
      </c>
      <c r="M196" t="n">
        <v>0</v>
      </c>
      <c r="N196" t="n">
        <v>0</v>
      </c>
      <c r="O196" t="n">
        <v>1</v>
      </c>
      <c r="P196" t="n">
        <v>0</v>
      </c>
      <c r="Q196" t="n">
        <v>1</v>
      </c>
      <c r="R196" s="2" t="inlineStr">
        <is>
          <t>Talltita</t>
        </is>
      </c>
      <c r="S196">
        <f>HYPERLINK("https://klasma.github.io/Logging_2309/artfynd/A 11413-2022 artfynd.xlsx", "A 11413-2022")</f>
        <v/>
      </c>
      <c r="T196">
        <f>HYPERLINK("https://klasma.github.io/Logging_2309/kartor/A 11413-2022 karta.png", "A 11413-2022")</f>
        <v/>
      </c>
      <c r="V196">
        <f>HYPERLINK("https://klasma.github.io/Logging_2309/klagomål/A 11413-2022 FSC-klagomål.docx", "A 11413-2022")</f>
        <v/>
      </c>
      <c r="W196">
        <f>HYPERLINK("https://klasma.github.io/Logging_2309/klagomålsmail/A 11413-2022 FSC-klagomål mail.docx", "A 11413-2022")</f>
        <v/>
      </c>
      <c r="X196">
        <f>HYPERLINK("https://klasma.github.io/Logging_2309/tillsyn/A 11413-2022 tillsynsbegäran.docx", "A 11413-2022")</f>
        <v/>
      </c>
      <c r="Y196">
        <f>HYPERLINK("https://klasma.github.io/Logging_2309/tillsynsmail/A 11413-2022 tillsynsbegäran mail.docx", "A 11413-2022")</f>
        <v/>
      </c>
      <c r="Z196">
        <f>HYPERLINK("https://klasma.github.io/Logging_2309/fåglar/A 11413-2022 prioriterade fågelarter.docx", "A 11413-2022")</f>
        <v/>
      </c>
    </row>
    <row r="197" ht="15" customHeight="1">
      <c r="A197" t="inlineStr">
        <is>
          <t>A 36639-2023</t>
        </is>
      </c>
      <c r="B197" s="1" t="n">
        <v>45153</v>
      </c>
      <c r="C197" s="1" t="n">
        <v>46012</v>
      </c>
      <c r="D197" t="inlineStr">
        <is>
          <t>JÄMTLANDS LÄN</t>
        </is>
      </c>
      <c r="E197" t="inlineStr">
        <is>
          <t>KROKOM</t>
        </is>
      </c>
      <c r="F197" t="inlineStr">
        <is>
          <t>Övriga Aktiebolag</t>
        </is>
      </c>
      <c r="G197" t="n">
        <v>5.5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36639-2023 artfynd.xlsx", "A 36639-2023")</f>
        <v/>
      </c>
      <c r="T197">
        <f>HYPERLINK("https://klasma.github.io/Logging_2309/kartor/A 36639-2023 karta.png", "A 36639-2023")</f>
        <v/>
      </c>
      <c r="V197">
        <f>HYPERLINK("https://klasma.github.io/Logging_2309/klagomål/A 36639-2023 FSC-klagomål.docx", "A 36639-2023")</f>
        <v/>
      </c>
      <c r="W197">
        <f>HYPERLINK("https://klasma.github.io/Logging_2309/klagomålsmail/A 36639-2023 FSC-klagomål mail.docx", "A 36639-2023")</f>
        <v/>
      </c>
      <c r="X197">
        <f>HYPERLINK("https://klasma.github.io/Logging_2309/tillsyn/A 36639-2023 tillsynsbegäran.docx", "A 36639-2023")</f>
        <v/>
      </c>
      <c r="Y197">
        <f>HYPERLINK("https://klasma.github.io/Logging_2309/tillsynsmail/A 36639-2023 tillsynsbegäran mail.docx", "A 36639-2023")</f>
        <v/>
      </c>
      <c r="Z197">
        <f>HYPERLINK("https://klasma.github.io/Logging_2309/fåglar/A 36639-2023 prioriterade fågelarter.docx", "A 36639-2023")</f>
        <v/>
      </c>
    </row>
    <row r="198" ht="15" customHeight="1">
      <c r="A198" t="inlineStr">
        <is>
          <t>A 40800-2025</t>
        </is>
      </c>
      <c r="B198" s="1" t="n">
        <v>45897.45311342592</v>
      </c>
      <c r="C198" s="1" t="n">
        <v>46012</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28660-2025</t>
        </is>
      </c>
      <c r="B199" s="1" t="n">
        <v>45819.65796296296</v>
      </c>
      <c r="C199" s="1" t="n">
        <v>46012</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29941-2025</t>
        </is>
      </c>
      <c r="B200" s="1" t="n">
        <v>45826.45174768518</v>
      </c>
      <c r="C200" s="1" t="n">
        <v>46012</v>
      </c>
      <c r="D200" t="inlineStr">
        <is>
          <t>JÄMTLANDS LÄN</t>
        </is>
      </c>
      <c r="E200" t="inlineStr">
        <is>
          <t>KROKOM</t>
        </is>
      </c>
      <c r="G200" t="n">
        <v>12.4</v>
      </c>
      <c r="H200" t="n">
        <v>0</v>
      </c>
      <c r="I200" t="n">
        <v>0</v>
      </c>
      <c r="J200" t="n">
        <v>0</v>
      </c>
      <c r="K200" t="n">
        <v>0</v>
      </c>
      <c r="L200" t="n">
        <v>1</v>
      </c>
      <c r="M200" t="n">
        <v>0</v>
      </c>
      <c r="N200" t="n">
        <v>0</v>
      </c>
      <c r="O200" t="n">
        <v>1</v>
      </c>
      <c r="P200" t="n">
        <v>1</v>
      </c>
      <c r="Q200" t="n">
        <v>1</v>
      </c>
      <c r="R200" s="2" t="inlineStr">
        <is>
          <t>Lilafotad fingersvamp</t>
        </is>
      </c>
      <c r="S200">
        <f>HYPERLINK("https://klasma.github.io/Logging_2309/artfynd/A 29941-2025 artfynd.xlsx", "A 29941-2025")</f>
        <v/>
      </c>
      <c r="T200">
        <f>HYPERLINK("https://klasma.github.io/Logging_2309/kartor/A 29941-2025 karta.png", "A 29941-2025")</f>
        <v/>
      </c>
      <c r="V200">
        <f>HYPERLINK("https://klasma.github.io/Logging_2309/klagomål/A 29941-2025 FSC-klagomål.docx", "A 29941-2025")</f>
        <v/>
      </c>
      <c r="W200">
        <f>HYPERLINK("https://klasma.github.io/Logging_2309/klagomålsmail/A 29941-2025 FSC-klagomål mail.docx", "A 29941-2025")</f>
        <v/>
      </c>
      <c r="X200">
        <f>HYPERLINK("https://klasma.github.io/Logging_2309/tillsyn/A 29941-2025 tillsynsbegäran.docx", "A 29941-2025")</f>
        <v/>
      </c>
      <c r="Y200">
        <f>HYPERLINK("https://klasma.github.io/Logging_2309/tillsynsmail/A 29941-2025 tillsynsbegäran mail.docx", "A 29941-2025")</f>
        <v/>
      </c>
    </row>
    <row r="201" ht="15" customHeight="1">
      <c r="A201" t="inlineStr">
        <is>
          <t>A 52486-2024</t>
        </is>
      </c>
      <c r="B201" s="1" t="n">
        <v>45609</v>
      </c>
      <c r="C201" s="1" t="n">
        <v>46012</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52486-2024 artfynd.xlsx", "A 52486-2024")</f>
        <v/>
      </c>
      <c r="T201">
        <f>HYPERLINK("https://klasma.github.io/Logging_2309/kartor/A 52486-2024 karta.png", "A 52486-2024")</f>
        <v/>
      </c>
      <c r="V201">
        <f>HYPERLINK("https://klasma.github.io/Logging_2309/klagomål/A 52486-2024 FSC-klagomål.docx", "A 52486-2024")</f>
        <v/>
      </c>
      <c r="W201">
        <f>HYPERLINK("https://klasma.github.io/Logging_2309/klagomålsmail/A 52486-2024 FSC-klagomål mail.docx", "A 52486-2024")</f>
        <v/>
      </c>
      <c r="X201">
        <f>HYPERLINK("https://klasma.github.io/Logging_2309/tillsyn/A 52486-2024 tillsynsbegäran.docx", "A 52486-2024")</f>
        <v/>
      </c>
      <c r="Y201">
        <f>HYPERLINK("https://klasma.github.io/Logging_2309/tillsynsmail/A 52486-2024 tillsynsbegäran mail.docx", "A 52486-2024")</f>
        <v/>
      </c>
      <c r="Z201">
        <f>HYPERLINK("https://klasma.github.io/Logging_2309/fåglar/A 52486-2024 prioriterade fågelarter.docx", "A 52486-2024")</f>
        <v/>
      </c>
    </row>
    <row r="202" ht="15" customHeight="1">
      <c r="A202" t="inlineStr">
        <is>
          <t>A 32656-2025</t>
        </is>
      </c>
      <c r="B202" s="1" t="n">
        <v>45838.67815972222</v>
      </c>
      <c r="C202" s="1" t="n">
        <v>46012</v>
      </c>
      <c r="D202" t="inlineStr">
        <is>
          <t>JÄMTLANDS LÄN</t>
        </is>
      </c>
      <c r="E202" t="inlineStr">
        <is>
          <t>KROKOM</t>
        </is>
      </c>
      <c r="F202" t="inlineStr">
        <is>
          <t>SCA</t>
        </is>
      </c>
      <c r="G202" t="n">
        <v>9.1</v>
      </c>
      <c r="H202" t="n">
        <v>0</v>
      </c>
      <c r="I202" t="n">
        <v>0</v>
      </c>
      <c r="J202" t="n">
        <v>1</v>
      </c>
      <c r="K202" t="n">
        <v>0</v>
      </c>
      <c r="L202" t="n">
        <v>0</v>
      </c>
      <c r="M202" t="n">
        <v>0</v>
      </c>
      <c r="N202" t="n">
        <v>0</v>
      </c>
      <c r="O202" t="n">
        <v>1</v>
      </c>
      <c r="P202" t="n">
        <v>0</v>
      </c>
      <c r="Q202" t="n">
        <v>1</v>
      </c>
      <c r="R202" s="2" t="inlineStr">
        <is>
          <t>Skrovellav</t>
        </is>
      </c>
      <c r="S202">
        <f>HYPERLINK("https://klasma.github.io/Logging_2309/artfynd/A 32656-2025 artfynd.xlsx", "A 32656-2025")</f>
        <v/>
      </c>
      <c r="T202">
        <f>HYPERLINK("https://klasma.github.io/Logging_2309/kartor/A 32656-2025 karta.png", "A 32656-2025")</f>
        <v/>
      </c>
      <c r="V202">
        <f>HYPERLINK("https://klasma.github.io/Logging_2309/klagomål/A 32656-2025 FSC-klagomål.docx", "A 32656-2025")</f>
        <v/>
      </c>
      <c r="W202">
        <f>HYPERLINK("https://klasma.github.io/Logging_2309/klagomålsmail/A 32656-2025 FSC-klagomål mail.docx", "A 32656-2025")</f>
        <v/>
      </c>
      <c r="X202">
        <f>HYPERLINK("https://klasma.github.io/Logging_2309/tillsyn/A 32656-2025 tillsynsbegäran.docx", "A 32656-2025")</f>
        <v/>
      </c>
      <c r="Y202">
        <f>HYPERLINK("https://klasma.github.io/Logging_2309/tillsynsmail/A 32656-2025 tillsynsbegäran mail.docx", "A 32656-2025")</f>
        <v/>
      </c>
    </row>
    <row r="203" ht="15" customHeight="1">
      <c r="A203" t="inlineStr">
        <is>
          <t>A 44645-2025</t>
        </is>
      </c>
      <c r="B203" s="1" t="n">
        <v>45917.53457175926</v>
      </c>
      <c r="C203" s="1" t="n">
        <v>46012</v>
      </c>
      <c r="D203" t="inlineStr">
        <is>
          <t>JÄMTLANDS LÄN</t>
        </is>
      </c>
      <c r="E203" t="inlineStr">
        <is>
          <t>KROKOM</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HYPERLINK("https://klasma.github.io/Logging_2309/artfynd/A 44645-2025 artfynd.xlsx", "A 44645-2025")</f>
        <v/>
      </c>
      <c r="T203">
        <f>HYPERLINK("https://klasma.github.io/Logging_2309/kartor/A 44645-2025 karta.png", "A 44645-2025")</f>
        <v/>
      </c>
      <c r="V203">
        <f>HYPERLINK("https://klasma.github.io/Logging_2309/klagomål/A 44645-2025 FSC-klagomål.docx", "A 44645-2025")</f>
        <v/>
      </c>
      <c r="W203">
        <f>HYPERLINK("https://klasma.github.io/Logging_2309/klagomålsmail/A 44645-2025 FSC-klagomål mail.docx", "A 44645-2025")</f>
        <v/>
      </c>
      <c r="X203">
        <f>HYPERLINK("https://klasma.github.io/Logging_2309/tillsyn/A 44645-2025 tillsynsbegäran.docx", "A 44645-2025")</f>
        <v/>
      </c>
      <c r="Y203">
        <f>HYPERLINK("https://klasma.github.io/Logging_2309/tillsynsmail/A 44645-2025 tillsynsbegäran mail.docx", "A 44645-2025")</f>
        <v/>
      </c>
    </row>
    <row r="204" ht="15" customHeight="1">
      <c r="A204" t="inlineStr">
        <is>
          <t>A 42816-2023</t>
        </is>
      </c>
      <c r="B204" s="1" t="n">
        <v>45182</v>
      </c>
      <c r="C204" s="1" t="n">
        <v>46012</v>
      </c>
      <c r="D204" t="inlineStr">
        <is>
          <t>JÄMTLANDS LÄN</t>
        </is>
      </c>
      <c r="E204" t="inlineStr">
        <is>
          <t>KROKOM</t>
        </is>
      </c>
      <c r="G204" t="n">
        <v>3.9</v>
      </c>
      <c r="H204" t="n">
        <v>1</v>
      </c>
      <c r="I204" t="n">
        <v>1</v>
      </c>
      <c r="J204" t="n">
        <v>0</v>
      </c>
      <c r="K204" t="n">
        <v>0</v>
      </c>
      <c r="L204" t="n">
        <v>0</v>
      </c>
      <c r="M204" t="n">
        <v>0</v>
      </c>
      <c r="N204" t="n">
        <v>0</v>
      </c>
      <c r="O204" t="n">
        <v>0</v>
      </c>
      <c r="P204" t="n">
        <v>0</v>
      </c>
      <c r="Q204" t="n">
        <v>1</v>
      </c>
      <c r="R204" s="2" t="inlineStr">
        <is>
          <t>Tvåblad</t>
        </is>
      </c>
      <c r="S204">
        <f>HYPERLINK("https://klasma.github.io/Logging_2309/artfynd/A 42816-2023 artfynd.xlsx", "A 42816-2023")</f>
        <v/>
      </c>
      <c r="T204">
        <f>HYPERLINK("https://klasma.github.io/Logging_2309/kartor/A 42816-2023 karta.png", "A 42816-2023")</f>
        <v/>
      </c>
      <c r="V204">
        <f>HYPERLINK("https://klasma.github.io/Logging_2309/klagomål/A 42816-2023 FSC-klagomål.docx", "A 42816-2023")</f>
        <v/>
      </c>
      <c r="W204">
        <f>HYPERLINK("https://klasma.github.io/Logging_2309/klagomålsmail/A 42816-2023 FSC-klagomål mail.docx", "A 42816-2023")</f>
        <v/>
      </c>
      <c r="X204">
        <f>HYPERLINK("https://klasma.github.io/Logging_2309/tillsyn/A 42816-2023 tillsynsbegäran.docx", "A 42816-2023")</f>
        <v/>
      </c>
      <c r="Y204">
        <f>HYPERLINK("https://klasma.github.io/Logging_2309/tillsynsmail/A 42816-2023 tillsynsbegäran mail.docx", "A 42816-2023")</f>
        <v/>
      </c>
    </row>
    <row r="205" ht="15" customHeight="1">
      <c r="A205" t="inlineStr">
        <is>
          <t>A 32888-2025</t>
        </is>
      </c>
      <c r="B205" s="1" t="n">
        <v>45839.60460648148</v>
      </c>
      <c r="C205" s="1" t="n">
        <v>46012</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33513-2025</t>
        </is>
      </c>
      <c r="B206" s="1" t="n">
        <v>45841.52454861111</v>
      </c>
      <c r="C206" s="1" t="n">
        <v>46012</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13485-2025</t>
        </is>
      </c>
      <c r="B207" s="1" t="n">
        <v>45736</v>
      </c>
      <c r="C207" s="1" t="n">
        <v>46012</v>
      </c>
      <c r="D207" t="inlineStr">
        <is>
          <t>JÄMTLANDS LÄN</t>
        </is>
      </c>
      <c r="E207" t="inlineStr">
        <is>
          <t>KROKOM</t>
        </is>
      </c>
      <c r="F207" t="inlineStr">
        <is>
          <t>SCA</t>
        </is>
      </c>
      <c r="G207" t="n">
        <v>4</v>
      </c>
      <c r="H207" t="n">
        <v>0</v>
      </c>
      <c r="I207" t="n">
        <v>0</v>
      </c>
      <c r="J207" t="n">
        <v>1</v>
      </c>
      <c r="K207" t="n">
        <v>0</v>
      </c>
      <c r="L207" t="n">
        <v>0</v>
      </c>
      <c r="M207" t="n">
        <v>0</v>
      </c>
      <c r="N207" t="n">
        <v>0</v>
      </c>
      <c r="O207" t="n">
        <v>1</v>
      </c>
      <c r="P207" t="n">
        <v>0</v>
      </c>
      <c r="Q207" t="n">
        <v>1</v>
      </c>
      <c r="R207" s="2" t="inlineStr">
        <is>
          <t>Brunklöver</t>
        </is>
      </c>
      <c r="S207">
        <f>HYPERLINK("https://klasma.github.io/Logging_2309/artfynd/A 13485-2025 artfynd.xlsx", "A 13485-2025")</f>
        <v/>
      </c>
      <c r="T207">
        <f>HYPERLINK("https://klasma.github.io/Logging_2309/kartor/A 13485-2025 karta.png", "A 13485-2025")</f>
        <v/>
      </c>
      <c r="V207">
        <f>HYPERLINK("https://klasma.github.io/Logging_2309/klagomål/A 13485-2025 FSC-klagomål.docx", "A 13485-2025")</f>
        <v/>
      </c>
      <c r="W207">
        <f>HYPERLINK("https://klasma.github.io/Logging_2309/klagomålsmail/A 13485-2025 FSC-klagomål mail.docx", "A 13485-2025")</f>
        <v/>
      </c>
      <c r="X207">
        <f>HYPERLINK("https://klasma.github.io/Logging_2309/tillsyn/A 13485-2025 tillsynsbegäran.docx", "A 13485-2025")</f>
        <v/>
      </c>
      <c r="Y207">
        <f>HYPERLINK("https://klasma.github.io/Logging_2309/tillsynsmail/A 13485-2025 tillsynsbegäran mail.docx", "A 13485-2025")</f>
        <v/>
      </c>
    </row>
    <row r="208" ht="15" customHeight="1">
      <c r="A208" t="inlineStr">
        <is>
          <t>A 34520-2025</t>
        </is>
      </c>
      <c r="B208" s="1" t="n">
        <v>45847.46962962963</v>
      </c>
      <c r="C208" s="1" t="n">
        <v>46012</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34534-2025</t>
        </is>
      </c>
      <c r="B209" s="1" t="n">
        <v>45847.51078703703</v>
      </c>
      <c r="C209" s="1" t="n">
        <v>46012</v>
      </c>
      <c r="D209" t="inlineStr">
        <is>
          <t>JÄMTLANDS LÄN</t>
        </is>
      </c>
      <c r="E209" t="inlineStr">
        <is>
          <t>KROKOM</t>
        </is>
      </c>
      <c r="F209" t="inlineStr">
        <is>
          <t>SCA</t>
        </is>
      </c>
      <c r="G209" t="n">
        <v>2.7</v>
      </c>
      <c r="H209" t="n">
        <v>0</v>
      </c>
      <c r="I209" t="n">
        <v>0</v>
      </c>
      <c r="J209" t="n">
        <v>1</v>
      </c>
      <c r="K209" t="n">
        <v>0</v>
      </c>
      <c r="L209" t="n">
        <v>0</v>
      </c>
      <c r="M209" t="n">
        <v>0</v>
      </c>
      <c r="N209" t="n">
        <v>0</v>
      </c>
      <c r="O209" t="n">
        <v>1</v>
      </c>
      <c r="P209" t="n">
        <v>0</v>
      </c>
      <c r="Q209" t="n">
        <v>1</v>
      </c>
      <c r="R209" s="2" t="inlineStr">
        <is>
          <t>Granticka</t>
        </is>
      </c>
      <c r="S209">
        <f>HYPERLINK("https://klasma.github.io/Logging_2309/artfynd/A 34534-2025 artfynd.xlsx", "A 34534-2025")</f>
        <v/>
      </c>
      <c r="T209">
        <f>HYPERLINK("https://klasma.github.io/Logging_2309/kartor/A 34534-2025 karta.png", "A 34534-2025")</f>
        <v/>
      </c>
      <c r="V209">
        <f>HYPERLINK("https://klasma.github.io/Logging_2309/klagomål/A 34534-2025 FSC-klagomål.docx", "A 34534-2025")</f>
        <v/>
      </c>
      <c r="W209">
        <f>HYPERLINK("https://klasma.github.io/Logging_2309/klagomålsmail/A 34534-2025 FSC-klagomål mail.docx", "A 34534-2025")</f>
        <v/>
      </c>
      <c r="X209">
        <f>HYPERLINK("https://klasma.github.io/Logging_2309/tillsyn/A 34534-2025 tillsynsbegäran.docx", "A 34534-2025")</f>
        <v/>
      </c>
      <c r="Y209">
        <f>HYPERLINK("https://klasma.github.io/Logging_2309/tillsynsmail/A 34534-2025 tillsynsbegäran mail.docx", "A 34534-2025")</f>
        <v/>
      </c>
    </row>
    <row r="210" ht="15" customHeight="1">
      <c r="A210" t="inlineStr">
        <is>
          <t>A 16426-2024</t>
        </is>
      </c>
      <c r="B210" s="1" t="n">
        <v>45407</v>
      </c>
      <c r="C210" s="1" t="n">
        <v>46012</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48462-2025</t>
        </is>
      </c>
      <c r="B211" s="1" t="n">
        <v>45936.31701388889</v>
      </c>
      <c r="C211" s="1" t="n">
        <v>46012</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4348-2025</t>
        </is>
      </c>
      <c r="B212" s="1" t="n">
        <v>45686.27208333334</v>
      </c>
      <c r="C212" s="1" t="n">
        <v>46012</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4331-2025</t>
        </is>
      </c>
      <c r="B213" s="1" t="n">
        <v>45685.78776620371</v>
      </c>
      <c r="C213" s="1" t="n">
        <v>46012</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52473-2024</t>
        </is>
      </c>
      <c r="B214" s="1" t="n">
        <v>45609</v>
      </c>
      <c r="C214" s="1" t="n">
        <v>46012</v>
      </c>
      <c r="D214" t="inlineStr">
        <is>
          <t>JÄMTLANDS LÄN</t>
        </is>
      </c>
      <c r="E214" t="inlineStr">
        <is>
          <t>KROKOM</t>
        </is>
      </c>
      <c r="G214" t="n">
        <v>38.5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52473-2024 artfynd.xlsx", "A 52473-2024")</f>
        <v/>
      </c>
      <c r="T214">
        <f>HYPERLINK("https://klasma.github.io/Logging_2309/kartor/A 52473-2024 karta.png", "A 52473-2024")</f>
        <v/>
      </c>
      <c r="V214">
        <f>HYPERLINK("https://klasma.github.io/Logging_2309/klagomål/A 52473-2024 FSC-klagomål.docx", "A 52473-2024")</f>
        <v/>
      </c>
      <c r="W214">
        <f>HYPERLINK("https://klasma.github.io/Logging_2309/klagomålsmail/A 52473-2024 FSC-klagomål mail.docx", "A 52473-2024")</f>
        <v/>
      </c>
      <c r="X214">
        <f>HYPERLINK("https://klasma.github.io/Logging_2309/tillsyn/A 52473-2024 tillsynsbegäran.docx", "A 52473-2024")</f>
        <v/>
      </c>
      <c r="Y214">
        <f>HYPERLINK("https://klasma.github.io/Logging_2309/tillsynsmail/A 52473-2024 tillsynsbegäran mail.docx", "A 52473-2024")</f>
        <v/>
      </c>
      <c r="Z214">
        <f>HYPERLINK("https://klasma.github.io/Logging_2309/fåglar/A 52473-2024 prioriterade fågelarter.docx", "A 52473-2024")</f>
        <v/>
      </c>
    </row>
    <row r="215" ht="15" customHeight="1">
      <c r="A215" t="inlineStr">
        <is>
          <t>A 27753-2023</t>
        </is>
      </c>
      <c r="B215" s="1" t="n">
        <v>45098</v>
      </c>
      <c r="C215" s="1" t="n">
        <v>46012</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58012-2025</t>
        </is>
      </c>
      <c r="B216" s="1" t="n">
        <v>45982.46929398148</v>
      </c>
      <c r="C216" s="1" t="n">
        <v>46012</v>
      </c>
      <c r="D216" t="inlineStr">
        <is>
          <t>JÄMTLANDS LÄN</t>
        </is>
      </c>
      <c r="E216" t="inlineStr">
        <is>
          <t>KROKOM</t>
        </is>
      </c>
      <c r="G216" t="n">
        <v>6.3</v>
      </c>
      <c r="H216" t="n">
        <v>1</v>
      </c>
      <c r="I216" t="n">
        <v>0</v>
      </c>
      <c r="J216" t="n">
        <v>0</v>
      </c>
      <c r="K216" t="n">
        <v>0</v>
      </c>
      <c r="L216" t="n">
        <v>0</v>
      </c>
      <c r="M216" t="n">
        <v>0</v>
      </c>
      <c r="N216" t="n">
        <v>0</v>
      </c>
      <c r="O216" t="n">
        <v>0</v>
      </c>
      <c r="P216" t="n">
        <v>0</v>
      </c>
      <c r="Q216" t="n">
        <v>1</v>
      </c>
      <c r="R216" s="2" t="inlineStr">
        <is>
          <t>Blåsippa</t>
        </is>
      </c>
      <c r="S216">
        <f>HYPERLINK("https://klasma.github.io/Logging_2309/artfynd/A 58012-2025 artfynd.xlsx", "A 58012-2025")</f>
        <v/>
      </c>
      <c r="T216">
        <f>HYPERLINK("https://klasma.github.io/Logging_2309/kartor/A 58012-2025 karta.png", "A 58012-2025")</f>
        <v/>
      </c>
      <c r="V216">
        <f>HYPERLINK("https://klasma.github.io/Logging_2309/klagomål/A 58012-2025 FSC-klagomål.docx", "A 58012-2025")</f>
        <v/>
      </c>
      <c r="W216">
        <f>HYPERLINK("https://klasma.github.io/Logging_2309/klagomålsmail/A 58012-2025 FSC-klagomål mail.docx", "A 58012-2025")</f>
        <v/>
      </c>
      <c r="X216">
        <f>HYPERLINK("https://klasma.github.io/Logging_2309/tillsyn/A 58012-2025 tillsynsbegäran.docx", "A 58012-2025")</f>
        <v/>
      </c>
      <c r="Y216">
        <f>HYPERLINK("https://klasma.github.io/Logging_2309/tillsynsmail/A 58012-2025 tillsynsbegäran mail.docx", "A 58012-2025")</f>
        <v/>
      </c>
    </row>
    <row r="217" ht="15" customHeight="1">
      <c r="A217" t="inlineStr">
        <is>
          <t>A 30771-2023</t>
        </is>
      </c>
      <c r="B217" s="1" t="n">
        <v>45112</v>
      </c>
      <c r="C217" s="1" t="n">
        <v>46012</v>
      </c>
      <c r="D217" t="inlineStr">
        <is>
          <t>JÄMTLANDS LÄN</t>
        </is>
      </c>
      <c r="E217" t="inlineStr">
        <is>
          <t>KROKOM</t>
        </is>
      </c>
      <c r="G217" t="n">
        <v>10.6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30771-2023 artfynd.xlsx", "A 30771-2023")</f>
        <v/>
      </c>
      <c r="T217">
        <f>HYPERLINK("https://klasma.github.io/Logging_2309/kartor/A 30771-2023 karta.png", "A 30771-2023")</f>
        <v/>
      </c>
      <c r="V217">
        <f>HYPERLINK("https://klasma.github.io/Logging_2309/klagomål/A 30771-2023 FSC-klagomål.docx", "A 30771-2023")</f>
        <v/>
      </c>
      <c r="W217">
        <f>HYPERLINK("https://klasma.github.io/Logging_2309/klagomålsmail/A 30771-2023 FSC-klagomål mail.docx", "A 30771-2023")</f>
        <v/>
      </c>
      <c r="X217">
        <f>HYPERLINK("https://klasma.github.io/Logging_2309/tillsyn/A 30771-2023 tillsynsbegäran.docx", "A 30771-2023")</f>
        <v/>
      </c>
      <c r="Y217">
        <f>HYPERLINK("https://klasma.github.io/Logging_2309/tillsynsmail/A 30771-2023 tillsynsbegäran mail.docx", "A 30771-2023")</f>
        <v/>
      </c>
      <c r="Z217">
        <f>HYPERLINK("https://klasma.github.io/Logging_2309/fåglar/A 30771-2023 prioriterade fågelarter.docx", "A 30771-2023")</f>
        <v/>
      </c>
    </row>
    <row r="218" ht="15" customHeight="1">
      <c r="A218" t="inlineStr">
        <is>
          <t>A 38253-2025</t>
        </is>
      </c>
      <c r="B218" s="1" t="n">
        <v>45883.37883101852</v>
      </c>
      <c r="C218" s="1" t="n">
        <v>46012</v>
      </c>
      <c r="D218" t="inlineStr">
        <is>
          <t>JÄMTLANDS LÄN</t>
        </is>
      </c>
      <c r="E218" t="inlineStr">
        <is>
          <t>KROKOM</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HYPERLINK("https://klasma.github.io/Logging_2309/artfynd/A 38253-2025 artfynd.xlsx", "A 38253-2025")</f>
        <v/>
      </c>
      <c r="T218">
        <f>HYPERLINK("https://klasma.github.io/Logging_2309/kartor/A 38253-2025 karta.png", "A 38253-2025")</f>
        <v/>
      </c>
      <c r="U218">
        <f>HYPERLINK("https://klasma.github.io/Logging_2309/knärot/A 38253-2025 karta knärot.png", "A 38253-2025")</f>
        <v/>
      </c>
      <c r="V218">
        <f>HYPERLINK("https://klasma.github.io/Logging_2309/klagomål/A 38253-2025 FSC-klagomål.docx", "A 38253-2025")</f>
        <v/>
      </c>
      <c r="W218">
        <f>HYPERLINK("https://klasma.github.io/Logging_2309/klagomålsmail/A 38253-2025 FSC-klagomål mail.docx", "A 38253-2025")</f>
        <v/>
      </c>
      <c r="X218">
        <f>HYPERLINK("https://klasma.github.io/Logging_2309/tillsyn/A 38253-2025 tillsynsbegäran.docx", "A 38253-2025")</f>
        <v/>
      </c>
      <c r="Y218">
        <f>HYPERLINK("https://klasma.github.io/Logging_2309/tillsynsmail/A 38253-2025 tillsynsbegäran mail.docx", "A 38253-2025")</f>
        <v/>
      </c>
    </row>
    <row r="219" ht="15" customHeight="1">
      <c r="A219" t="inlineStr">
        <is>
          <t>A 5919-2025</t>
        </is>
      </c>
      <c r="B219" s="1" t="n">
        <v>45695.42197916667</v>
      </c>
      <c r="C219" s="1" t="n">
        <v>46012</v>
      </c>
      <c r="D219" t="inlineStr">
        <is>
          <t>JÄMTLANDS LÄN</t>
        </is>
      </c>
      <c r="E219" t="inlineStr">
        <is>
          <t>KROKOM</t>
        </is>
      </c>
      <c r="G219" t="n">
        <v>2.7</v>
      </c>
      <c r="H219" t="n">
        <v>0</v>
      </c>
      <c r="I219" t="n">
        <v>0</v>
      </c>
      <c r="J219" t="n">
        <v>1</v>
      </c>
      <c r="K219" t="n">
        <v>0</v>
      </c>
      <c r="L219" t="n">
        <v>0</v>
      </c>
      <c r="M219" t="n">
        <v>0</v>
      </c>
      <c r="N219" t="n">
        <v>0</v>
      </c>
      <c r="O219" t="n">
        <v>1</v>
      </c>
      <c r="P219" t="n">
        <v>0</v>
      </c>
      <c r="Q219" t="n">
        <v>1</v>
      </c>
      <c r="R219" s="2" t="inlineStr">
        <is>
          <t>Skogshare</t>
        </is>
      </c>
      <c r="S219">
        <f>HYPERLINK("https://klasma.github.io/Logging_2309/artfynd/A 5919-2025 artfynd.xlsx", "A 5919-2025")</f>
        <v/>
      </c>
      <c r="T219">
        <f>HYPERLINK("https://klasma.github.io/Logging_2309/kartor/A 5919-2025 karta.png", "A 5919-2025")</f>
        <v/>
      </c>
      <c r="V219">
        <f>HYPERLINK("https://klasma.github.io/Logging_2309/klagomål/A 5919-2025 FSC-klagomål.docx", "A 5919-2025")</f>
        <v/>
      </c>
      <c r="W219">
        <f>HYPERLINK("https://klasma.github.io/Logging_2309/klagomålsmail/A 5919-2025 FSC-klagomål mail.docx", "A 5919-2025")</f>
        <v/>
      </c>
      <c r="X219">
        <f>HYPERLINK("https://klasma.github.io/Logging_2309/tillsyn/A 5919-2025 tillsynsbegäran.docx", "A 5919-2025")</f>
        <v/>
      </c>
      <c r="Y219">
        <f>HYPERLINK("https://klasma.github.io/Logging_2309/tillsynsmail/A 5919-2025 tillsynsbegäran mail.docx", "A 5919-2025")</f>
        <v/>
      </c>
    </row>
    <row r="220" ht="15" customHeight="1">
      <c r="A220" t="inlineStr">
        <is>
          <t>A 16125-2025</t>
        </is>
      </c>
      <c r="B220" s="1" t="n">
        <v>45750.42127314815</v>
      </c>
      <c r="C220" s="1" t="n">
        <v>46012</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46012</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49385-2024</t>
        </is>
      </c>
      <c r="B222" s="1" t="n">
        <v>45595</v>
      </c>
      <c r="C222" s="1" t="n">
        <v>46012</v>
      </c>
      <c r="D222" t="inlineStr">
        <is>
          <t>JÄMTLANDS LÄN</t>
        </is>
      </c>
      <c r="E222" t="inlineStr">
        <is>
          <t>KROKOM</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49385-2024 artfynd.xlsx", "A 49385-2024")</f>
        <v/>
      </c>
      <c r="T222">
        <f>HYPERLINK("https://klasma.github.io/Logging_2309/kartor/A 49385-2024 karta.png", "A 49385-2024")</f>
        <v/>
      </c>
      <c r="V222">
        <f>HYPERLINK("https://klasma.github.io/Logging_2309/klagomål/A 49385-2024 FSC-klagomål.docx", "A 49385-2024")</f>
        <v/>
      </c>
      <c r="W222">
        <f>HYPERLINK("https://klasma.github.io/Logging_2309/klagomålsmail/A 49385-2024 FSC-klagomål mail.docx", "A 49385-2024")</f>
        <v/>
      </c>
      <c r="X222">
        <f>HYPERLINK("https://klasma.github.io/Logging_2309/tillsyn/A 49385-2024 tillsynsbegäran.docx", "A 49385-2024")</f>
        <v/>
      </c>
      <c r="Y222">
        <f>HYPERLINK("https://klasma.github.io/Logging_2309/tillsynsmail/A 49385-2024 tillsynsbegäran mail.docx", "A 49385-2024")</f>
        <v/>
      </c>
      <c r="Z222">
        <f>HYPERLINK("https://klasma.github.io/Logging_2309/fåglar/A 49385-2024 prioriterade fågelarter.docx", "A 49385-2024")</f>
        <v/>
      </c>
    </row>
    <row r="223" ht="15" customHeight="1">
      <c r="A223" t="inlineStr">
        <is>
          <t>A 49175-2024</t>
        </is>
      </c>
      <c r="B223" s="1" t="n">
        <v>45595</v>
      </c>
      <c r="C223" s="1" t="n">
        <v>46012</v>
      </c>
      <c r="D223" t="inlineStr">
        <is>
          <t>JÄMTLANDS LÄN</t>
        </is>
      </c>
      <c r="E223" t="inlineStr">
        <is>
          <t>KROKOM</t>
        </is>
      </c>
      <c r="G223" t="n">
        <v>172.9</v>
      </c>
      <c r="H223" t="n">
        <v>0</v>
      </c>
      <c r="I223" t="n">
        <v>0</v>
      </c>
      <c r="J223" t="n">
        <v>1</v>
      </c>
      <c r="K223" t="n">
        <v>0</v>
      </c>
      <c r="L223" t="n">
        <v>0</v>
      </c>
      <c r="M223" t="n">
        <v>0</v>
      </c>
      <c r="N223" t="n">
        <v>0</v>
      </c>
      <c r="O223" t="n">
        <v>1</v>
      </c>
      <c r="P223" t="n">
        <v>0</v>
      </c>
      <c r="Q223" t="n">
        <v>1</v>
      </c>
      <c r="R223" s="2" t="inlineStr">
        <is>
          <t>Granticka</t>
        </is>
      </c>
      <c r="S223">
        <f>HYPERLINK("https://klasma.github.io/Logging_2309/artfynd/A 49175-2024 artfynd.xlsx", "A 49175-2024")</f>
        <v/>
      </c>
      <c r="T223">
        <f>HYPERLINK("https://klasma.github.io/Logging_2309/kartor/A 49175-2024 karta.png", "A 49175-2024")</f>
        <v/>
      </c>
      <c r="V223">
        <f>HYPERLINK("https://klasma.github.io/Logging_2309/klagomål/A 49175-2024 FSC-klagomål.docx", "A 49175-2024")</f>
        <v/>
      </c>
      <c r="W223">
        <f>HYPERLINK("https://klasma.github.io/Logging_2309/klagomålsmail/A 49175-2024 FSC-klagomål mail.docx", "A 49175-2024")</f>
        <v/>
      </c>
      <c r="X223">
        <f>HYPERLINK("https://klasma.github.io/Logging_2309/tillsyn/A 49175-2024 tillsynsbegäran.docx", "A 49175-2024")</f>
        <v/>
      </c>
      <c r="Y223">
        <f>HYPERLINK("https://klasma.github.io/Logging_2309/tillsynsmail/A 49175-2024 tillsynsbegäran mail.docx", "A 49175-2024")</f>
        <v/>
      </c>
    </row>
    <row r="224" ht="15" customHeight="1">
      <c r="A224" t="inlineStr">
        <is>
          <t>A 49387-2024</t>
        </is>
      </c>
      <c r="B224" s="1" t="n">
        <v>45595</v>
      </c>
      <c r="C224" s="1" t="n">
        <v>46012</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42258-2023</t>
        </is>
      </c>
      <c r="B225" s="1" t="n">
        <v>45180</v>
      </c>
      <c r="C225" s="1" t="n">
        <v>46012</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61451-2025</t>
        </is>
      </c>
      <c r="B226" s="1" t="n">
        <v>46001.57850694445</v>
      </c>
      <c r="C226" s="1" t="n">
        <v>46012</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26231-2024</t>
        </is>
      </c>
      <c r="B227" s="1" t="n">
        <v>45467</v>
      </c>
      <c r="C227" s="1" t="n">
        <v>46012</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32756-2023</t>
        </is>
      </c>
      <c r="B228" s="1" t="n">
        <v>45123</v>
      </c>
      <c r="C228" s="1" t="n">
        <v>46012</v>
      </c>
      <c r="D228" t="inlineStr">
        <is>
          <t>JÄMTLANDS LÄN</t>
        </is>
      </c>
      <c r="E228" t="inlineStr">
        <is>
          <t>KROKOM</t>
        </is>
      </c>
      <c r="F228" t="inlineStr">
        <is>
          <t>Övriga Aktiebolag</t>
        </is>
      </c>
      <c r="G228" t="n">
        <v>6.8</v>
      </c>
      <c r="H228" t="n">
        <v>0</v>
      </c>
      <c r="I228" t="n">
        <v>1</v>
      </c>
      <c r="J228" t="n">
        <v>0</v>
      </c>
      <c r="K228" t="n">
        <v>0</v>
      </c>
      <c r="L228" t="n">
        <v>0</v>
      </c>
      <c r="M228" t="n">
        <v>0</v>
      </c>
      <c r="N228" t="n">
        <v>0</v>
      </c>
      <c r="O228" t="n">
        <v>0</v>
      </c>
      <c r="P228" t="n">
        <v>0</v>
      </c>
      <c r="Q228" t="n">
        <v>1</v>
      </c>
      <c r="R228" s="2" t="inlineStr">
        <is>
          <t>Kransrams</t>
        </is>
      </c>
      <c r="S228">
        <f>HYPERLINK("https://klasma.github.io/Logging_2309/artfynd/A 32756-2023 artfynd.xlsx", "A 32756-2023")</f>
        <v/>
      </c>
      <c r="T228">
        <f>HYPERLINK("https://klasma.github.io/Logging_2309/kartor/A 32756-2023 karta.png", "A 32756-2023")</f>
        <v/>
      </c>
      <c r="V228">
        <f>HYPERLINK("https://klasma.github.io/Logging_2309/klagomål/A 32756-2023 FSC-klagomål.docx", "A 32756-2023")</f>
        <v/>
      </c>
      <c r="W228">
        <f>HYPERLINK("https://klasma.github.io/Logging_2309/klagomålsmail/A 32756-2023 FSC-klagomål mail.docx", "A 32756-2023")</f>
        <v/>
      </c>
      <c r="X228">
        <f>HYPERLINK("https://klasma.github.io/Logging_2309/tillsyn/A 32756-2023 tillsynsbegäran.docx", "A 32756-2023")</f>
        <v/>
      </c>
      <c r="Y228">
        <f>HYPERLINK("https://klasma.github.io/Logging_2309/tillsynsmail/A 32756-2023 tillsynsbegäran mail.docx", "A 32756-2023")</f>
        <v/>
      </c>
    </row>
    <row r="229" ht="15" customHeight="1">
      <c r="A229" t="inlineStr">
        <is>
          <t>A 32465-2025</t>
        </is>
      </c>
      <c r="B229" s="1" t="n">
        <v>45838</v>
      </c>
      <c r="C229" s="1" t="n">
        <v>46012</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7005-2022</t>
        </is>
      </c>
      <c r="B230" s="1" t="n">
        <v>44603</v>
      </c>
      <c r="C230" s="1" t="n">
        <v>46012</v>
      </c>
      <c r="D230" t="inlineStr">
        <is>
          <t>JÄMTLANDS LÄN</t>
        </is>
      </c>
      <c r="E230" t="inlineStr">
        <is>
          <t>KROKOM</t>
        </is>
      </c>
      <c r="G230" t="n">
        <v>46</v>
      </c>
      <c r="H230" t="n">
        <v>0</v>
      </c>
      <c r="I230" t="n">
        <v>1</v>
      </c>
      <c r="J230" t="n">
        <v>0</v>
      </c>
      <c r="K230" t="n">
        <v>0</v>
      </c>
      <c r="L230" t="n">
        <v>0</v>
      </c>
      <c r="M230" t="n">
        <v>0</v>
      </c>
      <c r="N230" t="n">
        <v>0</v>
      </c>
      <c r="O230" t="n">
        <v>0</v>
      </c>
      <c r="P230" t="n">
        <v>0</v>
      </c>
      <c r="Q230" t="n">
        <v>1</v>
      </c>
      <c r="R230" s="2" t="inlineStr">
        <is>
          <t>Stuplav</t>
        </is>
      </c>
      <c r="S230">
        <f>HYPERLINK("https://klasma.github.io/Logging_2309/artfynd/A 7005-2022 artfynd.xlsx", "A 7005-2022")</f>
        <v/>
      </c>
      <c r="T230">
        <f>HYPERLINK("https://klasma.github.io/Logging_2309/kartor/A 7005-2022 karta.png", "A 7005-2022")</f>
        <v/>
      </c>
      <c r="V230">
        <f>HYPERLINK("https://klasma.github.io/Logging_2309/klagomål/A 7005-2022 FSC-klagomål.docx", "A 7005-2022")</f>
        <v/>
      </c>
      <c r="W230">
        <f>HYPERLINK("https://klasma.github.io/Logging_2309/klagomålsmail/A 7005-2022 FSC-klagomål mail.docx", "A 7005-2022")</f>
        <v/>
      </c>
      <c r="X230">
        <f>HYPERLINK("https://klasma.github.io/Logging_2309/tillsyn/A 7005-2022 tillsynsbegäran.docx", "A 7005-2022")</f>
        <v/>
      </c>
      <c r="Y230">
        <f>HYPERLINK("https://klasma.github.io/Logging_2309/tillsynsmail/A 7005-2022 tillsynsbegäran mail.docx", "A 7005-2022")</f>
        <v/>
      </c>
    </row>
    <row r="231" ht="15" customHeight="1">
      <c r="A231" t="inlineStr">
        <is>
          <t>A 49388-2024</t>
        </is>
      </c>
      <c r="B231" s="1" t="n">
        <v>45595</v>
      </c>
      <c r="C231" s="1" t="n">
        <v>46012</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814-2022</t>
        </is>
      </c>
      <c r="B232" s="1" t="n">
        <v>44568</v>
      </c>
      <c r="C232" s="1" t="n">
        <v>46012</v>
      </c>
      <c r="D232" t="inlineStr">
        <is>
          <t>JÄMTLANDS LÄN</t>
        </is>
      </c>
      <c r="E232" t="inlineStr">
        <is>
          <t>KROKOM</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814-2022 artfynd.xlsx", "A 814-2022")</f>
        <v/>
      </c>
      <c r="T232">
        <f>HYPERLINK("https://klasma.github.io/Logging_2309/kartor/A 814-2022 karta.png", "A 814-2022")</f>
        <v/>
      </c>
      <c r="V232">
        <f>HYPERLINK("https://klasma.github.io/Logging_2309/klagomål/A 814-2022 FSC-klagomål.docx", "A 814-2022")</f>
        <v/>
      </c>
      <c r="W232">
        <f>HYPERLINK("https://klasma.github.io/Logging_2309/klagomålsmail/A 814-2022 FSC-klagomål mail.docx", "A 814-2022")</f>
        <v/>
      </c>
      <c r="X232">
        <f>HYPERLINK("https://klasma.github.io/Logging_2309/tillsyn/A 814-2022 tillsynsbegäran.docx", "A 814-2022")</f>
        <v/>
      </c>
      <c r="Y232">
        <f>HYPERLINK("https://klasma.github.io/Logging_2309/tillsynsmail/A 814-2022 tillsynsbegäran mail.docx", "A 814-2022")</f>
        <v/>
      </c>
      <c r="Z232">
        <f>HYPERLINK("https://klasma.github.io/Logging_2309/fåglar/A 814-2022 prioriterade fågelarter.docx", "A 814-2022")</f>
        <v/>
      </c>
    </row>
    <row r="233" ht="15" customHeight="1">
      <c r="A233" t="inlineStr">
        <is>
          <t>A 6705-2025</t>
        </is>
      </c>
      <c r="B233" s="1" t="n">
        <v>45700</v>
      </c>
      <c r="C233" s="1" t="n">
        <v>46012</v>
      </c>
      <c r="D233" t="inlineStr">
        <is>
          <t>JÄMTLANDS LÄN</t>
        </is>
      </c>
      <c r="E233" t="inlineStr">
        <is>
          <t>KROKOM</t>
        </is>
      </c>
      <c r="G233" t="n">
        <v>20.4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6705-2025 artfynd.xlsx", "A 6705-2025")</f>
        <v/>
      </c>
      <c r="T233">
        <f>HYPERLINK("https://klasma.github.io/Logging_2309/kartor/A 6705-2025 karta.png", "A 6705-2025")</f>
        <v/>
      </c>
      <c r="V233">
        <f>HYPERLINK("https://klasma.github.io/Logging_2309/klagomål/A 6705-2025 FSC-klagomål.docx", "A 6705-2025")</f>
        <v/>
      </c>
      <c r="W233">
        <f>HYPERLINK("https://klasma.github.io/Logging_2309/klagomålsmail/A 6705-2025 FSC-klagomål mail.docx", "A 6705-2025")</f>
        <v/>
      </c>
      <c r="X233">
        <f>HYPERLINK("https://klasma.github.io/Logging_2309/tillsyn/A 6705-2025 tillsynsbegäran.docx", "A 6705-2025")</f>
        <v/>
      </c>
      <c r="Y233">
        <f>HYPERLINK("https://klasma.github.io/Logging_2309/tillsynsmail/A 6705-2025 tillsynsbegäran mail.docx", "A 6705-2025")</f>
        <v/>
      </c>
      <c r="Z233">
        <f>HYPERLINK("https://klasma.github.io/Logging_2309/fåglar/A 6705-2025 prioriterade fågelarter.docx", "A 6705-2025")</f>
        <v/>
      </c>
    </row>
    <row r="234" ht="15" customHeight="1">
      <c r="A234" t="inlineStr">
        <is>
          <t>A 7208-2025</t>
        </is>
      </c>
      <c r="B234" s="1" t="n">
        <v>45702.47149305556</v>
      </c>
      <c r="C234" s="1" t="n">
        <v>46012</v>
      </c>
      <c r="D234" t="inlineStr">
        <is>
          <t>JÄMTLANDS LÄN</t>
        </is>
      </c>
      <c r="E234" t="inlineStr">
        <is>
          <t>KROKOM</t>
        </is>
      </c>
      <c r="F234" t="inlineStr">
        <is>
          <t>Övriga Aktiebolag</t>
        </is>
      </c>
      <c r="G234" t="n">
        <v>39.4</v>
      </c>
      <c r="H234" t="n">
        <v>0</v>
      </c>
      <c r="I234" t="n">
        <v>0</v>
      </c>
      <c r="J234" t="n">
        <v>1</v>
      </c>
      <c r="K234" t="n">
        <v>0</v>
      </c>
      <c r="L234" t="n">
        <v>0</v>
      </c>
      <c r="M234" t="n">
        <v>0</v>
      </c>
      <c r="N234" t="n">
        <v>0</v>
      </c>
      <c r="O234" t="n">
        <v>1</v>
      </c>
      <c r="P234" t="n">
        <v>0</v>
      </c>
      <c r="Q234" t="n">
        <v>1</v>
      </c>
      <c r="R234" s="2" t="inlineStr">
        <is>
          <t>Ullticka</t>
        </is>
      </c>
      <c r="S234">
        <f>HYPERLINK("https://klasma.github.io/Logging_2309/artfynd/A 7208-2025 artfynd.xlsx", "A 7208-2025")</f>
        <v/>
      </c>
      <c r="T234">
        <f>HYPERLINK("https://klasma.github.io/Logging_2309/kartor/A 7208-2025 karta.png", "A 7208-2025")</f>
        <v/>
      </c>
      <c r="V234">
        <f>HYPERLINK("https://klasma.github.io/Logging_2309/klagomål/A 7208-2025 FSC-klagomål.docx", "A 7208-2025")</f>
        <v/>
      </c>
      <c r="W234">
        <f>HYPERLINK("https://klasma.github.io/Logging_2309/klagomålsmail/A 7208-2025 FSC-klagomål mail.docx", "A 7208-2025")</f>
        <v/>
      </c>
      <c r="X234">
        <f>HYPERLINK("https://klasma.github.io/Logging_2309/tillsyn/A 7208-2025 tillsynsbegäran.docx", "A 7208-2025")</f>
        <v/>
      </c>
      <c r="Y234">
        <f>HYPERLINK("https://klasma.github.io/Logging_2309/tillsynsmail/A 7208-2025 tillsynsbegäran mail.docx", "A 7208-2025")</f>
        <v/>
      </c>
    </row>
    <row r="235" ht="15" customHeight="1">
      <c r="A235" t="inlineStr">
        <is>
          <t>A 806-2022</t>
        </is>
      </c>
      <c r="B235" s="1" t="n">
        <v>44568</v>
      </c>
      <c r="C235" s="1" t="n">
        <v>46012</v>
      </c>
      <c r="D235" t="inlineStr">
        <is>
          <t>JÄMTLANDS LÄN</t>
        </is>
      </c>
      <c r="E235" t="inlineStr">
        <is>
          <t>KROKOM</t>
        </is>
      </c>
      <c r="G235" t="n">
        <v>46.8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806-2022 artfynd.xlsx", "A 806-2022")</f>
        <v/>
      </c>
      <c r="T235">
        <f>HYPERLINK("https://klasma.github.io/Logging_2309/kartor/A 806-2022 karta.png", "A 806-2022")</f>
        <v/>
      </c>
      <c r="V235">
        <f>HYPERLINK("https://klasma.github.io/Logging_2309/klagomål/A 806-2022 FSC-klagomål.docx", "A 806-2022")</f>
        <v/>
      </c>
      <c r="W235">
        <f>HYPERLINK("https://klasma.github.io/Logging_2309/klagomålsmail/A 806-2022 FSC-klagomål mail.docx", "A 806-2022")</f>
        <v/>
      </c>
      <c r="X235">
        <f>HYPERLINK("https://klasma.github.io/Logging_2309/tillsyn/A 806-2022 tillsynsbegäran.docx", "A 806-2022")</f>
        <v/>
      </c>
      <c r="Y235">
        <f>HYPERLINK("https://klasma.github.io/Logging_2309/tillsynsmail/A 806-2022 tillsynsbegäran mail.docx", "A 806-2022")</f>
        <v/>
      </c>
      <c r="Z235">
        <f>HYPERLINK("https://klasma.github.io/Logging_2309/fåglar/A 806-2022 prioriterade fågelarter.docx", "A 806-2022")</f>
        <v/>
      </c>
    </row>
    <row r="236" ht="15" customHeight="1">
      <c r="A236" t="inlineStr">
        <is>
          <t>A 804-2022</t>
        </is>
      </c>
      <c r="B236" s="1" t="n">
        <v>44568</v>
      </c>
      <c r="C236" s="1" t="n">
        <v>46012</v>
      </c>
      <c r="D236" t="inlineStr">
        <is>
          <t>JÄMTLANDS LÄN</t>
        </is>
      </c>
      <c r="E236" t="inlineStr">
        <is>
          <t>KROKOM</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804-2022 artfynd.xlsx", "A 804-2022")</f>
        <v/>
      </c>
      <c r="T236">
        <f>HYPERLINK("https://klasma.github.io/Logging_2309/kartor/A 804-2022 karta.png", "A 804-2022")</f>
        <v/>
      </c>
      <c r="V236">
        <f>HYPERLINK("https://klasma.github.io/Logging_2309/klagomål/A 804-2022 FSC-klagomål.docx", "A 804-2022")</f>
        <v/>
      </c>
      <c r="W236">
        <f>HYPERLINK("https://klasma.github.io/Logging_2309/klagomålsmail/A 804-2022 FSC-klagomål mail.docx", "A 804-2022")</f>
        <v/>
      </c>
      <c r="X236">
        <f>HYPERLINK("https://klasma.github.io/Logging_2309/tillsyn/A 804-2022 tillsynsbegäran.docx", "A 804-2022")</f>
        <v/>
      </c>
      <c r="Y236">
        <f>HYPERLINK("https://klasma.github.io/Logging_2309/tillsynsmail/A 804-2022 tillsynsbegäran mail.docx", "A 804-2022")</f>
        <v/>
      </c>
      <c r="Z236">
        <f>HYPERLINK("https://klasma.github.io/Logging_2309/fåglar/A 804-2022 prioriterade fågelarter.docx", "A 804-2022")</f>
        <v/>
      </c>
    </row>
    <row r="237" ht="15" customHeight="1">
      <c r="A237" t="inlineStr">
        <is>
          <t>A 58805-2024</t>
        </is>
      </c>
      <c r="B237" s="1" t="n">
        <v>45635</v>
      </c>
      <c r="C237" s="1" t="n">
        <v>46012</v>
      </c>
      <c r="D237" t="inlineStr">
        <is>
          <t>JÄMTLANDS LÄN</t>
        </is>
      </c>
      <c r="E237" t="inlineStr">
        <is>
          <t>KROKOM</t>
        </is>
      </c>
      <c r="G237" t="n">
        <v>4.7</v>
      </c>
      <c r="H237" t="n">
        <v>1</v>
      </c>
      <c r="I237" t="n">
        <v>0</v>
      </c>
      <c r="J237" t="n">
        <v>0</v>
      </c>
      <c r="K237" t="n">
        <v>0</v>
      </c>
      <c r="L237" t="n">
        <v>0</v>
      </c>
      <c r="M237" t="n">
        <v>0</v>
      </c>
      <c r="N237" t="n">
        <v>0</v>
      </c>
      <c r="O237" t="n">
        <v>0</v>
      </c>
      <c r="P237" t="n">
        <v>0</v>
      </c>
      <c r="Q237" t="n">
        <v>1</v>
      </c>
      <c r="R237" s="2" t="inlineStr">
        <is>
          <t>Brudsporre</t>
        </is>
      </c>
      <c r="S237">
        <f>HYPERLINK("https://klasma.github.io/Logging_2309/artfynd/A 58805-2024 artfynd.xlsx", "A 58805-2024")</f>
        <v/>
      </c>
      <c r="T237">
        <f>HYPERLINK("https://klasma.github.io/Logging_2309/kartor/A 58805-2024 karta.png", "A 58805-2024")</f>
        <v/>
      </c>
      <c r="V237">
        <f>HYPERLINK("https://klasma.github.io/Logging_2309/klagomål/A 58805-2024 FSC-klagomål.docx", "A 58805-2024")</f>
        <v/>
      </c>
      <c r="W237">
        <f>HYPERLINK("https://klasma.github.io/Logging_2309/klagomålsmail/A 58805-2024 FSC-klagomål mail.docx", "A 58805-2024")</f>
        <v/>
      </c>
      <c r="X237">
        <f>HYPERLINK("https://klasma.github.io/Logging_2309/tillsyn/A 58805-2024 tillsynsbegäran.docx", "A 58805-2024")</f>
        <v/>
      </c>
      <c r="Y237">
        <f>HYPERLINK("https://klasma.github.io/Logging_2309/tillsynsmail/A 58805-2024 tillsynsbegäran mail.docx", "A 58805-2024")</f>
        <v/>
      </c>
    </row>
    <row r="238" ht="15" customHeight="1">
      <c r="A238" t="inlineStr">
        <is>
          <t>A 56628-2023</t>
        </is>
      </c>
      <c r="B238" s="1" t="n">
        <v>45243</v>
      </c>
      <c r="C238" s="1" t="n">
        <v>46012</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19282-2021</t>
        </is>
      </c>
      <c r="B239" s="1" t="n">
        <v>44308</v>
      </c>
      <c r="C239" s="1" t="n">
        <v>46012</v>
      </c>
      <c r="D239" t="inlineStr">
        <is>
          <t>JÄMTLANDS LÄN</t>
        </is>
      </c>
      <c r="E239" t="inlineStr">
        <is>
          <t>KROKOM</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HYPERLINK("https://klasma.github.io/Logging_2309/artfynd/A 19282-2021 artfynd.xlsx", "A 19282-2021")</f>
        <v/>
      </c>
      <c r="T239">
        <f>HYPERLINK("https://klasma.github.io/Logging_2309/kartor/A 19282-2021 karta.png", "A 19282-2021")</f>
        <v/>
      </c>
      <c r="V239">
        <f>HYPERLINK("https://klasma.github.io/Logging_2309/klagomål/A 19282-2021 FSC-klagomål.docx", "A 19282-2021")</f>
        <v/>
      </c>
      <c r="W239">
        <f>HYPERLINK("https://klasma.github.io/Logging_2309/klagomålsmail/A 19282-2021 FSC-klagomål mail.docx", "A 19282-2021")</f>
        <v/>
      </c>
      <c r="X239">
        <f>HYPERLINK("https://klasma.github.io/Logging_2309/tillsyn/A 19282-2021 tillsynsbegäran.docx", "A 19282-2021")</f>
        <v/>
      </c>
      <c r="Y239">
        <f>HYPERLINK("https://klasma.github.io/Logging_2309/tillsynsmail/A 19282-2021 tillsynsbegäran mail.docx", "A 19282-2021")</f>
        <v/>
      </c>
    </row>
    <row r="240" ht="15" customHeight="1">
      <c r="A240" t="inlineStr">
        <is>
          <t>A 25285-2023</t>
        </is>
      </c>
      <c r="B240" s="1" t="n">
        <v>45079</v>
      </c>
      <c r="C240" s="1" t="n">
        <v>46012</v>
      </c>
      <c r="D240" t="inlineStr">
        <is>
          <t>JÄMTLANDS LÄN</t>
        </is>
      </c>
      <c r="E240" t="inlineStr">
        <is>
          <t>KROKOM</t>
        </is>
      </c>
      <c r="G240" t="n">
        <v>14.9</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25285-2023 artfynd.xlsx", "A 25285-2023")</f>
        <v/>
      </c>
      <c r="T240">
        <f>HYPERLINK("https://klasma.github.io/Logging_2309/kartor/A 25285-2023 karta.png", "A 25285-2023")</f>
        <v/>
      </c>
      <c r="V240">
        <f>HYPERLINK("https://klasma.github.io/Logging_2309/klagomål/A 25285-2023 FSC-klagomål.docx", "A 25285-2023")</f>
        <v/>
      </c>
      <c r="W240">
        <f>HYPERLINK("https://klasma.github.io/Logging_2309/klagomålsmail/A 25285-2023 FSC-klagomål mail.docx", "A 25285-2023")</f>
        <v/>
      </c>
      <c r="X240">
        <f>HYPERLINK("https://klasma.github.io/Logging_2309/tillsyn/A 25285-2023 tillsynsbegäran.docx", "A 25285-2023")</f>
        <v/>
      </c>
      <c r="Y240">
        <f>HYPERLINK("https://klasma.github.io/Logging_2309/tillsynsmail/A 25285-2023 tillsynsbegäran mail.docx", "A 25285-2023")</f>
        <v/>
      </c>
      <c r="Z240">
        <f>HYPERLINK("https://klasma.github.io/Logging_2309/fåglar/A 25285-2023 prioriterade fågelarter.docx", "A 25285-2023")</f>
        <v/>
      </c>
    </row>
    <row r="241" ht="15" customHeight="1">
      <c r="A241" t="inlineStr">
        <is>
          <t>A 19984-2021</t>
        </is>
      </c>
      <c r="B241" s="1" t="n">
        <v>44313</v>
      </c>
      <c r="C241" s="1" t="n">
        <v>46012</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46012</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46012</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46012</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46012</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46012</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46012</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46012</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46012</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46012</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46012</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46012</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46012</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46012</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46012</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46012</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11530-2021</t>
        </is>
      </c>
      <c r="B257" s="1" t="n">
        <v>44263</v>
      </c>
      <c r="C257" s="1" t="n">
        <v>46012</v>
      </c>
      <c r="D257" t="inlineStr">
        <is>
          <t>JÄMTLANDS LÄN</t>
        </is>
      </c>
      <c r="E257" t="inlineStr">
        <is>
          <t>KROKOM</t>
        </is>
      </c>
      <c r="G257" t="n">
        <v>9</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46012</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67797-2021</t>
        </is>
      </c>
      <c r="B259" s="1" t="n">
        <v>44524</v>
      </c>
      <c r="C259" s="1" t="n">
        <v>46012</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31858-2021</t>
        </is>
      </c>
      <c r="B260" s="1" t="n">
        <v>44370</v>
      </c>
      <c r="C260" s="1" t="n">
        <v>46012</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4569-2022</t>
        </is>
      </c>
      <c r="B261" s="1" t="n">
        <v>44591</v>
      </c>
      <c r="C261" s="1" t="n">
        <v>46012</v>
      </c>
      <c r="D261" t="inlineStr">
        <is>
          <t>JÄMTLANDS LÄN</t>
        </is>
      </c>
      <c r="E261" t="inlineStr">
        <is>
          <t>KROKOM</t>
        </is>
      </c>
      <c r="G261" t="n">
        <v>20.3</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46012</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69949-2021</t>
        </is>
      </c>
      <c r="B263" s="1" t="n">
        <v>44533</v>
      </c>
      <c r="C263" s="1" t="n">
        <v>46012</v>
      </c>
      <c r="D263" t="inlineStr">
        <is>
          <t>JÄMTLANDS LÄN</t>
        </is>
      </c>
      <c r="E263" t="inlineStr">
        <is>
          <t>KROKOM</t>
        </is>
      </c>
      <c r="G263" t="n">
        <v>15.8</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46012</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46012</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46012</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46012</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46012</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46012</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46012</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46012</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46012</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18544-2021</t>
        </is>
      </c>
      <c r="B273" s="1" t="n">
        <v>44306</v>
      </c>
      <c r="C273" s="1" t="n">
        <v>46012</v>
      </c>
      <c r="D273" t="inlineStr">
        <is>
          <t>JÄMTLANDS LÄN</t>
        </is>
      </c>
      <c r="E273" t="inlineStr">
        <is>
          <t>KROKOM</t>
        </is>
      </c>
      <c r="G273" t="n">
        <v>4.1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46012</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33395-2022</t>
        </is>
      </c>
      <c r="B275" s="1" t="n">
        <v>44788</v>
      </c>
      <c r="C275" s="1" t="n">
        <v>46012</v>
      </c>
      <c r="D275" t="inlineStr">
        <is>
          <t>JÄMTLANDS LÄN</t>
        </is>
      </c>
      <c r="E275" t="inlineStr">
        <is>
          <t>KROKOM</t>
        </is>
      </c>
      <c r="F275" t="inlineStr">
        <is>
          <t>Övriga Aktiebolag</t>
        </is>
      </c>
      <c r="G275" t="n">
        <v>6.2</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46012</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46012</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46012</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46012</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46012</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46012</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17726-2021</t>
        </is>
      </c>
      <c r="B282" s="1" t="n">
        <v>44300</v>
      </c>
      <c r="C282" s="1" t="n">
        <v>46012</v>
      </c>
      <c r="D282" t="inlineStr">
        <is>
          <t>JÄMTLANDS LÄN</t>
        </is>
      </c>
      <c r="E282" t="inlineStr">
        <is>
          <t>KROKOM</t>
        </is>
      </c>
      <c r="G282" t="n">
        <v>30.7</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46012</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46012</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46012</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46012</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46012</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46012</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46012</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46012</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46012</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46012</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46012</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46012</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46012</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46507-2022</t>
        </is>
      </c>
      <c r="B296" s="1" t="n">
        <v>44848</v>
      </c>
      <c r="C296" s="1" t="n">
        <v>46012</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46012</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46012</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46012</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46012</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46012</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29146-2021</t>
        </is>
      </c>
      <c r="B302" s="1" t="n">
        <v>44358.63585648148</v>
      </c>
      <c r="C302" s="1" t="n">
        <v>46012</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46012</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46012</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46012</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46012</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46012</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46012</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46012</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46012</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46012</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46012</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46012</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46012</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46012</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46012</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46012</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46012</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46012</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46012</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46012</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46012</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46012</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46012</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10220-2025</t>
        </is>
      </c>
      <c r="B325" s="1" t="n">
        <v>45720</v>
      </c>
      <c r="C325" s="1" t="n">
        <v>46012</v>
      </c>
      <c r="D325" t="inlineStr">
        <is>
          <t>JÄMTLANDS LÄN</t>
        </is>
      </c>
      <c r="E325" t="inlineStr">
        <is>
          <t>KROKOM</t>
        </is>
      </c>
      <c r="G325" t="n">
        <v>0.2</v>
      </c>
      <c r="H325" t="n">
        <v>0</v>
      </c>
      <c r="I325" t="n">
        <v>0</v>
      </c>
      <c r="J325" t="n">
        <v>0</v>
      </c>
      <c r="K325" t="n">
        <v>0</v>
      </c>
      <c r="L325" t="n">
        <v>0</v>
      </c>
      <c r="M325" t="n">
        <v>0</v>
      </c>
      <c r="N325" t="n">
        <v>0</v>
      </c>
      <c r="O325" t="n">
        <v>0</v>
      </c>
      <c r="P325" t="n">
        <v>0</v>
      </c>
      <c r="Q325" t="n">
        <v>0</v>
      </c>
      <c r="R325" s="2" t="inlineStr"/>
    </row>
    <row r="326" ht="15" customHeight="1">
      <c r="A326" t="inlineStr">
        <is>
          <t>A 9948-2025</t>
        </is>
      </c>
      <c r="B326" s="1" t="n">
        <v>45719.32584490741</v>
      </c>
      <c r="C326" s="1" t="n">
        <v>46012</v>
      </c>
      <c r="D326" t="inlineStr">
        <is>
          <t>JÄMTLANDS LÄN</t>
        </is>
      </c>
      <c r="E326" t="inlineStr">
        <is>
          <t>KROKOM</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46012</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17383-2023</t>
        </is>
      </c>
      <c r="B328" s="1" t="n">
        <v>45035</v>
      </c>
      <c r="C328" s="1" t="n">
        <v>46012</v>
      </c>
      <c r="D328" t="inlineStr">
        <is>
          <t>JÄMTLANDS LÄN</t>
        </is>
      </c>
      <c r="E328" t="inlineStr">
        <is>
          <t>KROKOM</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47606-2023</t>
        </is>
      </c>
      <c r="B329" s="1" t="n">
        <v>45203.46523148148</v>
      </c>
      <c r="C329" s="1" t="n">
        <v>46012</v>
      </c>
      <c r="D329" t="inlineStr">
        <is>
          <t>JÄMTLANDS LÄN</t>
        </is>
      </c>
      <c r="E329" t="inlineStr">
        <is>
          <t>KROKOM</t>
        </is>
      </c>
      <c r="G329" t="n">
        <v>5.5</v>
      </c>
      <c r="H329" t="n">
        <v>0</v>
      </c>
      <c r="I329" t="n">
        <v>0</v>
      </c>
      <c r="J329" t="n">
        <v>0</v>
      </c>
      <c r="K329" t="n">
        <v>0</v>
      </c>
      <c r="L329" t="n">
        <v>0</v>
      </c>
      <c r="M329" t="n">
        <v>0</v>
      </c>
      <c r="N329" t="n">
        <v>0</v>
      </c>
      <c r="O329" t="n">
        <v>0</v>
      </c>
      <c r="P329" t="n">
        <v>0</v>
      </c>
      <c r="Q329" t="n">
        <v>0</v>
      </c>
      <c r="R329" s="2" t="inlineStr"/>
    </row>
    <row r="330" ht="15" customHeight="1">
      <c r="A330" t="inlineStr">
        <is>
          <t>A 17090-2024</t>
        </is>
      </c>
      <c r="B330" s="1" t="n">
        <v>45412.51260416667</v>
      </c>
      <c r="C330" s="1" t="n">
        <v>46012</v>
      </c>
      <c r="D330" t="inlineStr">
        <is>
          <t>JÄMTLANDS LÄN</t>
        </is>
      </c>
      <c r="E330" t="inlineStr">
        <is>
          <t>KROKOM</t>
        </is>
      </c>
      <c r="G330" t="n">
        <v>1.1</v>
      </c>
      <c r="H330" t="n">
        <v>0</v>
      </c>
      <c r="I330" t="n">
        <v>0</v>
      </c>
      <c r="J330" t="n">
        <v>0</v>
      </c>
      <c r="K330" t="n">
        <v>0</v>
      </c>
      <c r="L330" t="n">
        <v>0</v>
      </c>
      <c r="M330" t="n">
        <v>0</v>
      </c>
      <c r="N330" t="n">
        <v>0</v>
      </c>
      <c r="O330" t="n">
        <v>0</v>
      </c>
      <c r="P330" t="n">
        <v>0</v>
      </c>
      <c r="Q330" t="n">
        <v>0</v>
      </c>
      <c r="R330" s="2" t="inlineStr"/>
    </row>
    <row r="331" ht="15" customHeight="1">
      <c r="A331" t="inlineStr">
        <is>
          <t>A 6145-2025</t>
        </is>
      </c>
      <c r="B331" s="1" t="n">
        <v>45698.39486111111</v>
      </c>
      <c r="C331" s="1" t="n">
        <v>46012</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9156-2025</t>
        </is>
      </c>
      <c r="B332" s="1" t="n">
        <v>45714.34859953704</v>
      </c>
      <c r="C332" s="1" t="n">
        <v>46012</v>
      </c>
      <c r="D332" t="inlineStr">
        <is>
          <t>JÄMTLANDS LÄN</t>
        </is>
      </c>
      <c r="E332" t="inlineStr">
        <is>
          <t>KROKOM</t>
        </is>
      </c>
      <c r="F332" t="inlineStr">
        <is>
          <t>Övriga Aktiebolag</t>
        </is>
      </c>
      <c r="G332" t="n">
        <v>26.7</v>
      </c>
      <c r="H332" t="n">
        <v>0</v>
      </c>
      <c r="I332" t="n">
        <v>0</v>
      </c>
      <c r="J332" t="n">
        <v>0</v>
      </c>
      <c r="K332" t="n">
        <v>0</v>
      </c>
      <c r="L332" t="n">
        <v>0</v>
      </c>
      <c r="M332" t="n">
        <v>0</v>
      </c>
      <c r="N332" t="n">
        <v>0</v>
      </c>
      <c r="O332" t="n">
        <v>0</v>
      </c>
      <c r="P332" t="n">
        <v>0</v>
      </c>
      <c r="Q332" t="n">
        <v>0</v>
      </c>
      <c r="R332" s="2" t="inlineStr"/>
      <c r="U332">
        <f>HYPERLINK("https://klasma.github.io/Logging_2309/knärot/A 9156-2025 karta knärot.png", "A 9156-2025")</f>
        <v/>
      </c>
      <c r="V332">
        <f>HYPERLINK("https://klasma.github.io/Logging_2309/klagomål/A 9156-2025 FSC-klagomål.docx", "A 9156-2025")</f>
        <v/>
      </c>
      <c r="W332">
        <f>HYPERLINK("https://klasma.github.io/Logging_2309/klagomålsmail/A 9156-2025 FSC-klagomål mail.docx", "A 9156-2025")</f>
        <v/>
      </c>
      <c r="X332">
        <f>HYPERLINK("https://klasma.github.io/Logging_2309/tillsyn/A 9156-2025 tillsynsbegäran.docx", "A 9156-2025")</f>
        <v/>
      </c>
      <c r="Y332">
        <f>HYPERLINK("https://klasma.github.io/Logging_2309/tillsynsmail/A 9156-2025 tillsynsbegäran mail.docx", "A 9156-2025")</f>
        <v/>
      </c>
    </row>
    <row r="333" ht="15" customHeight="1">
      <c r="A333" t="inlineStr">
        <is>
          <t>A 13249-2024</t>
        </is>
      </c>
      <c r="B333" s="1" t="n">
        <v>45386</v>
      </c>
      <c r="C333" s="1" t="n">
        <v>46012</v>
      </c>
      <c r="D333" t="inlineStr">
        <is>
          <t>JÄMTLANDS LÄN</t>
        </is>
      </c>
      <c r="E333" t="inlineStr">
        <is>
          <t>KROKOM</t>
        </is>
      </c>
      <c r="G333" t="n">
        <v>2.4</v>
      </c>
      <c r="H333" t="n">
        <v>0</v>
      </c>
      <c r="I333" t="n">
        <v>0</v>
      </c>
      <c r="J333" t="n">
        <v>0</v>
      </c>
      <c r="K333" t="n">
        <v>0</v>
      </c>
      <c r="L333" t="n">
        <v>0</v>
      </c>
      <c r="M333" t="n">
        <v>0</v>
      </c>
      <c r="N333" t="n">
        <v>0</v>
      </c>
      <c r="O333" t="n">
        <v>0</v>
      </c>
      <c r="P333" t="n">
        <v>0</v>
      </c>
      <c r="Q333" t="n">
        <v>0</v>
      </c>
      <c r="R333" s="2" t="inlineStr"/>
    </row>
    <row r="334" ht="15" customHeight="1">
      <c r="A334" t="inlineStr">
        <is>
          <t>A 17298-2024</t>
        </is>
      </c>
      <c r="B334" s="1" t="n">
        <v>45414.486875</v>
      </c>
      <c r="C334" s="1" t="n">
        <v>46012</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row>
    <row r="335" ht="15" customHeight="1">
      <c r="A335" t="inlineStr">
        <is>
          <t>A 39696-2024</t>
        </is>
      </c>
      <c r="B335" s="1" t="n">
        <v>45552.57210648148</v>
      </c>
      <c r="C335" s="1" t="n">
        <v>46012</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41197-2022</t>
        </is>
      </c>
      <c r="B336" s="1" t="n">
        <v>44825</v>
      </c>
      <c r="C336" s="1" t="n">
        <v>46012</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9027-2025</t>
        </is>
      </c>
      <c r="B337" s="1" t="n">
        <v>45713.60719907407</v>
      </c>
      <c r="C337" s="1" t="n">
        <v>46012</v>
      </c>
      <c r="D337" t="inlineStr">
        <is>
          <t>JÄMTLANDS LÄN</t>
        </is>
      </c>
      <c r="E337" t="inlineStr">
        <is>
          <t>KROKOM</t>
        </is>
      </c>
      <c r="F337" t="inlineStr">
        <is>
          <t>Övriga Aktiebolag</t>
        </is>
      </c>
      <c r="G337" t="n">
        <v>5.4</v>
      </c>
      <c r="H337" t="n">
        <v>0</v>
      </c>
      <c r="I337" t="n">
        <v>0</v>
      </c>
      <c r="J337" t="n">
        <v>0</v>
      </c>
      <c r="K337" t="n">
        <v>0</v>
      </c>
      <c r="L337" t="n">
        <v>0</v>
      </c>
      <c r="M337" t="n">
        <v>0</v>
      </c>
      <c r="N337" t="n">
        <v>0</v>
      </c>
      <c r="O337" t="n">
        <v>0</v>
      </c>
      <c r="P337" t="n">
        <v>0</v>
      </c>
      <c r="Q337" t="n">
        <v>0</v>
      </c>
      <c r="R337" s="2" t="inlineStr"/>
    </row>
    <row r="338" ht="15" customHeight="1">
      <c r="A338" t="inlineStr">
        <is>
          <t>A 45827-2023</t>
        </is>
      </c>
      <c r="B338" s="1" t="n">
        <v>45195</v>
      </c>
      <c r="C338" s="1" t="n">
        <v>46012</v>
      </c>
      <c r="D338" t="inlineStr">
        <is>
          <t>JÄMTLANDS LÄN</t>
        </is>
      </c>
      <c r="E338" t="inlineStr">
        <is>
          <t>KROKOM</t>
        </is>
      </c>
      <c r="G338" t="n">
        <v>1.6</v>
      </c>
      <c r="H338" t="n">
        <v>0</v>
      </c>
      <c r="I338" t="n">
        <v>0</v>
      </c>
      <c r="J338" t="n">
        <v>0</v>
      </c>
      <c r="K338" t="n">
        <v>0</v>
      </c>
      <c r="L338" t="n">
        <v>0</v>
      </c>
      <c r="M338" t="n">
        <v>0</v>
      </c>
      <c r="N338" t="n">
        <v>0</v>
      </c>
      <c r="O338" t="n">
        <v>0</v>
      </c>
      <c r="P338" t="n">
        <v>0</v>
      </c>
      <c r="Q338" t="n">
        <v>0</v>
      </c>
      <c r="R338" s="2" t="inlineStr"/>
    </row>
    <row r="339" ht="15" customHeight="1">
      <c r="A339" t="inlineStr">
        <is>
          <t>A 6900-2024</t>
        </is>
      </c>
      <c r="B339" s="1" t="n">
        <v>45342</v>
      </c>
      <c r="C339" s="1" t="n">
        <v>46012</v>
      </c>
      <c r="D339" t="inlineStr">
        <is>
          <t>JÄMTLANDS LÄN</t>
        </is>
      </c>
      <c r="E339" t="inlineStr">
        <is>
          <t>KROKOM</t>
        </is>
      </c>
      <c r="F339" t="inlineStr">
        <is>
          <t>SCA</t>
        </is>
      </c>
      <c r="G339" t="n">
        <v>64.59999999999999</v>
      </c>
      <c r="H339" t="n">
        <v>0</v>
      </c>
      <c r="I339" t="n">
        <v>0</v>
      </c>
      <c r="J339" t="n">
        <v>0</v>
      </c>
      <c r="K339" t="n">
        <v>0</v>
      </c>
      <c r="L339" t="n">
        <v>0</v>
      </c>
      <c r="M339" t="n">
        <v>0</v>
      </c>
      <c r="N339" t="n">
        <v>0</v>
      </c>
      <c r="O339" t="n">
        <v>0</v>
      </c>
      <c r="P339" t="n">
        <v>0</v>
      </c>
      <c r="Q339" t="n">
        <v>0</v>
      </c>
      <c r="R339" s="2" t="inlineStr"/>
    </row>
    <row r="340" ht="15" customHeight="1">
      <c r="A340" t="inlineStr">
        <is>
          <t>A 6627-2025</t>
        </is>
      </c>
      <c r="B340" s="1" t="n">
        <v>45700.37127314815</v>
      </c>
      <c r="C340" s="1" t="n">
        <v>46012</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6629-2025</t>
        </is>
      </c>
      <c r="B341" s="1" t="n">
        <v>45700.37481481482</v>
      </c>
      <c r="C341" s="1" t="n">
        <v>46012</v>
      </c>
      <c r="D341" t="inlineStr">
        <is>
          <t>JÄMTLANDS LÄN</t>
        </is>
      </c>
      <c r="E341" t="inlineStr">
        <is>
          <t>KROKOM</t>
        </is>
      </c>
      <c r="F341" t="inlineStr">
        <is>
          <t>Övriga Aktiebolag</t>
        </is>
      </c>
      <c r="G341" t="n">
        <v>24.8</v>
      </c>
      <c r="H341" t="n">
        <v>0</v>
      </c>
      <c r="I341" t="n">
        <v>0</v>
      </c>
      <c r="J341" t="n">
        <v>0</v>
      </c>
      <c r="K341" t="n">
        <v>0</v>
      </c>
      <c r="L341" t="n">
        <v>0</v>
      </c>
      <c r="M341" t="n">
        <v>0</v>
      </c>
      <c r="N341" t="n">
        <v>0</v>
      </c>
      <c r="O341" t="n">
        <v>0</v>
      </c>
      <c r="P341" t="n">
        <v>0</v>
      </c>
      <c r="Q341" t="n">
        <v>0</v>
      </c>
      <c r="R341" s="2" t="inlineStr"/>
    </row>
    <row r="342" ht="15" customHeight="1">
      <c r="A342" t="inlineStr">
        <is>
          <t>A 35559-2024</t>
        </is>
      </c>
      <c r="B342" s="1" t="n">
        <v>45531.62141203704</v>
      </c>
      <c r="C342" s="1" t="n">
        <v>46012</v>
      </c>
      <c r="D342" t="inlineStr">
        <is>
          <t>JÄMTLANDS LÄN</t>
        </is>
      </c>
      <c r="E342" t="inlineStr">
        <is>
          <t>KROKOM</t>
        </is>
      </c>
      <c r="G342" t="n">
        <v>0.5</v>
      </c>
      <c r="H342" t="n">
        <v>0</v>
      </c>
      <c r="I342" t="n">
        <v>0</v>
      </c>
      <c r="J342" t="n">
        <v>0</v>
      </c>
      <c r="K342" t="n">
        <v>0</v>
      </c>
      <c r="L342" t="n">
        <v>0</v>
      </c>
      <c r="M342" t="n">
        <v>0</v>
      </c>
      <c r="N342" t="n">
        <v>0</v>
      </c>
      <c r="O342" t="n">
        <v>0</v>
      </c>
      <c r="P342" t="n">
        <v>0</v>
      </c>
      <c r="Q342" t="n">
        <v>0</v>
      </c>
      <c r="R342" s="2" t="inlineStr"/>
    </row>
    <row r="343" ht="15" customHeight="1">
      <c r="A343" t="inlineStr">
        <is>
          <t>A 16874-2024</t>
        </is>
      </c>
      <c r="B343" s="1" t="n">
        <v>45411</v>
      </c>
      <c r="C343" s="1" t="n">
        <v>46012</v>
      </c>
      <c r="D343" t="inlineStr">
        <is>
          <t>JÄMTLANDS LÄN</t>
        </is>
      </c>
      <c r="E343" t="inlineStr">
        <is>
          <t>KROKOM</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15432-2025</t>
        </is>
      </c>
      <c r="B344" s="1" t="n">
        <v>45747.47025462963</v>
      </c>
      <c r="C344" s="1" t="n">
        <v>46012</v>
      </c>
      <c r="D344" t="inlineStr">
        <is>
          <t>JÄMTLANDS LÄN</t>
        </is>
      </c>
      <c r="E344" t="inlineStr">
        <is>
          <t>KROKOM</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42210-2022</t>
        </is>
      </c>
      <c r="B345" s="1" t="n">
        <v>44830</v>
      </c>
      <c r="C345" s="1" t="n">
        <v>46012</v>
      </c>
      <c r="D345" t="inlineStr">
        <is>
          <t>JÄMTLANDS LÄN</t>
        </is>
      </c>
      <c r="E345" t="inlineStr">
        <is>
          <t>KROKOM</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21000-2021</t>
        </is>
      </c>
      <c r="B346" s="1" t="n">
        <v>44316</v>
      </c>
      <c r="C346" s="1" t="n">
        <v>46012</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43426-2022</t>
        </is>
      </c>
      <c r="B347" s="1" t="n">
        <v>44834.95019675926</v>
      </c>
      <c r="C347" s="1" t="n">
        <v>46012</v>
      </c>
      <c r="D347" t="inlineStr">
        <is>
          <t>JÄMTLANDS LÄN</t>
        </is>
      </c>
      <c r="E347" t="inlineStr">
        <is>
          <t>KROKOM</t>
        </is>
      </c>
      <c r="F347" t="inlineStr">
        <is>
          <t>SCA</t>
        </is>
      </c>
      <c r="G347" t="n">
        <v>34.4</v>
      </c>
      <c r="H347" t="n">
        <v>0</v>
      </c>
      <c r="I347" t="n">
        <v>0</v>
      </c>
      <c r="J347" t="n">
        <v>0</v>
      </c>
      <c r="K347" t="n">
        <v>0</v>
      </c>
      <c r="L347" t="n">
        <v>0</v>
      </c>
      <c r="M347" t="n">
        <v>0</v>
      </c>
      <c r="N347" t="n">
        <v>0</v>
      </c>
      <c r="O347" t="n">
        <v>0</v>
      </c>
      <c r="P347" t="n">
        <v>0</v>
      </c>
      <c r="Q347" t="n">
        <v>0</v>
      </c>
      <c r="R347" s="2" t="inlineStr"/>
    </row>
    <row r="348" ht="15" customHeight="1">
      <c r="A348" t="inlineStr">
        <is>
          <t>A 59293-2023</t>
        </is>
      </c>
      <c r="B348" s="1" t="n">
        <v>45253</v>
      </c>
      <c r="C348" s="1" t="n">
        <v>46012</v>
      </c>
      <c r="D348" t="inlineStr">
        <is>
          <t>JÄMTLANDS LÄN</t>
        </is>
      </c>
      <c r="E348" t="inlineStr">
        <is>
          <t>KROKOM</t>
        </is>
      </c>
      <c r="G348" t="n">
        <v>5.4</v>
      </c>
      <c r="H348" t="n">
        <v>0</v>
      </c>
      <c r="I348" t="n">
        <v>0</v>
      </c>
      <c r="J348" t="n">
        <v>0</v>
      </c>
      <c r="K348" t="n">
        <v>0</v>
      </c>
      <c r="L348" t="n">
        <v>0</v>
      </c>
      <c r="M348" t="n">
        <v>0</v>
      </c>
      <c r="N348" t="n">
        <v>0</v>
      </c>
      <c r="O348" t="n">
        <v>0</v>
      </c>
      <c r="P348" t="n">
        <v>0</v>
      </c>
      <c r="Q348" t="n">
        <v>0</v>
      </c>
      <c r="R348" s="2" t="inlineStr"/>
    </row>
    <row r="349" ht="15" customHeight="1">
      <c r="A349" t="inlineStr">
        <is>
          <t>A 53765-2022</t>
        </is>
      </c>
      <c r="B349" s="1" t="n">
        <v>44875</v>
      </c>
      <c r="C349" s="1" t="n">
        <v>46012</v>
      </c>
      <c r="D349" t="inlineStr">
        <is>
          <t>JÄMTLANDS LÄN</t>
        </is>
      </c>
      <c r="E349" t="inlineStr">
        <is>
          <t>KROKOM</t>
        </is>
      </c>
      <c r="G349" t="n">
        <v>6.4</v>
      </c>
      <c r="H349" t="n">
        <v>0</v>
      </c>
      <c r="I349" t="n">
        <v>0</v>
      </c>
      <c r="J349" t="n">
        <v>0</v>
      </c>
      <c r="K349" t="n">
        <v>0</v>
      </c>
      <c r="L349" t="n">
        <v>0</v>
      </c>
      <c r="M349" t="n">
        <v>0</v>
      </c>
      <c r="N349" t="n">
        <v>0</v>
      </c>
      <c r="O349" t="n">
        <v>0</v>
      </c>
      <c r="P349" t="n">
        <v>0</v>
      </c>
      <c r="Q349" t="n">
        <v>0</v>
      </c>
      <c r="R349" s="2" t="inlineStr"/>
    </row>
    <row r="350" ht="15" customHeight="1">
      <c r="A350" t="inlineStr">
        <is>
          <t>A 24387-2023</t>
        </is>
      </c>
      <c r="B350" s="1" t="n">
        <v>45082</v>
      </c>
      <c r="C350" s="1" t="n">
        <v>46012</v>
      </c>
      <c r="D350" t="inlineStr">
        <is>
          <t>JÄMTLANDS LÄN</t>
        </is>
      </c>
      <c r="E350" t="inlineStr">
        <is>
          <t>KROKOM</t>
        </is>
      </c>
      <c r="F350" t="inlineStr">
        <is>
          <t>Kyrkan</t>
        </is>
      </c>
      <c r="G350" t="n">
        <v>21.2</v>
      </c>
      <c r="H350" t="n">
        <v>0</v>
      </c>
      <c r="I350" t="n">
        <v>0</v>
      </c>
      <c r="J350" t="n">
        <v>0</v>
      </c>
      <c r="K350" t="n">
        <v>0</v>
      </c>
      <c r="L350" t="n">
        <v>0</v>
      </c>
      <c r="M350" t="n">
        <v>0</v>
      </c>
      <c r="N350" t="n">
        <v>0</v>
      </c>
      <c r="O350" t="n">
        <v>0</v>
      </c>
      <c r="P350" t="n">
        <v>0</v>
      </c>
      <c r="Q350" t="n">
        <v>0</v>
      </c>
      <c r="R350" s="2" t="inlineStr"/>
    </row>
    <row r="351" ht="15" customHeight="1">
      <c r="A351" t="inlineStr">
        <is>
          <t>A 58677-2023</t>
        </is>
      </c>
      <c r="B351" s="1" t="n">
        <v>45251.65152777778</v>
      </c>
      <c r="C351" s="1" t="n">
        <v>46012</v>
      </c>
      <c r="D351" t="inlineStr">
        <is>
          <t>JÄMTLANDS LÄN</t>
        </is>
      </c>
      <c r="E351" t="inlineStr">
        <is>
          <t>KROKOM</t>
        </is>
      </c>
      <c r="G351" t="n">
        <v>3.6</v>
      </c>
      <c r="H351" t="n">
        <v>0</v>
      </c>
      <c r="I351" t="n">
        <v>0</v>
      </c>
      <c r="J351" t="n">
        <v>0</v>
      </c>
      <c r="K351" t="n">
        <v>0</v>
      </c>
      <c r="L351" t="n">
        <v>0</v>
      </c>
      <c r="M351" t="n">
        <v>0</v>
      </c>
      <c r="N351" t="n">
        <v>0</v>
      </c>
      <c r="O351" t="n">
        <v>0</v>
      </c>
      <c r="P351" t="n">
        <v>0</v>
      </c>
      <c r="Q351" t="n">
        <v>0</v>
      </c>
      <c r="R351" s="2" t="inlineStr"/>
    </row>
    <row r="352" ht="15" customHeight="1">
      <c r="A352" t="inlineStr">
        <is>
          <t>A 14293-2025</t>
        </is>
      </c>
      <c r="B352" s="1" t="n">
        <v>45740</v>
      </c>
      <c r="C352" s="1" t="n">
        <v>46012</v>
      </c>
      <c r="D352" t="inlineStr">
        <is>
          <t>JÄMTLANDS LÄN</t>
        </is>
      </c>
      <c r="E352" t="inlineStr">
        <is>
          <t>KROKOM</t>
        </is>
      </c>
      <c r="G352" t="n">
        <v>2.5</v>
      </c>
      <c r="H352" t="n">
        <v>0</v>
      </c>
      <c r="I352" t="n">
        <v>0</v>
      </c>
      <c r="J352" t="n">
        <v>0</v>
      </c>
      <c r="K352" t="n">
        <v>0</v>
      </c>
      <c r="L352" t="n">
        <v>0</v>
      </c>
      <c r="M352" t="n">
        <v>0</v>
      </c>
      <c r="N352" t="n">
        <v>0</v>
      </c>
      <c r="O352" t="n">
        <v>0</v>
      </c>
      <c r="P352" t="n">
        <v>0</v>
      </c>
      <c r="Q352" t="n">
        <v>0</v>
      </c>
      <c r="R352" s="2" t="inlineStr"/>
    </row>
    <row r="353" ht="15" customHeight="1">
      <c r="A353" t="inlineStr">
        <is>
          <t>A 53402-2022</t>
        </is>
      </c>
      <c r="B353" s="1" t="n">
        <v>44874</v>
      </c>
      <c r="C353" s="1" t="n">
        <v>46012</v>
      </c>
      <c r="D353" t="inlineStr">
        <is>
          <t>JÄMTLANDS LÄN</t>
        </is>
      </c>
      <c r="E353" t="inlineStr">
        <is>
          <t>KROKOM</t>
        </is>
      </c>
      <c r="G353" t="n">
        <v>36.7</v>
      </c>
      <c r="H353" t="n">
        <v>0</v>
      </c>
      <c r="I353" t="n">
        <v>0</v>
      </c>
      <c r="J353" t="n">
        <v>0</v>
      </c>
      <c r="K353" t="n">
        <v>0</v>
      </c>
      <c r="L353" t="n">
        <v>0</v>
      </c>
      <c r="M353" t="n">
        <v>0</v>
      </c>
      <c r="N353" t="n">
        <v>0</v>
      </c>
      <c r="O353" t="n">
        <v>0</v>
      </c>
      <c r="P353" t="n">
        <v>0</v>
      </c>
      <c r="Q353" t="n">
        <v>0</v>
      </c>
      <c r="R353" s="2" t="inlineStr"/>
    </row>
    <row r="354" ht="15" customHeight="1">
      <c r="A354" t="inlineStr">
        <is>
          <t>A 43932-2024</t>
        </is>
      </c>
      <c r="B354" s="1" t="n">
        <v>45572.45601851852</v>
      </c>
      <c r="C354" s="1" t="n">
        <v>46012</v>
      </c>
      <c r="D354" t="inlineStr">
        <is>
          <t>JÄMTLANDS LÄN</t>
        </is>
      </c>
      <c r="E354" t="inlineStr">
        <is>
          <t>KROKOM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58347-2022</t>
        </is>
      </c>
      <c r="B355" s="1" t="n">
        <v>44901.59349537037</v>
      </c>
      <c r="C355" s="1" t="n">
        <v>46012</v>
      </c>
      <c r="D355" t="inlineStr">
        <is>
          <t>JÄMTLANDS LÄN</t>
        </is>
      </c>
      <c r="E355" t="inlineStr">
        <is>
          <t>KROKOM</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40271-2024</t>
        </is>
      </c>
      <c r="B356" s="1" t="n">
        <v>45554</v>
      </c>
      <c r="C356" s="1" t="n">
        <v>46012</v>
      </c>
      <c r="D356" t="inlineStr">
        <is>
          <t>JÄMTLANDS LÄN</t>
        </is>
      </c>
      <c r="E356" t="inlineStr">
        <is>
          <t>KROKOM</t>
        </is>
      </c>
      <c r="F356" t="inlineStr">
        <is>
          <t>Övriga Aktiebolag</t>
        </is>
      </c>
      <c r="G356" t="n">
        <v>3</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45471.63390046296</v>
      </c>
      <c r="C357" s="1" t="n">
        <v>46012</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55914-2023</t>
        </is>
      </c>
      <c r="B358" s="1" t="n">
        <v>45239.9681712963</v>
      </c>
      <c r="C358" s="1" t="n">
        <v>46012</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61615-2023</t>
        </is>
      </c>
      <c r="B359" s="1" t="n">
        <v>45265.52887731481</v>
      </c>
      <c r="C359" s="1" t="n">
        <v>46012</v>
      </c>
      <c r="D359" t="inlineStr">
        <is>
          <t>JÄMTLANDS LÄN</t>
        </is>
      </c>
      <c r="E359" t="inlineStr">
        <is>
          <t>KROKOM</t>
        </is>
      </c>
      <c r="G359" t="n">
        <v>3.9</v>
      </c>
      <c r="H359" t="n">
        <v>0</v>
      </c>
      <c r="I359" t="n">
        <v>0</v>
      </c>
      <c r="J359" t="n">
        <v>0</v>
      </c>
      <c r="K359" t="n">
        <v>0</v>
      </c>
      <c r="L359" t="n">
        <v>0</v>
      </c>
      <c r="M359" t="n">
        <v>0</v>
      </c>
      <c r="N359" t="n">
        <v>0</v>
      </c>
      <c r="O359" t="n">
        <v>0</v>
      </c>
      <c r="P359" t="n">
        <v>0</v>
      </c>
      <c r="Q359" t="n">
        <v>0</v>
      </c>
      <c r="R359" s="2" t="inlineStr"/>
    </row>
    <row r="360" ht="15" customHeight="1">
      <c r="A360" t="inlineStr">
        <is>
          <t>A 56361-2023</t>
        </is>
      </c>
      <c r="B360" s="1" t="n">
        <v>45243.37567129629</v>
      </c>
      <c r="C360" s="1" t="n">
        <v>46012</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14827-2024</t>
        </is>
      </c>
      <c r="B361" s="1" t="n">
        <v>45398</v>
      </c>
      <c r="C361" s="1" t="n">
        <v>46012</v>
      </c>
      <c r="D361" t="inlineStr">
        <is>
          <t>JÄMTLANDS LÄN</t>
        </is>
      </c>
      <c r="E361" t="inlineStr">
        <is>
          <t>KROKOM</t>
        </is>
      </c>
      <c r="G361" t="n">
        <v>10</v>
      </c>
      <c r="H361" t="n">
        <v>0</v>
      </c>
      <c r="I361" t="n">
        <v>0</v>
      </c>
      <c r="J361" t="n">
        <v>0</v>
      </c>
      <c r="K361" t="n">
        <v>0</v>
      </c>
      <c r="L361" t="n">
        <v>0</v>
      </c>
      <c r="M361" t="n">
        <v>0</v>
      </c>
      <c r="N361" t="n">
        <v>0</v>
      </c>
      <c r="O361" t="n">
        <v>0</v>
      </c>
      <c r="P361" t="n">
        <v>0</v>
      </c>
      <c r="Q361" t="n">
        <v>0</v>
      </c>
      <c r="R361" s="2" t="inlineStr"/>
    </row>
    <row r="362" ht="15" customHeight="1">
      <c r="A362" t="inlineStr">
        <is>
          <t>A 15638-2025</t>
        </is>
      </c>
      <c r="B362" s="1" t="n">
        <v>45748.3822337963</v>
      </c>
      <c r="C362" s="1" t="n">
        <v>46012</v>
      </c>
      <c r="D362" t="inlineStr">
        <is>
          <t>JÄMTLANDS LÄN</t>
        </is>
      </c>
      <c r="E362" t="inlineStr">
        <is>
          <t>KROKOM</t>
        </is>
      </c>
      <c r="F362" t="inlineStr">
        <is>
          <t>Kyrkan</t>
        </is>
      </c>
      <c r="G362" t="n">
        <v>5.9</v>
      </c>
      <c r="H362" t="n">
        <v>0</v>
      </c>
      <c r="I362" t="n">
        <v>0</v>
      </c>
      <c r="J362" t="n">
        <v>0</v>
      </c>
      <c r="K362" t="n">
        <v>0</v>
      </c>
      <c r="L362" t="n">
        <v>0</v>
      </c>
      <c r="M362" t="n">
        <v>0</v>
      </c>
      <c r="N362" t="n">
        <v>0</v>
      </c>
      <c r="O362" t="n">
        <v>0</v>
      </c>
      <c r="P362" t="n">
        <v>0</v>
      </c>
      <c r="Q362" t="n">
        <v>0</v>
      </c>
      <c r="R362" s="2" t="inlineStr"/>
    </row>
    <row r="363" ht="15" customHeight="1">
      <c r="A363" t="inlineStr">
        <is>
          <t>A 27597-2024</t>
        </is>
      </c>
      <c r="B363" s="1" t="n">
        <v>45474.69155092593</v>
      </c>
      <c r="C363" s="1" t="n">
        <v>46012</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36079-2021</t>
        </is>
      </c>
      <c r="B364" s="1" t="n">
        <v>44389</v>
      </c>
      <c r="C364" s="1" t="n">
        <v>46012</v>
      </c>
      <c r="D364" t="inlineStr">
        <is>
          <t>JÄMTLANDS LÄN</t>
        </is>
      </c>
      <c r="E364" t="inlineStr">
        <is>
          <t>KROKOM</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23665-2024</t>
        </is>
      </c>
      <c r="B365" s="1" t="n">
        <v>45454.57899305555</v>
      </c>
      <c r="C365" s="1" t="n">
        <v>46012</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36122-2022</t>
        </is>
      </c>
      <c r="B366" s="1" t="n">
        <v>44803</v>
      </c>
      <c r="C366" s="1" t="n">
        <v>46012</v>
      </c>
      <c r="D366" t="inlineStr">
        <is>
          <t>JÄMTLANDS LÄN</t>
        </is>
      </c>
      <c r="E366" t="inlineStr">
        <is>
          <t>KROKOM</t>
        </is>
      </c>
      <c r="G366" t="n">
        <v>5.7</v>
      </c>
      <c r="H366" t="n">
        <v>0</v>
      </c>
      <c r="I366" t="n">
        <v>0</v>
      </c>
      <c r="J366" t="n">
        <v>0</v>
      </c>
      <c r="K366" t="n">
        <v>0</v>
      </c>
      <c r="L366" t="n">
        <v>0</v>
      </c>
      <c r="M366" t="n">
        <v>0</v>
      </c>
      <c r="N366" t="n">
        <v>0</v>
      </c>
      <c r="O366" t="n">
        <v>0</v>
      </c>
      <c r="P366" t="n">
        <v>0</v>
      </c>
      <c r="Q366" t="n">
        <v>0</v>
      </c>
      <c r="R366" s="2" t="inlineStr"/>
    </row>
    <row r="367" ht="15" customHeight="1">
      <c r="A367" t="inlineStr">
        <is>
          <t>A 24333-2024</t>
        </is>
      </c>
      <c r="B367" s="1" t="n">
        <v>45457.55922453704</v>
      </c>
      <c r="C367" s="1" t="n">
        <v>46012</v>
      </c>
      <c r="D367" t="inlineStr">
        <is>
          <t>JÄMTLANDS LÄN</t>
        </is>
      </c>
      <c r="E367" t="inlineStr">
        <is>
          <t>KROKOM</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16817-2024</t>
        </is>
      </c>
      <c r="B368" s="1" t="n">
        <v>45411.4666087963</v>
      </c>
      <c r="C368" s="1" t="n">
        <v>46012</v>
      </c>
      <c r="D368" t="inlineStr">
        <is>
          <t>JÄMTLANDS LÄN</t>
        </is>
      </c>
      <c r="E368" t="inlineStr">
        <is>
          <t>KROKOM</t>
        </is>
      </c>
      <c r="F368" t="inlineStr">
        <is>
          <t>Övriga Aktiebolag</t>
        </is>
      </c>
      <c r="G368" t="n">
        <v>0.9</v>
      </c>
      <c r="H368" t="n">
        <v>0</v>
      </c>
      <c r="I368" t="n">
        <v>0</v>
      </c>
      <c r="J368" t="n">
        <v>0</v>
      </c>
      <c r="K368" t="n">
        <v>0</v>
      </c>
      <c r="L368" t="n">
        <v>0</v>
      </c>
      <c r="M368" t="n">
        <v>0</v>
      </c>
      <c r="N368" t="n">
        <v>0</v>
      </c>
      <c r="O368" t="n">
        <v>0</v>
      </c>
      <c r="P368" t="n">
        <v>0</v>
      </c>
      <c r="Q368" t="n">
        <v>0</v>
      </c>
      <c r="R368" s="2" t="inlineStr"/>
    </row>
    <row r="369" ht="15" customHeight="1">
      <c r="A369" t="inlineStr">
        <is>
          <t>A 58355-2023</t>
        </is>
      </c>
      <c r="B369" s="1" t="n">
        <v>45250</v>
      </c>
      <c r="C369" s="1" t="n">
        <v>46012</v>
      </c>
      <c r="D369" t="inlineStr">
        <is>
          <t>JÄMTLANDS LÄN</t>
        </is>
      </c>
      <c r="E369" t="inlineStr">
        <is>
          <t>KROKOM</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24234-2024</t>
        </is>
      </c>
      <c r="B370" s="1" t="n">
        <v>45457.35388888889</v>
      </c>
      <c r="C370" s="1" t="n">
        <v>46012</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52911-2023</t>
        </is>
      </c>
      <c r="B371" s="1" t="n">
        <v>45226</v>
      </c>
      <c r="C371" s="1" t="n">
        <v>46012</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14032-2024</t>
        </is>
      </c>
      <c r="B372" s="1" t="n">
        <v>45392</v>
      </c>
      <c r="C372" s="1" t="n">
        <v>46012</v>
      </c>
      <c r="D372" t="inlineStr">
        <is>
          <t>JÄMTLANDS LÄN</t>
        </is>
      </c>
      <c r="E372" t="inlineStr">
        <is>
          <t>KROKOM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28137-2023</t>
        </is>
      </c>
      <c r="B373" s="1" t="n">
        <v>45096</v>
      </c>
      <c r="C373" s="1" t="n">
        <v>46012</v>
      </c>
      <c r="D373" t="inlineStr">
        <is>
          <t>JÄMTLANDS LÄN</t>
        </is>
      </c>
      <c r="E373" t="inlineStr">
        <is>
          <t>KROKOM</t>
        </is>
      </c>
      <c r="G373" t="n">
        <v>1</v>
      </c>
      <c r="H373" t="n">
        <v>0</v>
      </c>
      <c r="I373" t="n">
        <v>0</v>
      </c>
      <c r="J373" t="n">
        <v>0</v>
      </c>
      <c r="K373" t="n">
        <v>0</v>
      </c>
      <c r="L373" t="n">
        <v>0</v>
      </c>
      <c r="M373" t="n">
        <v>0</v>
      </c>
      <c r="N373" t="n">
        <v>0</v>
      </c>
      <c r="O373" t="n">
        <v>0</v>
      </c>
      <c r="P373" t="n">
        <v>0</v>
      </c>
      <c r="Q373" t="n">
        <v>0</v>
      </c>
      <c r="R373" s="2" t="inlineStr"/>
    </row>
    <row r="374" ht="15" customHeight="1">
      <c r="A374" t="inlineStr">
        <is>
          <t>A 45869-2024</t>
        </is>
      </c>
      <c r="B374" s="1" t="n">
        <v>45580.36991898148</v>
      </c>
      <c r="C374" s="1" t="n">
        <v>46012</v>
      </c>
      <c r="D374" t="inlineStr">
        <is>
          <t>JÄMTLANDS LÄN</t>
        </is>
      </c>
      <c r="E374" t="inlineStr">
        <is>
          <t>KROKOM</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17417-2024</t>
        </is>
      </c>
      <c r="B375" s="1" t="n">
        <v>45414.96341435185</v>
      </c>
      <c r="C375" s="1" t="n">
        <v>46012</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27596-2024</t>
        </is>
      </c>
      <c r="B376" s="1" t="n">
        <v>45474.69074074074</v>
      </c>
      <c r="C376" s="1" t="n">
        <v>46012</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63960-2023</t>
        </is>
      </c>
      <c r="B377" s="1" t="n">
        <v>45278.65582175926</v>
      </c>
      <c r="C377" s="1" t="n">
        <v>46012</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26228-2024</t>
        </is>
      </c>
      <c r="B378" s="1" t="n">
        <v>45467</v>
      </c>
      <c r="C378" s="1" t="n">
        <v>46012</v>
      </c>
      <c r="D378" t="inlineStr">
        <is>
          <t>JÄMTLANDS LÄN</t>
        </is>
      </c>
      <c r="E378" t="inlineStr">
        <is>
          <t>KROKOM</t>
        </is>
      </c>
      <c r="G378" t="n">
        <v>12</v>
      </c>
      <c r="H378" t="n">
        <v>0</v>
      </c>
      <c r="I378" t="n">
        <v>0</v>
      </c>
      <c r="J378" t="n">
        <v>0</v>
      </c>
      <c r="K378" t="n">
        <v>0</v>
      </c>
      <c r="L378" t="n">
        <v>0</v>
      </c>
      <c r="M378" t="n">
        <v>0</v>
      </c>
      <c r="N378" t="n">
        <v>0</v>
      </c>
      <c r="O378" t="n">
        <v>0</v>
      </c>
      <c r="P378" t="n">
        <v>0</v>
      </c>
      <c r="Q378" t="n">
        <v>0</v>
      </c>
      <c r="R378" s="2" t="inlineStr"/>
    </row>
    <row r="379" ht="15" customHeight="1">
      <c r="A379" t="inlineStr">
        <is>
          <t>A 31550-2023</t>
        </is>
      </c>
      <c r="B379" s="1" t="n">
        <v>45117</v>
      </c>
      <c r="C379" s="1" t="n">
        <v>46012</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61675-2022</t>
        </is>
      </c>
      <c r="B380" s="1" t="n">
        <v>44911</v>
      </c>
      <c r="C380" s="1" t="n">
        <v>46012</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19635-2024</t>
        </is>
      </c>
      <c r="B381" s="1" t="n">
        <v>45432.36971064815</v>
      </c>
      <c r="C381" s="1" t="n">
        <v>46012</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22411-2024</t>
        </is>
      </c>
      <c r="B382" s="1" t="n">
        <v>45446.68733796296</v>
      </c>
      <c r="C382" s="1" t="n">
        <v>46012</v>
      </c>
      <c r="D382" t="inlineStr">
        <is>
          <t>JÄMTLANDS LÄN</t>
        </is>
      </c>
      <c r="E382" t="inlineStr">
        <is>
          <t>KROKOM</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24062-2025</t>
        </is>
      </c>
      <c r="B383" s="1" t="n">
        <v>45796.52836805556</v>
      </c>
      <c r="C383" s="1" t="n">
        <v>46012</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28067-2023</t>
        </is>
      </c>
      <c r="B384" s="1" t="n">
        <v>45099.37211805556</v>
      </c>
      <c r="C384" s="1" t="n">
        <v>46012</v>
      </c>
      <c r="D384" t="inlineStr">
        <is>
          <t>JÄMTLANDS LÄN</t>
        </is>
      </c>
      <c r="E384" t="inlineStr">
        <is>
          <t>KROKOM</t>
        </is>
      </c>
      <c r="G384" t="n">
        <v>2.8</v>
      </c>
      <c r="H384" t="n">
        <v>0</v>
      </c>
      <c r="I384" t="n">
        <v>0</v>
      </c>
      <c r="J384" t="n">
        <v>0</v>
      </c>
      <c r="K384" t="n">
        <v>0</v>
      </c>
      <c r="L384" t="n">
        <v>0</v>
      </c>
      <c r="M384" t="n">
        <v>0</v>
      </c>
      <c r="N384" t="n">
        <v>0</v>
      </c>
      <c r="O384" t="n">
        <v>0</v>
      </c>
      <c r="P384" t="n">
        <v>0</v>
      </c>
      <c r="Q384" t="n">
        <v>0</v>
      </c>
      <c r="R384" s="2" t="inlineStr"/>
    </row>
    <row r="385" ht="15" customHeight="1">
      <c r="A385" t="inlineStr">
        <is>
          <t>A 12412-2024</t>
        </is>
      </c>
      <c r="B385" s="1" t="n">
        <v>45378</v>
      </c>
      <c r="C385" s="1" t="n">
        <v>46012</v>
      </c>
      <c r="D385" t="inlineStr">
        <is>
          <t>JÄMTLANDS LÄN</t>
        </is>
      </c>
      <c r="E385" t="inlineStr">
        <is>
          <t>KROKOM</t>
        </is>
      </c>
      <c r="G385" t="n">
        <v>1.9</v>
      </c>
      <c r="H385" t="n">
        <v>0</v>
      </c>
      <c r="I385" t="n">
        <v>0</v>
      </c>
      <c r="J385" t="n">
        <v>0</v>
      </c>
      <c r="K385" t="n">
        <v>0</v>
      </c>
      <c r="L385" t="n">
        <v>0</v>
      </c>
      <c r="M385" t="n">
        <v>0</v>
      </c>
      <c r="N385" t="n">
        <v>0</v>
      </c>
      <c r="O385" t="n">
        <v>0</v>
      </c>
      <c r="P385" t="n">
        <v>0</v>
      </c>
      <c r="Q385" t="n">
        <v>0</v>
      </c>
      <c r="R385" s="2" t="inlineStr"/>
    </row>
    <row r="386" ht="15" customHeight="1">
      <c r="A386" t="inlineStr">
        <is>
          <t>A 4361-2025</t>
        </is>
      </c>
      <c r="B386" s="1" t="n">
        <v>45686.33310185185</v>
      </c>
      <c r="C386" s="1" t="n">
        <v>46012</v>
      </c>
      <c r="D386" t="inlineStr">
        <is>
          <t>JÄMTLANDS LÄN</t>
        </is>
      </c>
      <c r="E386" t="inlineStr">
        <is>
          <t>KROKOM</t>
        </is>
      </c>
      <c r="F386" t="inlineStr">
        <is>
          <t>SCA</t>
        </is>
      </c>
      <c r="G386" t="n">
        <v>13.7</v>
      </c>
      <c r="H386" t="n">
        <v>0</v>
      </c>
      <c r="I386" t="n">
        <v>0</v>
      </c>
      <c r="J386" t="n">
        <v>0</v>
      </c>
      <c r="K386" t="n">
        <v>0</v>
      </c>
      <c r="L386" t="n">
        <v>0</v>
      </c>
      <c r="M386" t="n">
        <v>0</v>
      </c>
      <c r="N386" t="n">
        <v>0</v>
      </c>
      <c r="O386" t="n">
        <v>0</v>
      </c>
      <c r="P386" t="n">
        <v>0</v>
      </c>
      <c r="Q386" t="n">
        <v>0</v>
      </c>
      <c r="R386" s="2" t="inlineStr"/>
    </row>
    <row r="387" ht="15" customHeight="1">
      <c r="A387" t="inlineStr">
        <is>
          <t>A 34517-2024</t>
        </is>
      </c>
      <c r="B387" s="1" t="n">
        <v>45525</v>
      </c>
      <c r="C387" s="1" t="n">
        <v>46012</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6148-2025</t>
        </is>
      </c>
      <c r="B388" s="1" t="n">
        <v>45698.40146990741</v>
      </c>
      <c r="C388" s="1" t="n">
        <v>46012</v>
      </c>
      <c r="D388" t="inlineStr">
        <is>
          <t>JÄMTLANDS LÄN</t>
        </is>
      </c>
      <c r="E388" t="inlineStr">
        <is>
          <t>KROKOM</t>
        </is>
      </c>
      <c r="G388" t="n">
        <v>43.6</v>
      </c>
      <c r="H388" t="n">
        <v>0</v>
      </c>
      <c r="I388" t="n">
        <v>0</v>
      </c>
      <c r="J388" t="n">
        <v>0</v>
      </c>
      <c r="K388" t="n">
        <v>0</v>
      </c>
      <c r="L388" t="n">
        <v>0</v>
      </c>
      <c r="M388" t="n">
        <v>0</v>
      </c>
      <c r="N388" t="n">
        <v>0</v>
      </c>
      <c r="O388" t="n">
        <v>0</v>
      </c>
      <c r="P388" t="n">
        <v>0</v>
      </c>
      <c r="Q388" t="n">
        <v>0</v>
      </c>
      <c r="R388" s="2" t="inlineStr"/>
    </row>
    <row r="389" ht="15" customHeight="1">
      <c r="A389" t="inlineStr">
        <is>
          <t>A 2236-2024</t>
        </is>
      </c>
      <c r="B389" s="1" t="n">
        <v>45309.94650462963</v>
      </c>
      <c r="C389" s="1" t="n">
        <v>46012</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7767-2025</t>
        </is>
      </c>
      <c r="B390" s="1" t="n">
        <v>45706.55993055556</v>
      </c>
      <c r="C390" s="1" t="n">
        <v>46012</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46012</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5998-2025</t>
        </is>
      </c>
      <c r="B392" s="1" t="n">
        <v>45695.57171296296</v>
      </c>
      <c r="C392" s="1" t="n">
        <v>46012</v>
      </c>
      <c r="D392" t="inlineStr">
        <is>
          <t>JÄMTLANDS LÄN</t>
        </is>
      </c>
      <c r="E392" t="inlineStr">
        <is>
          <t>KROKOM</t>
        </is>
      </c>
      <c r="F392" t="inlineStr">
        <is>
          <t>Övriga Aktiebolag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38416-2025</t>
        </is>
      </c>
      <c r="B393" s="1" t="n">
        <v>45883.61028935185</v>
      </c>
      <c r="C393" s="1" t="n">
        <v>46012</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52258-2022</t>
        </is>
      </c>
      <c r="B394" s="1" t="n">
        <v>44873</v>
      </c>
      <c r="C394" s="1" t="n">
        <v>46012</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29524-2024</t>
        </is>
      </c>
      <c r="B395" s="1" t="n">
        <v>45484</v>
      </c>
      <c r="C395" s="1" t="n">
        <v>46012</v>
      </c>
      <c r="D395" t="inlineStr">
        <is>
          <t>JÄMTLANDS LÄN</t>
        </is>
      </c>
      <c r="E395" t="inlineStr">
        <is>
          <t>KROKOM</t>
        </is>
      </c>
      <c r="F395" t="inlineStr">
        <is>
          <t>Övriga Aktiebolag</t>
        </is>
      </c>
      <c r="G395" t="n">
        <v>10.6</v>
      </c>
      <c r="H395" t="n">
        <v>0</v>
      </c>
      <c r="I395" t="n">
        <v>0</v>
      </c>
      <c r="J395" t="n">
        <v>0</v>
      </c>
      <c r="K395" t="n">
        <v>0</v>
      </c>
      <c r="L395" t="n">
        <v>0</v>
      </c>
      <c r="M395" t="n">
        <v>0</v>
      </c>
      <c r="N395" t="n">
        <v>0</v>
      </c>
      <c r="O395" t="n">
        <v>0</v>
      </c>
      <c r="P395" t="n">
        <v>0</v>
      </c>
      <c r="Q395" t="n">
        <v>0</v>
      </c>
      <c r="R395" s="2" t="inlineStr"/>
    </row>
    <row r="396" ht="15" customHeight="1">
      <c r="A396" t="inlineStr">
        <is>
          <t>A 22629-2022</t>
        </is>
      </c>
      <c r="B396" s="1" t="n">
        <v>44714.438125</v>
      </c>
      <c r="C396" s="1" t="n">
        <v>46012</v>
      </c>
      <c r="D396" t="inlineStr">
        <is>
          <t>JÄMTLANDS LÄN</t>
        </is>
      </c>
      <c r="E396" t="inlineStr">
        <is>
          <t>KROKOM</t>
        </is>
      </c>
      <c r="G396" t="n">
        <v>17.1</v>
      </c>
      <c r="H396" t="n">
        <v>0</v>
      </c>
      <c r="I396" t="n">
        <v>0</v>
      </c>
      <c r="J396" t="n">
        <v>0</v>
      </c>
      <c r="K396" t="n">
        <v>0</v>
      </c>
      <c r="L396" t="n">
        <v>0</v>
      </c>
      <c r="M396" t="n">
        <v>0</v>
      </c>
      <c r="N396" t="n">
        <v>0</v>
      </c>
      <c r="O396" t="n">
        <v>0</v>
      </c>
      <c r="P396" t="n">
        <v>0</v>
      </c>
      <c r="Q396" t="n">
        <v>0</v>
      </c>
      <c r="R396" s="2" t="inlineStr"/>
    </row>
    <row r="397" ht="15" customHeight="1">
      <c r="A397" t="inlineStr">
        <is>
          <t>A 28210-2024</t>
        </is>
      </c>
      <c r="B397" s="1" t="n">
        <v>45477.35225694445</v>
      </c>
      <c r="C397" s="1" t="n">
        <v>46012</v>
      </c>
      <c r="D397" t="inlineStr">
        <is>
          <t>JÄMTLANDS LÄN</t>
        </is>
      </c>
      <c r="E397" t="inlineStr">
        <is>
          <t>KROKOM</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24649-2025</t>
        </is>
      </c>
      <c r="B398" s="1" t="n">
        <v>45798.63611111111</v>
      </c>
      <c r="C398" s="1" t="n">
        <v>46012</v>
      </c>
      <c r="D398" t="inlineStr">
        <is>
          <t>JÄMTLANDS LÄN</t>
        </is>
      </c>
      <c r="E398" t="inlineStr">
        <is>
          <t>KROKOM</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25302-2025</t>
        </is>
      </c>
      <c r="B399" s="1" t="n">
        <v>45800.57129629629</v>
      </c>
      <c r="C399" s="1" t="n">
        <v>46012</v>
      </c>
      <c r="D399" t="inlineStr">
        <is>
          <t>JÄMTLANDS LÄN</t>
        </is>
      </c>
      <c r="E399" t="inlineStr">
        <is>
          <t>KROKOM</t>
        </is>
      </c>
      <c r="G399" t="n">
        <v>1.6</v>
      </c>
      <c r="H399" t="n">
        <v>0</v>
      </c>
      <c r="I399" t="n">
        <v>0</v>
      </c>
      <c r="J399" t="n">
        <v>0</v>
      </c>
      <c r="K399" t="n">
        <v>0</v>
      </c>
      <c r="L399" t="n">
        <v>0</v>
      </c>
      <c r="M399" t="n">
        <v>0</v>
      </c>
      <c r="N399" t="n">
        <v>0</v>
      </c>
      <c r="O399" t="n">
        <v>0</v>
      </c>
      <c r="P399" t="n">
        <v>0</v>
      </c>
      <c r="Q399" t="n">
        <v>0</v>
      </c>
      <c r="R399" s="2" t="inlineStr"/>
    </row>
    <row r="400" ht="15" customHeight="1">
      <c r="A400" t="inlineStr">
        <is>
          <t>A 25312-2025</t>
        </is>
      </c>
      <c r="B400" s="1" t="n">
        <v>45800.57461805556</v>
      </c>
      <c r="C400" s="1" t="n">
        <v>46012</v>
      </c>
      <c r="D400" t="inlineStr">
        <is>
          <t>JÄMTLANDS LÄN</t>
        </is>
      </c>
      <c r="E400" t="inlineStr">
        <is>
          <t>KROKOM</t>
        </is>
      </c>
      <c r="G400" t="n">
        <v>3.2</v>
      </c>
      <c r="H400" t="n">
        <v>0</v>
      </c>
      <c r="I400" t="n">
        <v>0</v>
      </c>
      <c r="J400" t="n">
        <v>0</v>
      </c>
      <c r="K400" t="n">
        <v>0</v>
      </c>
      <c r="L400" t="n">
        <v>0</v>
      </c>
      <c r="M400" t="n">
        <v>0</v>
      </c>
      <c r="N400" t="n">
        <v>0</v>
      </c>
      <c r="O400" t="n">
        <v>0</v>
      </c>
      <c r="P400" t="n">
        <v>0</v>
      </c>
      <c r="Q400" t="n">
        <v>0</v>
      </c>
      <c r="R400" s="2" t="inlineStr"/>
    </row>
    <row r="401" ht="15" customHeight="1">
      <c r="A401" t="inlineStr">
        <is>
          <t>A 35720-2024</t>
        </is>
      </c>
      <c r="B401" s="1" t="n">
        <v>45532.48732638889</v>
      </c>
      <c r="C401" s="1" t="n">
        <v>46012</v>
      </c>
      <c r="D401" t="inlineStr">
        <is>
          <t>JÄMTLANDS LÄN</t>
        </is>
      </c>
      <c r="E401" t="inlineStr">
        <is>
          <t>KROKOM</t>
        </is>
      </c>
      <c r="G401" t="n">
        <v>3.2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46012</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25295-2025</t>
        </is>
      </c>
      <c r="B403" s="1" t="n">
        <v>45800.56810185185</v>
      </c>
      <c r="C403" s="1" t="n">
        <v>46012</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46012</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233-2023</t>
        </is>
      </c>
      <c r="B405" s="1" t="n">
        <v>44922</v>
      </c>
      <c r="C405" s="1" t="n">
        <v>46012</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25398-2025</t>
        </is>
      </c>
      <c r="B406" s="1" t="n">
        <v>45800.65177083333</v>
      </c>
      <c r="C406" s="1" t="n">
        <v>46012</v>
      </c>
      <c r="D406" t="inlineStr">
        <is>
          <t>JÄMTLANDS LÄN</t>
        </is>
      </c>
      <c r="E406" t="inlineStr">
        <is>
          <t>KROKOM</t>
        </is>
      </c>
      <c r="G406" t="n">
        <v>3.4</v>
      </c>
      <c r="H406" t="n">
        <v>0</v>
      </c>
      <c r="I406" t="n">
        <v>0</v>
      </c>
      <c r="J406" t="n">
        <v>0</v>
      </c>
      <c r="K406" t="n">
        <v>0</v>
      </c>
      <c r="L406" t="n">
        <v>0</v>
      </c>
      <c r="M406" t="n">
        <v>0</v>
      </c>
      <c r="N406" t="n">
        <v>0</v>
      </c>
      <c r="O406" t="n">
        <v>0</v>
      </c>
      <c r="P406" t="n">
        <v>0</v>
      </c>
      <c r="Q406" t="n">
        <v>0</v>
      </c>
      <c r="R406" s="2" t="inlineStr"/>
    </row>
    <row r="407" ht="15" customHeight="1">
      <c r="A407" t="inlineStr">
        <is>
          <t>A 25386-2025</t>
        </is>
      </c>
      <c r="B407" s="1" t="n">
        <v>45800.64319444444</v>
      </c>
      <c r="C407" s="1" t="n">
        <v>46012</v>
      </c>
      <c r="D407" t="inlineStr">
        <is>
          <t>JÄMTLANDS LÄN</t>
        </is>
      </c>
      <c r="E407" t="inlineStr">
        <is>
          <t>KROKOM</t>
        </is>
      </c>
      <c r="G407" t="n">
        <v>11.9</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46012</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4058-2025</t>
        </is>
      </c>
      <c r="B409" s="1" t="n">
        <v>45684.62510416667</v>
      </c>
      <c r="C409" s="1" t="n">
        <v>46012</v>
      </c>
      <c r="D409" t="inlineStr">
        <is>
          <t>JÄMTLANDS LÄN</t>
        </is>
      </c>
      <c r="E409" t="inlineStr">
        <is>
          <t>KROKOM</t>
        </is>
      </c>
      <c r="F409" t="inlineStr">
        <is>
          <t>Kyrkan</t>
        </is>
      </c>
      <c r="G409" t="n">
        <v>7.8</v>
      </c>
      <c r="H409" t="n">
        <v>0</v>
      </c>
      <c r="I409" t="n">
        <v>0</v>
      </c>
      <c r="J409" t="n">
        <v>0</v>
      </c>
      <c r="K409" t="n">
        <v>0</v>
      </c>
      <c r="L409" t="n">
        <v>0</v>
      </c>
      <c r="M409" t="n">
        <v>0</v>
      </c>
      <c r="N409" t="n">
        <v>0</v>
      </c>
      <c r="O409" t="n">
        <v>0</v>
      </c>
      <c r="P409" t="n">
        <v>0</v>
      </c>
      <c r="Q409" t="n">
        <v>0</v>
      </c>
      <c r="R409" s="2" t="inlineStr"/>
    </row>
    <row r="410" ht="15" customHeight="1">
      <c r="A410" t="inlineStr">
        <is>
          <t>A 15341-2025</t>
        </is>
      </c>
      <c r="B410" s="1" t="n">
        <v>45746</v>
      </c>
      <c r="C410" s="1" t="n">
        <v>46012</v>
      </c>
      <c r="D410" t="inlineStr">
        <is>
          <t>JÄMTLANDS LÄN</t>
        </is>
      </c>
      <c r="E410" t="inlineStr">
        <is>
          <t>KROKOM</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25681-2025</t>
        </is>
      </c>
      <c r="B411" s="1" t="n">
        <v>45800</v>
      </c>
      <c r="C411" s="1" t="n">
        <v>46012</v>
      </c>
      <c r="D411" t="inlineStr">
        <is>
          <t>JÄMTLANDS LÄN</t>
        </is>
      </c>
      <c r="E411" t="inlineStr">
        <is>
          <t>KROKOM</t>
        </is>
      </c>
      <c r="G411" t="n">
        <v>12</v>
      </c>
      <c r="H411" t="n">
        <v>0</v>
      </c>
      <c r="I411" t="n">
        <v>0</v>
      </c>
      <c r="J411" t="n">
        <v>0</v>
      </c>
      <c r="K411" t="n">
        <v>0</v>
      </c>
      <c r="L411" t="n">
        <v>0</v>
      </c>
      <c r="M411" t="n">
        <v>0</v>
      </c>
      <c r="N411" t="n">
        <v>0</v>
      </c>
      <c r="O411" t="n">
        <v>0</v>
      </c>
      <c r="P411" t="n">
        <v>0</v>
      </c>
      <c r="Q411" t="n">
        <v>0</v>
      </c>
      <c r="R411" s="2" t="inlineStr"/>
    </row>
    <row r="412" ht="15" customHeight="1">
      <c r="A412" t="inlineStr">
        <is>
          <t>A 38850-2025</t>
        </is>
      </c>
      <c r="B412" s="1" t="n">
        <v>45887.55252314815</v>
      </c>
      <c r="C412" s="1" t="n">
        <v>46012</v>
      </c>
      <c r="D412" t="inlineStr">
        <is>
          <t>JÄMTLANDS LÄN</t>
        </is>
      </c>
      <c r="E412" t="inlineStr">
        <is>
          <t>KROKOM</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38894-2025</t>
        </is>
      </c>
      <c r="B413" s="1" t="n">
        <v>45887.59064814815</v>
      </c>
      <c r="C413" s="1" t="n">
        <v>46012</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46012</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46012</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38789-2025</t>
        </is>
      </c>
      <c r="B416" s="1" t="n">
        <v>45887.44883101852</v>
      </c>
      <c r="C416" s="1" t="n">
        <v>46012</v>
      </c>
      <c r="D416" t="inlineStr">
        <is>
          <t>JÄMTLANDS LÄN</t>
        </is>
      </c>
      <c r="E416" t="inlineStr">
        <is>
          <t>KROKOM</t>
        </is>
      </c>
      <c r="G416" t="n">
        <v>3.7</v>
      </c>
      <c r="H416" t="n">
        <v>0</v>
      </c>
      <c r="I416" t="n">
        <v>0</v>
      </c>
      <c r="J416" t="n">
        <v>0</v>
      </c>
      <c r="K416" t="n">
        <v>0</v>
      </c>
      <c r="L416" t="n">
        <v>0</v>
      </c>
      <c r="M416" t="n">
        <v>0</v>
      </c>
      <c r="N416" t="n">
        <v>0</v>
      </c>
      <c r="O416" t="n">
        <v>0</v>
      </c>
      <c r="P416" t="n">
        <v>0</v>
      </c>
      <c r="Q416" t="n">
        <v>0</v>
      </c>
      <c r="R416" s="2" t="inlineStr"/>
    </row>
    <row r="417" ht="15" customHeight="1">
      <c r="A417" t="inlineStr">
        <is>
          <t>A 25710-2025</t>
        </is>
      </c>
      <c r="B417" s="1" t="n">
        <v>45803.6837962963</v>
      </c>
      <c r="C417" s="1" t="n">
        <v>46012</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58734-2024</t>
        </is>
      </c>
      <c r="B418" s="1" t="n">
        <v>45635.67949074074</v>
      </c>
      <c r="C418" s="1" t="n">
        <v>46012</v>
      </c>
      <c r="D418" t="inlineStr">
        <is>
          <t>JÄMTLANDS LÄN</t>
        </is>
      </c>
      <c r="E418" t="inlineStr">
        <is>
          <t>KROKOM</t>
        </is>
      </c>
      <c r="G418" t="n">
        <v>3.4</v>
      </c>
      <c r="H418" t="n">
        <v>0</v>
      </c>
      <c r="I418" t="n">
        <v>0</v>
      </c>
      <c r="J418" t="n">
        <v>0</v>
      </c>
      <c r="K418" t="n">
        <v>0</v>
      </c>
      <c r="L418" t="n">
        <v>0</v>
      </c>
      <c r="M418" t="n">
        <v>0</v>
      </c>
      <c r="N418" t="n">
        <v>0</v>
      </c>
      <c r="O418" t="n">
        <v>0</v>
      </c>
      <c r="P418" t="n">
        <v>0</v>
      </c>
      <c r="Q418" t="n">
        <v>0</v>
      </c>
      <c r="R418" s="2" t="inlineStr"/>
    </row>
    <row r="419" ht="15" customHeight="1">
      <c r="A419" t="inlineStr">
        <is>
          <t>A 52111-2024</t>
        </is>
      </c>
      <c r="B419" s="1" t="n">
        <v>45608.43930555556</v>
      </c>
      <c r="C419" s="1" t="n">
        <v>46012</v>
      </c>
      <c r="D419" t="inlineStr">
        <is>
          <t>JÄMTLANDS LÄN</t>
        </is>
      </c>
      <c r="E419" t="inlineStr">
        <is>
          <t>KROKOM</t>
        </is>
      </c>
      <c r="G419" t="n">
        <v>0.7</v>
      </c>
      <c r="H419" t="n">
        <v>0</v>
      </c>
      <c r="I419" t="n">
        <v>0</v>
      </c>
      <c r="J419" t="n">
        <v>0</v>
      </c>
      <c r="K419" t="n">
        <v>0</v>
      </c>
      <c r="L419" t="n">
        <v>0</v>
      </c>
      <c r="M419" t="n">
        <v>0</v>
      </c>
      <c r="N419" t="n">
        <v>0</v>
      </c>
      <c r="O419" t="n">
        <v>0</v>
      </c>
      <c r="P419" t="n">
        <v>0</v>
      </c>
      <c r="Q419" t="n">
        <v>0</v>
      </c>
      <c r="R419" s="2" t="inlineStr"/>
    </row>
    <row r="420" ht="15" customHeight="1">
      <c r="A420" t="inlineStr">
        <is>
          <t>A 44154-2024</t>
        </is>
      </c>
      <c r="B420" s="1" t="n">
        <v>45572</v>
      </c>
      <c r="C420" s="1" t="n">
        <v>46012</v>
      </c>
      <c r="D420" t="inlineStr">
        <is>
          <t>JÄMTLANDS LÄN</t>
        </is>
      </c>
      <c r="E420" t="inlineStr">
        <is>
          <t>KROKOM</t>
        </is>
      </c>
      <c r="F420" t="inlineStr">
        <is>
          <t>SCA</t>
        </is>
      </c>
      <c r="G420" t="n">
        <v>28.9</v>
      </c>
      <c r="H420" t="n">
        <v>0</v>
      </c>
      <c r="I420" t="n">
        <v>0</v>
      </c>
      <c r="J420" t="n">
        <v>0</v>
      </c>
      <c r="K420" t="n">
        <v>0</v>
      </c>
      <c r="L420" t="n">
        <v>0</v>
      </c>
      <c r="M420" t="n">
        <v>0</v>
      </c>
      <c r="N420" t="n">
        <v>0</v>
      </c>
      <c r="O420" t="n">
        <v>0</v>
      </c>
      <c r="P420" t="n">
        <v>0</v>
      </c>
      <c r="Q420" t="n">
        <v>0</v>
      </c>
      <c r="R420" s="2" t="inlineStr"/>
    </row>
    <row r="421" ht="15" customHeight="1">
      <c r="A421" t="inlineStr">
        <is>
          <t>A 38885-2025</t>
        </is>
      </c>
      <c r="B421" s="1" t="n">
        <v>45887.58372685185</v>
      </c>
      <c r="C421" s="1" t="n">
        <v>46012</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39205-2025</t>
        </is>
      </c>
      <c r="B422" s="1" t="n">
        <v>45888.72445601852</v>
      </c>
      <c r="C422" s="1" t="n">
        <v>46012</v>
      </c>
      <c r="D422" t="inlineStr">
        <is>
          <t>JÄMTLANDS LÄN</t>
        </is>
      </c>
      <c r="E422" t="inlineStr">
        <is>
          <t>KROKOM</t>
        </is>
      </c>
      <c r="F422" t="inlineStr">
        <is>
          <t>Kyrkan</t>
        </is>
      </c>
      <c r="G422" t="n">
        <v>20.6</v>
      </c>
      <c r="H422" t="n">
        <v>0</v>
      </c>
      <c r="I422" t="n">
        <v>0</v>
      </c>
      <c r="J422" t="n">
        <v>0</v>
      </c>
      <c r="K422" t="n">
        <v>0</v>
      </c>
      <c r="L422" t="n">
        <v>0</v>
      </c>
      <c r="M422" t="n">
        <v>0</v>
      </c>
      <c r="N422" t="n">
        <v>0</v>
      </c>
      <c r="O422" t="n">
        <v>0</v>
      </c>
      <c r="P422" t="n">
        <v>0</v>
      </c>
      <c r="Q422" t="n">
        <v>0</v>
      </c>
      <c r="R422" s="2" t="inlineStr"/>
    </row>
    <row r="423" ht="15" customHeight="1">
      <c r="A423" t="inlineStr">
        <is>
          <t>A 4608-2025</t>
        </is>
      </c>
      <c r="B423" s="1" t="n">
        <v>45687</v>
      </c>
      <c r="C423" s="1" t="n">
        <v>46012</v>
      </c>
      <c r="D423" t="inlineStr">
        <is>
          <t>JÄMTLANDS LÄN</t>
        </is>
      </c>
      <c r="E423" t="inlineStr">
        <is>
          <t>KROKOM</t>
        </is>
      </c>
      <c r="F423" t="inlineStr">
        <is>
          <t>SCA</t>
        </is>
      </c>
      <c r="G423" t="n">
        <v>16.6</v>
      </c>
      <c r="H423" t="n">
        <v>0</v>
      </c>
      <c r="I423" t="n">
        <v>0</v>
      </c>
      <c r="J423" t="n">
        <v>0</v>
      </c>
      <c r="K423" t="n">
        <v>0</v>
      </c>
      <c r="L423" t="n">
        <v>0</v>
      </c>
      <c r="M423" t="n">
        <v>0</v>
      </c>
      <c r="N423" t="n">
        <v>0</v>
      </c>
      <c r="O423" t="n">
        <v>0</v>
      </c>
      <c r="P423" t="n">
        <v>0</v>
      </c>
      <c r="Q423" t="n">
        <v>0</v>
      </c>
      <c r="R423" s="2" t="inlineStr"/>
    </row>
    <row r="424" ht="15" customHeight="1">
      <c r="A424" t="inlineStr">
        <is>
          <t>A 61078-2023</t>
        </is>
      </c>
      <c r="B424" s="1" t="n">
        <v>45261</v>
      </c>
      <c r="C424" s="1" t="n">
        <v>46012</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10498-2025</t>
        </is>
      </c>
      <c r="B425" s="1" t="n">
        <v>45721</v>
      </c>
      <c r="C425" s="1" t="n">
        <v>46012</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26212-2025</t>
        </is>
      </c>
      <c r="B426" s="1" t="n">
        <v>45805.54185185185</v>
      </c>
      <c r="C426" s="1" t="n">
        <v>46012</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16345-2025</t>
        </is>
      </c>
      <c r="B427" s="1" t="n">
        <v>45751.3734837963</v>
      </c>
      <c r="C427" s="1" t="n">
        <v>46012</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16481-2025</t>
        </is>
      </c>
      <c r="B428" s="1" t="n">
        <v>45751.57877314815</v>
      </c>
      <c r="C428" s="1" t="n">
        <v>46012</v>
      </c>
      <c r="D428" t="inlineStr">
        <is>
          <t>JÄMTLANDS LÄN</t>
        </is>
      </c>
      <c r="E428" t="inlineStr">
        <is>
          <t>KROKOM</t>
        </is>
      </c>
      <c r="G428" t="n">
        <v>8.4</v>
      </c>
      <c r="H428" t="n">
        <v>0</v>
      </c>
      <c r="I428" t="n">
        <v>0</v>
      </c>
      <c r="J428" t="n">
        <v>0</v>
      </c>
      <c r="K428" t="n">
        <v>0</v>
      </c>
      <c r="L428" t="n">
        <v>0</v>
      </c>
      <c r="M428" t="n">
        <v>0</v>
      </c>
      <c r="N428" t="n">
        <v>0</v>
      </c>
      <c r="O428" t="n">
        <v>0</v>
      </c>
      <c r="P428" t="n">
        <v>0</v>
      </c>
      <c r="Q428" t="n">
        <v>0</v>
      </c>
      <c r="R428" s="2" t="inlineStr"/>
    </row>
    <row r="429" ht="15" customHeight="1">
      <c r="A429" t="inlineStr">
        <is>
          <t>A 12838-2025</t>
        </is>
      </c>
      <c r="B429" s="1" t="n">
        <v>45733</v>
      </c>
      <c r="C429" s="1" t="n">
        <v>46012</v>
      </c>
      <c r="D429" t="inlineStr">
        <is>
          <t>JÄMTLANDS LÄN</t>
        </is>
      </c>
      <c r="E429" t="inlineStr">
        <is>
          <t>KROKOM</t>
        </is>
      </c>
      <c r="G429" t="n">
        <v>59.3</v>
      </c>
      <c r="H429" t="n">
        <v>0</v>
      </c>
      <c r="I429" t="n">
        <v>0</v>
      </c>
      <c r="J429" t="n">
        <v>0</v>
      </c>
      <c r="K429" t="n">
        <v>0</v>
      </c>
      <c r="L429" t="n">
        <v>0</v>
      </c>
      <c r="M429" t="n">
        <v>0</v>
      </c>
      <c r="N429" t="n">
        <v>0</v>
      </c>
      <c r="O429" t="n">
        <v>0</v>
      </c>
      <c r="P429" t="n">
        <v>0</v>
      </c>
      <c r="Q429" t="n">
        <v>0</v>
      </c>
      <c r="R429" s="2" t="inlineStr"/>
    </row>
    <row r="430" ht="15" customHeight="1">
      <c r="A430" t="inlineStr">
        <is>
          <t>A 26272-2025</t>
        </is>
      </c>
      <c r="B430" s="1" t="n">
        <v>45805</v>
      </c>
      <c r="C430" s="1" t="n">
        <v>46012</v>
      </c>
      <c r="D430" t="inlineStr">
        <is>
          <t>JÄMTLANDS LÄN</t>
        </is>
      </c>
      <c r="E430" t="inlineStr">
        <is>
          <t>KROKOM</t>
        </is>
      </c>
      <c r="G430" t="n">
        <v>22.4</v>
      </c>
      <c r="H430" t="n">
        <v>0</v>
      </c>
      <c r="I430" t="n">
        <v>0</v>
      </c>
      <c r="J430" t="n">
        <v>0</v>
      </c>
      <c r="K430" t="n">
        <v>0</v>
      </c>
      <c r="L430" t="n">
        <v>0</v>
      </c>
      <c r="M430" t="n">
        <v>0</v>
      </c>
      <c r="N430" t="n">
        <v>0</v>
      </c>
      <c r="O430" t="n">
        <v>0</v>
      </c>
      <c r="P430" t="n">
        <v>0</v>
      </c>
      <c r="Q430" t="n">
        <v>0</v>
      </c>
      <c r="R430" s="2" t="inlineStr"/>
    </row>
    <row r="431" ht="15" customHeight="1">
      <c r="A431" t="inlineStr">
        <is>
          <t>A 54037-2021</t>
        </is>
      </c>
      <c r="B431" s="1" t="n">
        <v>44470</v>
      </c>
      <c r="C431" s="1" t="n">
        <v>46012</v>
      </c>
      <c r="D431" t="inlineStr">
        <is>
          <t>JÄMTLANDS LÄN</t>
        </is>
      </c>
      <c r="E431" t="inlineStr">
        <is>
          <t>KROKOM</t>
        </is>
      </c>
      <c r="G431" t="n">
        <v>6.3</v>
      </c>
      <c r="H431" t="n">
        <v>0</v>
      </c>
      <c r="I431" t="n">
        <v>0</v>
      </c>
      <c r="J431" t="n">
        <v>0</v>
      </c>
      <c r="K431" t="n">
        <v>0</v>
      </c>
      <c r="L431" t="n">
        <v>0</v>
      </c>
      <c r="M431" t="n">
        <v>0</v>
      </c>
      <c r="N431" t="n">
        <v>0</v>
      </c>
      <c r="O431" t="n">
        <v>0</v>
      </c>
      <c r="P431" t="n">
        <v>0</v>
      </c>
      <c r="Q431" t="n">
        <v>0</v>
      </c>
      <c r="R431" s="2" t="inlineStr"/>
    </row>
    <row r="432" ht="15" customHeight="1">
      <c r="A432" t="inlineStr">
        <is>
          <t>A 5409-2025</t>
        </is>
      </c>
      <c r="B432" s="1" t="n">
        <v>45692</v>
      </c>
      <c r="C432" s="1" t="n">
        <v>46012</v>
      </c>
      <c r="D432" t="inlineStr">
        <is>
          <t>JÄMTLANDS LÄN</t>
        </is>
      </c>
      <c r="E432" t="inlineStr">
        <is>
          <t>KROKOM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6024-2025</t>
        </is>
      </c>
      <c r="B433" s="1" t="n">
        <v>45695.61160879629</v>
      </c>
      <c r="C433" s="1" t="n">
        <v>46012</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39265-2025</t>
        </is>
      </c>
      <c r="B434" s="1" t="n">
        <v>45889.37520833333</v>
      </c>
      <c r="C434" s="1" t="n">
        <v>46012</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28191-2024</t>
        </is>
      </c>
      <c r="B435" s="1" t="n">
        <v>45477.32728009259</v>
      </c>
      <c r="C435" s="1" t="n">
        <v>46012</v>
      </c>
      <c r="D435" t="inlineStr">
        <is>
          <t>JÄMTLANDS LÄN</t>
        </is>
      </c>
      <c r="E435" t="inlineStr">
        <is>
          <t>KROKOM</t>
        </is>
      </c>
      <c r="F435" t="inlineStr">
        <is>
          <t>Övriga Aktiebolag</t>
        </is>
      </c>
      <c r="G435" t="n">
        <v>0.3</v>
      </c>
      <c r="H435" t="n">
        <v>0</v>
      </c>
      <c r="I435" t="n">
        <v>0</v>
      </c>
      <c r="J435" t="n">
        <v>0</v>
      </c>
      <c r="K435" t="n">
        <v>0</v>
      </c>
      <c r="L435" t="n">
        <v>0</v>
      </c>
      <c r="M435" t="n">
        <v>0</v>
      </c>
      <c r="N435" t="n">
        <v>0</v>
      </c>
      <c r="O435" t="n">
        <v>0</v>
      </c>
      <c r="P435" t="n">
        <v>0</v>
      </c>
      <c r="Q435" t="n">
        <v>0</v>
      </c>
      <c r="R435" s="2" t="inlineStr"/>
    </row>
    <row r="436" ht="15" customHeight="1">
      <c r="A436" t="inlineStr">
        <is>
          <t>A 10533-2025</t>
        </is>
      </c>
      <c r="B436" s="1" t="n">
        <v>45721.45563657407</v>
      </c>
      <c r="C436" s="1" t="n">
        <v>46012</v>
      </c>
      <c r="D436" t="inlineStr">
        <is>
          <t>JÄMTLANDS LÄN</t>
        </is>
      </c>
      <c r="E436" t="inlineStr">
        <is>
          <t>KROKOM</t>
        </is>
      </c>
      <c r="F436" t="inlineStr">
        <is>
          <t>SCA</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46012</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30065-2024</t>
        </is>
      </c>
      <c r="B438" s="1" t="n">
        <v>45488.94857638889</v>
      </c>
      <c r="C438" s="1" t="n">
        <v>46012</v>
      </c>
      <c r="D438" t="inlineStr">
        <is>
          <t>JÄMTLANDS LÄN</t>
        </is>
      </c>
      <c r="E438" t="inlineStr">
        <is>
          <t>KROKOM</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26544-2025</t>
        </is>
      </c>
      <c r="B439" s="1" t="n">
        <v>45807.58930555556</v>
      </c>
      <c r="C439" s="1" t="n">
        <v>46012</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26621-2025</t>
        </is>
      </c>
      <c r="B440" s="1" t="n">
        <v>45810.32105324074</v>
      </c>
      <c r="C440" s="1" t="n">
        <v>46012</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40180-2025</t>
        </is>
      </c>
      <c r="B441" s="1" t="n">
        <v>45894.63693287037</v>
      </c>
      <c r="C441" s="1" t="n">
        <v>46012</v>
      </c>
      <c r="D441" t="inlineStr">
        <is>
          <t>JÄMTLANDS LÄN</t>
        </is>
      </c>
      <c r="E441" t="inlineStr">
        <is>
          <t>KROKOM</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27729-2024</t>
        </is>
      </c>
      <c r="B442" s="1" t="n">
        <v>45475</v>
      </c>
      <c r="C442" s="1" t="n">
        <v>46012</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27899-2025</t>
        </is>
      </c>
      <c r="B443" s="1" t="n">
        <v>45817</v>
      </c>
      <c r="C443" s="1" t="n">
        <v>46012</v>
      </c>
      <c r="D443" t="inlineStr">
        <is>
          <t>JÄMTLANDS LÄN</t>
        </is>
      </c>
      <c r="E443" t="inlineStr">
        <is>
          <t>KROKOM</t>
        </is>
      </c>
      <c r="G443" t="n">
        <v>16.4</v>
      </c>
      <c r="H443" t="n">
        <v>0</v>
      </c>
      <c r="I443" t="n">
        <v>0</v>
      </c>
      <c r="J443" t="n">
        <v>0</v>
      </c>
      <c r="K443" t="n">
        <v>0</v>
      </c>
      <c r="L443" t="n">
        <v>0</v>
      </c>
      <c r="M443" t="n">
        <v>0</v>
      </c>
      <c r="N443" t="n">
        <v>0</v>
      </c>
      <c r="O443" t="n">
        <v>0</v>
      </c>
      <c r="P443" t="n">
        <v>0</v>
      </c>
      <c r="Q443" t="n">
        <v>0</v>
      </c>
      <c r="R443" s="2" t="inlineStr"/>
    </row>
    <row r="444" ht="15" customHeight="1">
      <c r="A444" t="inlineStr">
        <is>
          <t>A 26527-2025</t>
        </is>
      </c>
      <c r="B444" s="1" t="n">
        <v>45807.56728009259</v>
      </c>
      <c r="C444" s="1" t="n">
        <v>46012</v>
      </c>
      <c r="D444" t="inlineStr">
        <is>
          <t>JÄMTLANDS LÄN</t>
        </is>
      </c>
      <c r="E444" t="inlineStr">
        <is>
          <t>KROKOM</t>
        </is>
      </c>
      <c r="G444" t="n">
        <v>13.3</v>
      </c>
      <c r="H444" t="n">
        <v>0</v>
      </c>
      <c r="I444" t="n">
        <v>0</v>
      </c>
      <c r="J444" t="n">
        <v>0</v>
      </c>
      <c r="K444" t="n">
        <v>0</v>
      </c>
      <c r="L444" t="n">
        <v>0</v>
      </c>
      <c r="M444" t="n">
        <v>0</v>
      </c>
      <c r="N444" t="n">
        <v>0</v>
      </c>
      <c r="O444" t="n">
        <v>0</v>
      </c>
      <c r="P444" t="n">
        <v>0</v>
      </c>
      <c r="Q444" t="n">
        <v>0</v>
      </c>
      <c r="R444" s="2" t="inlineStr"/>
    </row>
    <row r="445" ht="15" customHeight="1">
      <c r="A445" t="inlineStr">
        <is>
          <t>A 31927-2023</t>
        </is>
      </c>
      <c r="B445" s="1" t="n">
        <v>45118.94061342593</v>
      </c>
      <c r="C445" s="1" t="n">
        <v>46012</v>
      </c>
      <c r="D445" t="inlineStr">
        <is>
          <t>JÄMTLANDS LÄN</t>
        </is>
      </c>
      <c r="E445" t="inlineStr">
        <is>
          <t>KROKOM</t>
        </is>
      </c>
      <c r="G445" t="n">
        <v>56.6</v>
      </c>
      <c r="H445" t="n">
        <v>0</v>
      </c>
      <c r="I445" t="n">
        <v>0</v>
      </c>
      <c r="J445" t="n">
        <v>0</v>
      </c>
      <c r="K445" t="n">
        <v>0</v>
      </c>
      <c r="L445" t="n">
        <v>0</v>
      </c>
      <c r="M445" t="n">
        <v>0</v>
      </c>
      <c r="N445" t="n">
        <v>0</v>
      </c>
      <c r="O445" t="n">
        <v>0</v>
      </c>
      <c r="P445" t="n">
        <v>0</v>
      </c>
      <c r="Q445" t="n">
        <v>0</v>
      </c>
      <c r="R445" s="2" t="inlineStr"/>
    </row>
    <row r="446" ht="15" customHeight="1">
      <c r="A446" t="inlineStr">
        <is>
          <t>A 27431-2024</t>
        </is>
      </c>
      <c r="B446" s="1" t="n">
        <v>45474.3981712963</v>
      </c>
      <c r="C446" s="1" t="n">
        <v>46012</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6214-2022</t>
        </is>
      </c>
      <c r="B447" s="1" t="n">
        <v>44600.37212962963</v>
      </c>
      <c r="C447" s="1" t="n">
        <v>46012</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13722-2025</t>
        </is>
      </c>
      <c r="B448" s="1" t="n">
        <v>45737.36873842592</v>
      </c>
      <c r="C448" s="1" t="n">
        <v>46012</v>
      </c>
      <c r="D448" t="inlineStr">
        <is>
          <t>JÄMTLANDS LÄN</t>
        </is>
      </c>
      <c r="E448" t="inlineStr">
        <is>
          <t>KROKOM</t>
        </is>
      </c>
      <c r="G448" t="n">
        <v>1.6</v>
      </c>
      <c r="H448" t="n">
        <v>0</v>
      </c>
      <c r="I448" t="n">
        <v>0</v>
      </c>
      <c r="J448" t="n">
        <v>0</v>
      </c>
      <c r="K448" t="n">
        <v>0</v>
      </c>
      <c r="L448" t="n">
        <v>0</v>
      </c>
      <c r="M448" t="n">
        <v>0</v>
      </c>
      <c r="N448" t="n">
        <v>0</v>
      </c>
      <c r="O448" t="n">
        <v>0</v>
      </c>
      <c r="P448" t="n">
        <v>0</v>
      </c>
      <c r="Q448" t="n">
        <v>0</v>
      </c>
      <c r="R448" s="2" t="inlineStr"/>
    </row>
    <row r="449" ht="15" customHeight="1">
      <c r="A449" t="inlineStr">
        <is>
          <t>A 29896-2021</t>
        </is>
      </c>
      <c r="B449" s="1" t="n">
        <v>44362</v>
      </c>
      <c r="C449" s="1" t="n">
        <v>46012</v>
      </c>
      <c r="D449" t="inlineStr">
        <is>
          <t>JÄMTLANDS LÄN</t>
        </is>
      </c>
      <c r="E449" t="inlineStr">
        <is>
          <t>KROKOM</t>
        </is>
      </c>
      <c r="G449" t="n">
        <v>0.6</v>
      </c>
      <c r="H449" t="n">
        <v>0</v>
      </c>
      <c r="I449" t="n">
        <v>0</v>
      </c>
      <c r="J449" t="n">
        <v>0</v>
      </c>
      <c r="K449" t="n">
        <v>0</v>
      </c>
      <c r="L449" t="n">
        <v>0</v>
      </c>
      <c r="M449" t="n">
        <v>0</v>
      </c>
      <c r="N449" t="n">
        <v>0</v>
      </c>
      <c r="O449" t="n">
        <v>0</v>
      </c>
      <c r="P449" t="n">
        <v>0</v>
      </c>
      <c r="Q449" t="n">
        <v>0</v>
      </c>
      <c r="R449" s="2" t="inlineStr"/>
    </row>
    <row r="450" ht="15" customHeight="1">
      <c r="A450" t="inlineStr">
        <is>
          <t>A 36929-2024</t>
        </is>
      </c>
      <c r="B450" s="1" t="n">
        <v>45538.68200231482</v>
      </c>
      <c r="C450" s="1" t="n">
        <v>46012</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26619-2025</t>
        </is>
      </c>
      <c r="B451" s="1" t="n">
        <v>45810.31376157407</v>
      </c>
      <c r="C451" s="1" t="n">
        <v>46012</v>
      </c>
      <c r="D451" t="inlineStr">
        <is>
          <t>JÄMTLANDS LÄN</t>
        </is>
      </c>
      <c r="E451" t="inlineStr">
        <is>
          <t>KROKOM</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27153-2025</t>
        </is>
      </c>
      <c r="B452" s="1" t="n">
        <v>45812.32266203704</v>
      </c>
      <c r="C452" s="1" t="n">
        <v>46012</v>
      </c>
      <c r="D452" t="inlineStr">
        <is>
          <t>JÄMTLANDS LÄN</t>
        </is>
      </c>
      <c r="E452" t="inlineStr">
        <is>
          <t>KROKOM</t>
        </is>
      </c>
      <c r="G452" t="n">
        <v>15.8</v>
      </c>
      <c r="H452" t="n">
        <v>0</v>
      </c>
      <c r="I452" t="n">
        <v>0</v>
      </c>
      <c r="J452" t="n">
        <v>0</v>
      </c>
      <c r="K452" t="n">
        <v>0</v>
      </c>
      <c r="L452" t="n">
        <v>0</v>
      </c>
      <c r="M452" t="n">
        <v>0</v>
      </c>
      <c r="N452" t="n">
        <v>0</v>
      </c>
      <c r="O452" t="n">
        <v>0</v>
      </c>
      <c r="P452" t="n">
        <v>0</v>
      </c>
      <c r="Q452" t="n">
        <v>0</v>
      </c>
      <c r="R452" s="2" t="inlineStr"/>
    </row>
    <row r="453" ht="15" customHeight="1">
      <c r="A453" t="inlineStr">
        <is>
          <t>A 4741-2022</t>
        </is>
      </c>
      <c r="B453" s="1" t="n">
        <v>44592</v>
      </c>
      <c r="C453" s="1" t="n">
        <v>46012</v>
      </c>
      <c r="D453" t="inlineStr">
        <is>
          <t>JÄMTLANDS LÄN</t>
        </is>
      </c>
      <c r="E453" t="inlineStr">
        <is>
          <t>KROKOM</t>
        </is>
      </c>
      <c r="G453" t="n">
        <v>54.2</v>
      </c>
      <c r="H453" t="n">
        <v>0</v>
      </c>
      <c r="I453" t="n">
        <v>0</v>
      </c>
      <c r="J453" t="n">
        <v>0</v>
      </c>
      <c r="K453" t="n">
        <v>0</v>
      </c>
      <c r="L453" t="n">
        <v>0</v>
      </c>
      <c r="M453" t="n">
        <v>0</v>
      </c>
      <c r="N453" t="n">
        <v>0</v>
      </c>
      <c r="O453" t="n">
        <v>0</v>
      </c>
      <c r="P453" t="n">
        <v>0</v>
      </c>
      <c r="Q453" t="n">
        <v>0</v>
      </c>
      <c r="R453" s="2" t="inlineStr"/>
    </row>
    <row r="454" ht="15" customHeight="1">
      <c r="A454" t="inlineStr">
        <is>
          <t>A 40283-2025</t>
        </is>
      </c>
      <c r="B454" s="1" t="n">
        <v>45895.36994212963</v>
      </c>
      <c r="C454" s="1" t="n">
        <v>46012</v>
      </c>
      <c r="D454" t="inlineStr">
        <is>
          <t>JÄMTLANDS LÄN</t>
        </is>
      </c>
      <c r="E454" t="inlineStr">
        <is>
          <t>KROKOM</t>
        </is>
      </c>
      <c r="G454" t="n">
        <v>11.1</v>
      </c>
      <c r="H454" t="n">
        <v>0</v>
      </c>
      <c r="I454" t="n">
        <v>0</v>
      </c>
      <c r="J454" t="n">
        <v>0</v>
      </c>
      <c r="K454" t="n">
        <v>0</v>
      </c>
      <c r="L454" t="n">
        <v>0</v>
      </c>
      <c r="M454" t="n">
        <v>0</v>
      </c>
      <c r="N454" t="n">
        <v>0</v>
      </c>
      <c r="O454" t="n">
        <v>0</v>
      </c>
      <c r="P454" t="n">
        <v>0</v>
      </c>
      <c r="Q454" t="n">
        <v>0</v>
      </c>
      <c r="R454" s="2" t="inlineStr"/>
    </row>
    <row r="455" ht="15" customHeight="1">
      <c r="A455" t="inlineStr">
        <is>
          <t>A 58052-2022</t>
        </is>
      </c>
      <c r="B455" s="1" t="n">
        <v>44893</v>
      </c>
      <c r="C455" s="1" t="n">
        <v>46012</v>
      </c>
      <c r="D455" t="inlineStr">
        <is>
          <t>JÄMTLANDS LÄN</t>
        </is>
      </c>
      <c r="E455" t="inlineStr">
        <is>
          <t>KROKOM</t>
        </is>
      </c>
      <c r="G455" t="n">
        <v>0.6</v>
      </c>
      <c r="H455" t="n">
        <v>0</v>
      </c>
      <c r="I455" t="n">
        <v>0</v>
      </c>
      <c r="J455" t="n">
        <v>0</v>
      </c>
      <c r="K455" t="n">
        <v>0</v>
      </c>
      <c r="L455" t="n">
        <v>0</v>
      </c>
      <c r="M455" t="n">
        <v>0</v>
      </c>
      <c r="N455" t="n">
        <v>0</v>
      </c>
      <c r="O455" t="n">
        <v>0</v>
      </c>
      <c r="P455" t="n">
        <v>0</v>
      </c>
      <c r="Q455" t="n">
        <v>0</v>
      </c>
      <c r="R455" s="2" t="inlineStr"/>
    </row>
    <row r="456" ht="15" customHeight="1">
      <c r="A456" t="inlineStr">
        <is>
          <t>A 27104-2025</t>
        </is>
      </c>
      <c r="B456" s="1" t="n">
        <v>45811.69912037037</v>
      </c>
      <c r="C456" s="1" t="n">
        <v>46012</v>
      </c>
      <c r="D456" t="inlineStr">
        <is>
          <t>JÄMTLANDS LÄN</t>
        </is>
      </c>
      <c r="E456" t="inlineStr">
        <is>
          <t>KROKOM</t>
        </is>
      </c>
      <c r="G456" t="n">
        <v>14.4</v>
      </c>
      <c r="H456" t="n">
        <v>0</v>
      </c>
      <c r="I456" t="n">
        <v>0</v>
      </c>
      <c r="J456" t="n">
        <v>0</v>
      </c>
      <c r="K456" t="n">
        <v>0</v>
      </c>
      <c r="L456" t="n">
        <v>0</v>
      </c>
      <c r="M456" t="n">
        <v>0</v>
      </c>
      <c r="N456" t="n">
        <v>0</v>
      </c>
      <c r="O456" t="n">
        <v>0</v>
      </c>
      <c r="P456" t="n">
        <v>0</v>
      </c>
      <c r="Q456" t="n">
        <v>0</v>
      </c>
      <c r="R456" s="2" t="inlineStr"/>
    </row>
    <row r="457" ht="15" customHeight="1">
      <c r="A457" t="inlineStr">
        <is>
          <t>A 40507-2025</t>
        </is>
      </c>
      <c r="B457" s="1" t="n">
        <v>45896.34443287037</v>
      </c>
      <c r="C457" s="1" t="n">
        <v>46012</v>
      </c>
      <c r="D457" t="inlineStr">
        <is>
          <t>JÄMTLANDS LÄN</t>
        </is>
      </c>
      <c r="E457" t="inlineStr">
        <is>
          <t>KROKOM</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16064-2024</t>
        </is>
      </c>
      <c r="B458" s="1" t="n">
        <v>45406.05033564815</v>
      </c>
      <c r="C458" s="1" t="n">
        <v>46012</v>
      </c>
      <c r="D458" t="inlineStr">
        <is>
          <t>JÄMTLANDS LÄN</t>
        </is>
      </c>
      <c r="E458" t="inlineStr">
        <is>
          <t>KROKOM</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27522-2025</t>
        </is>
      </c>
      <c r="B459" s="1" t="n">
        <v>45813.44443287037</v>
      </c>
      <c r="C459" s="1" t="n">
        <v>46012</v>
      </c>
      <c r="D459" t="inlineStr">
        <is>
          <t>JÄMTLANDS LÄN</t>
        </is>
      </c>
      <c r="E459" t="inlineStr">
        <is>
          <t>KROKOM</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27547-2025</t>
        </is>
      </c>
      <c r="B460" s="1" t="n">
        <v>45813.46969907408</v>
      </c>
      <c r="C460" s="1" t="n">
        <v>46012</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46012</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27833-2025</t>
        </is>
      </c>
      <c r="B462" s="1" t="n">
        <v>45814</v>
      </c>
      <c r="C462" s="1" t="n">
        <v>46012</v>
      </c>
      <c r="D462" t="inlineStr">
        <is>
          <t>JÄMTLANDS LÄN</t>
        </is>
      </c>
      <c r="E462" t="inlineStr">
        <is>
          <t>KROKOM</t>
        </is>
      </c>
      <c r="G462" t="n">
        <v>1.9</v>
      </c>
      <c r="H462" t="n">
        <v>0</v>
      </c>
      <c r="I462" t="n">
        <v>0</v>
      </c>
      <c r="J462" t="n">
        <v>0</v>
      </c>
      <c r="K462" t="n">
        <v>0</v>
      </c>
      <c r="L462" t="n">
        <v>0</v>
      </c>
      <c r="M462" t="n">
        <v>0</v>
      </c>
      <c r="N462" t="n">
        <v>0</v>
      </c>
      <c r="O462" t="n">
        <v>0</v>
      </c>
      <c r="P462" t="n">
        <v>0</v>
      </c>
      <c r="Q462" t="n">
        <v>0</v>
      </c>
      <c r="R462" s="2" t="inlineStr"/>
    </row>
    <row r="463" ht="15" customHeight="1">
      <c r="A463" t="inlineStr">
        <is>
          <t>A 27851-2025</t>
        </is>
      </c>
      <c r="B463" s="1" t="n">
        <v>45814</v>
      </c>
      <c r="C463" s="1" t="n">
        <v>46012</v>
      </c>
      <c r="D463" t="inlineStr">
        <is>
          <t>JÄMTLANDS LÄN</t>
        </is>
      </c>
      <c r="E463" t="inlineStr">
        <is>
          <t>KROKOM</t>
        </is>
      </c>
      <c r="G463" t="n">
        <v>13.9</v>
      </c>
      <c r="H463" t="n">
        <v>0</v>
      </c>
      <c r="I463" t="n">
        <v>0</v>
      </c>
      <c r="J463" t="n">
        <v>0</v>
      </c>
      <c r="K463" t="n">
        <v>0</v>
      </c>
      <c r="L463" t="n">
        <v>0</v>
      </c>
      <c r="M463" t="n">
        <v>0</v>
      </c>
      <c r="N463" t="n">
        <v>0</v>
      </c>
      <c r="O463" t="n">
        <v>0</v>
      </c>
      <c r="P463" t="n">
        <v>0</v>
      </c>
      <c r="Q463" t="n">
        <v>0</v>
      </c>
      <c r="R463" s="2" t="inlineStr"/>
    </row>
    <row r="464" ht="15" customHeight="1">
      <c r="A464" t="inlineStr">
        <is>
          <t>A 69120-2020</t>
        </is>
      </c>
      <c r="B464" s="1" t="n">
        <v>44188</v>
      </c>
      <c r="C464" s="1" t="n">
        <v>46012</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32676-2023</t>
        </is>
      </c>
      <c r="B465" s="1" t="n">
        <v>45121</v>
      </c>
      <c r="C465" s="1" t="n">
        <v>46012</v>
      </c>
      <c r="D465" t="inlineStr">
        <is>
          <t>JÄMTLANDS LÄN</t>
        </is>
      </c>
      <c r="E465" t="inlineStr">
        <is>
          <t>KROKOM</t>
        </is>
      </c>
      <c r="F465" t="inlineStr">
        <is>
          <t>Övriga Aktiebolag</t>
        </is>
      </c>
      <c r="G465" t="n">
        <v>7.1</v>
      </c>
      <c r="H465" t="n">
        <v>0</v>
      </c>
      <c r="I465" t="n">
        <v>0</v>
      </c>
      <c r="J465" t="n">
        <v>0</v>
      </c>
      <c r="K465" t="n">
        <v>0</v>
      </c>
      <c r="L465" t="n">
        <v>0</v>
      </c>
      <c r="M465" t="n">
        <v>0</v>
      </c>
      <c r="N465" t="n">
        <v>0</v>
      </c>
      <c r="O465" t="n">
        <v>0</v>
      </c>
      <c r="P465" t="n">
        <v>0</v>
      </c>
      <c r="Q465" t="n">
        <v>0</v>
      </c>
      <c r="R465" s="2" t="inlineStr"/>
    </row>
    <row r="466" ht="15" customHeight="1">
      <c r="A466" t="inlineStr">
        <is>
          <t>A 40822-2025</t>
        </is>
      </c>
      <c r="B466" s="1" t="n">
        <v>45897.49424768519</v>
      </c>
      <c r="C466" s="1" t="n">
        <v>46012</v>
      </c>
      <c r="D466" t="inlineStr">
        <is>
          <t>JÄMTLANDS LÄN</t>
        </is>
      </c>
      <c r="E466" t="inlineStr">
        <is>
          <t>KROKOM</t>
        </is>
      </c>
      <c r="G466" t="n">
        <v>3.8</v>
      </c>
      <c r="H466" t="n">
        <v>0</v>
      </c>
      <c r="I466" t="n">
        <v>0</v>
      </c>
      <c r="J466" t="n">
        <v>0</v>
      </c>
      <c r="K466" t="n">
        <v>0</v>
      </c>
      <c r="L466" t="n">
        <v>0</v>
      </c>
      <c r="M466" t="n">
        <v>0</v>
      </c>
      <c r="N466" t="n">
        <v>0</v>
      </c>
      <c r="O466" t="n">
        <v>0</v>
      </c>
      <c r="P466" t="n">
        <v>0</v>
      </c>
      <c r="Q466" t="n">
        <v>0</v>
      </c>
      <c r="R466" s="2" t="inlineStr"/>
    </row>
    <row r="467" ht="15" customHeight="1">
      <c r="A467" t="inlineStr">
        <is>
          <t>A 73174-2021</t>
        </is>
      </c>
      <c r="B467" s="1" t="n">
        <v>44550</v>
      </c>
      <c r="C467" s="1" t="n">
        <v>46012</v>
      </c>
      <c r="D467" t="inlineStr">
        <is>
          <t>JÄMTLANDS LÄN</t>
        </is>
      </c>
      <c r="E467" t="inlineStr">
        <is>
          <t>KROKOM</t>
        </is>
      </c>
      <c r="G467" t="n">
        <v>152.9</v>
      </c>
      <c r="H467" t="n">
        <v>0</v>
      </c>
      <c r="I467" t="n">
        <v>0</v>
      </c>
      <c r="J467" t="n">
        <v>0</v>
      </c>
      <c r="K467" t="n">
        <v>0</v>
      </c>
      <c r="L467" t="n">
        <v>0</v>
      </c>
      <c r="M467" t="n">
        <v>0</v>
      </c>
      <c r="N467" t="n">
        <v>0</v>
      </c>
      <c r="O467" t="n">
        <v>0</v>
      </c>
      <c r="P467" t="n">
        <v>0</v>
      </c>
      <c r="Q467" t="n">
        <v>0</v>
      </c>
      <c r="R467" s="2" t="inlineStr"/>
    </row>
    <row r="468" ht="15" customHeight="1">
      <c r="A468" t="inlineStr">
        <is>
          <t>A 27703-2025</t>
        </is>
      </c>
      <c r="B468" s="1" t="n">
        <v>45813.68361111111</v>
      </c>
      <c r="C468" s="1" t="n">
        <v>46012</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7787-2025</t>
        </is>
      </c>
      <c r="B469" s="1" t="n">
        <v>45706.59251157408</v>
      </c>
      <c r="C469" s="1" t="n">
        <v>46012</v>
      </c>
      <c r="D469" t="inlineStr">
        <is>
          <t>JÄMTLANDS LÄN</t>
        </is>
      </c>
      <c r="E469" t="inlineStr">
        <is>
          <t>KROKOM</t>
        </is>
      </c>
      <c r="F469" t="inlineStr">
        <is>
          <t>Övriga Aktiebolag</t>
        </is>
      </c>
      <c r="G469" t="n">
        <v>16.8</v>
      </c>
      <c r="H469" t="n">
        <v>0</v>
      </c>
      <c r="I469" t="n">
        <v>0</v>
      </c>
      <c r="J469" t="n">
        <v>0</v>
      </c>
      <c r="K469" t="n">
        <v>0</v>
      </c>
      <c r="L469" t="n">
        <v>0</v>
      </c>
      <c r="M469" t="n">
        <v>0</v>
      </c>
      <c r="N469" t="n">
        <v>0</v>
      </c>
      <c r="O469" t="n">
        <v>0</v>
      </c>
      <c r="P469" t="n">
        <v>0</v>
      </c>
      <c r="Q469" t="n">
        <v>0</v>
      </c>
      <c r="R469" s="2" t="inlineStr"/>
    </row>
    <row r="470" ht="15" customHeight="1">
      <c r="A470" t="inlineStr">
        <is>
          <t>A 22236-2025</t>
        </is>
      </c>
      <c r="B470" s="1" t="n">
        <v>45785.67431712963</v>
      </c>
      <c r="C470" s="1" t="n">
        <v>46012</v>
      </c>
      <c r="D470" t="inlineStr">
        <is>
          <t>JÄMTLANDS LÄN</t>
        </is>
      </c>
      <c r="E470" t="inlineStr">
        <is>
          <t>KROKOM</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46012</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46012</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46012</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54039-2021</t>
        </is>
      </c>
      <c r="B474" s="1" t="n">
        <v>44470.39989583333</v>
      </c>
      <c r="C474" s="1" t="n">
        <v>46012</v>
      </c>
      <c r="D474" t="inlineStr">
        <is>
          <t>JÄMTLANDS LÄN</t>
        </is>
      </c>
      <c r="E474" t="inlineStr">
        <is>
          <t>KROKOM</t>
        </is>
      </c>
      <c r="G474" t="n">
        <v>9.9</v>
      </c>
      <c r="H474" t="n">
        <v>0</v>
      </c>
      <c r="I474" t="n">
        <v>0</v>
      </c>
      <c r="J474" t="n">
        <v>0</v>
      </c>
      <c r="K474" t="n">
        <v>0</v>
      </c>
      <c r="L474" t="n">
        <v>0</v>
      </c>
      <c r="M474" t="n">
        <v>0</v>
      </c>
      <c r="N474" t="n">
        <v>0</v>
      </c>
      <c r="O474" t="n">
        <v>0</v>
      </c>
      <c r="P474" t="n">
        <v>0</v>
      </c>
      <c r="Q474" t="n">
        <v>0</v>
      </c>
      <c r="R474" s="2" t="inlineStr"/>
    </row>
    <row r="475" ht="15" customHeight="1">
      <c r="A475" t="inlineStr">
        <is>
          <t>A 28155-2025</t>
        </is>
      </c>
      <c r="B475" s="1" t="n">
        <v>45818.36246527778</v>
      </c>
      <c r="C475" s="1" t="n">
        <v>46012</v>
      </c>
      <c r="D475" t="inlineStr">
        <is>
          <t>JÄMTLANDS LÄN</t>
        </is>
      </c>
      <c r="E475" t="inlineStr">
        <is>
          <t>KROKOM</t>
        </is>
      </c>
      <c r="F475" t="inlineStr">
        <is>
          <t>Kyrkan</t>
        </is>
      </c>
      <c r="G475" t="n">
        <v>6.1</v>
      </c>
      <c r="H475" t="n">
        <v>0</v>
      </c>
      <c r="I475" t="n">
        <v>0</v>
      </c>
      <c r="J475" t="n">
        <v>0</v>
      </c>
      <c r="K475" t="n">
        <v>0</v>
      </c>
      <c r="L475" t="n">
        <v>0</v>
      </c>
      <c r="M475" t="n">
        <v>0</v>
      </c>
      <c r="N475" t="n">
        <v>0</v>
      </c>
      <c r="O475" t="n">
        <v>0</v>
      </c>
      <c r="P475" t="n">
        <v>0</v>
      </c>
      <c r="Q475" t="n">
        <v>0</v>
      </c>
      <c r="R475" s="2" t="inlineStr"/>
    </row>
    <row r="476" ht="15" customHeight="1">
      <c r="A476" t="inlineStr">
        <is>
          <t>A 30709-2024</t>
        </is>
      </c>
      <c r="B476" s="1" t="n">
        <v>45496.41289351852</v>
      </c>
      <c r="C476" s="1" t="n">
        <v>46012</v>
      </c>
      <c r="D476" t="inlineStr">
        <is>
          <t>JÄMTLANDS LÄN</t>
        </is>
      </c>
      <c r="E476" t="inlineStr">
        <is>
          <t>KROKOM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54817-2024</t>
        </is>
      </c>
      <c r="B477" s="1" t="n">
        <v>45618.53126157408</v>
      </c>
      <c r="C477" s="1" t="n">
        <v>46012</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54823-2024</t>
        </is>
      </c>
      <c r="B478" s="1" t="n">
        <v>45618.53633101852</v>
      </c>
      <c r="C478" s="1" t="n">
        <v>46012</v>
      </c>
      <c r="D478" t="inlineStr">
        <is>
          <t>JÄMTLANDS LÄN</t>
        </is>
      </c>
      <c r="E478" t="inlineStr">
        <is>
          <t>KROKOM</t>
        </is>
      </c>
      <c r="G478" t="n">
        <v>4</v>
      </c>
      <c r="H478" t="n">
        <v>0</v>
      </c>
      <c r="I478" t="n">
        <v>0</v>
      </c>
      <c r="J478" t="n">
        <v>0</v>
      </c>
      <c r="K478" t="n">
        <v>0</v>
      </c>
      <c r="L478" t="n">
        <v>0</v>
      </c>
      <c r="M478" t="n">
        <v>0</v>
      </c>
      <c r="N478" t="n">
        <v>0</v>
      </c>
      <c r="O478" t="n">
        <v>0</v>
      </c>
      <c r="P478" t="n">
        <v>0</v>
      </c>
      <c r="Q478" t="n">
        <v>0</v>
      </c>
      <c r="R478" s="2" t="inlineStr"/>
    </row>
    <row r="479" ht="15" customHeight="1">
      <c r="A479" t="inlineStr">
        <is>
          <t>A 28130-2025</t>
        </is>
      </c>
      <c r="B479" s="1" t="n">
        <v>45818.3293287037</v>
      </c>
      <c r="C479" s="1" t="n">
        <v>46012</v>
      </c>
      <c r="D479" t="inlineStr">
        <is>
          <t>JÄMTLANDS LÄN</t>
        </is>
      </c>
      <c r="E479" t="inlineStr">
        <is>
          <t>KROKOM</t>
        </is>
      </c>
      <c r="F479" t="inlineStr">
        <is>
          <t>Kyrkan</t>
        </is>
      </c>
      <c r="G479" t="n">
        <v>10.2</v>
      </c>
      <c r="H479" t="n">
        <v>0</v>
      </c>
      <c r="I479" t="n">
        <v>0</v>
      </c>
      <c r="J479" t="n">
        <v>0</v>
      </c>
      <c r="K479" t="n">
        <v>0</v>
      </c>
      <c r="L479" t="n">
        <v>0</v>
      </c>
      <c r="M479" t="n">
        <v>0</v>
      </c>
      <c r="N479" t="n">
        <v>0</v>
      </c>
      <c r="O479" t="n">
        <v>0</v>
      </c>
      <c r="P479" t="n">
        <v>0</v>
      </c>
      <c r="Q479" t="n">
        <v>0</v>
      </c>
      <c r="R479" s="2" t="inlineStr"/>
    </row>
    <row r="480" ht="15" customHeight="1">
      <c r="A480" t="inlineStr">
        <is>
          <t>A 50417-2024</t>
        </is>
      </c>
      <c r="B480" s="1" t="n">
        <v>45601.38071759259</v>
      </c>
      <c r="C480" s="1" t="n">
        <v>46012</v>
      </c>
      <c r="D480" t="inlineStr">
        <is>
          <t>JÄMTLANDS LÄN</t>
        </is>
      </c>
      <c r="E480" t="inlineStr">
        <is>
          <t>KROKOM</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41290-2025</t>
        </is>
      </c>
      <c r="B481" s="1" t="n">
        <v>45898.64267361111</v>
      </c>
      <c r="C481" s="1" t="n">
        <v>46012</v>
      </c>
      <c r="D481" t="inlineStr">
        <is>
          <t>JÄMTLANDS LÄN</t>
        </is>
      </c>
      <c r="E481" t="inlineStr">
        <is>
          <t>KROKOM</t>
        </is>
      </c>
      <c r="G481" t="n">
        <v>17.1</v>
      </c>
      <c r="H481" t="n">
        <v>0</v>
      </c>
      <c r="I481" t="n">
        <v>0</v>
      </c>
      <c r="J481" t="n">
        <v>0</v>
      </c>
      <c r="K481" t="n">
        <v>0</v>
      </c>
      <c r="L481" t="n">
        <v>0</v>
      </c>
      <c r="M481" t="n">
        <v>0</v>
      </c>
      <c r="N481" t="n">
        <v>0</v>
      </c>
      <c r="O481" t="n">
        <v>0</v>
      </c>
      <c r="P481" t="n">
        <v>0</v>
      </c>
      <c r="Q481" t="n">
        <v>0</v>
      </c>
      <c r="R481" s="2" t="inlineStr"/>
    </row>
    <row r="482" ht="15" customHeight="1">
      <c r="A482" t="inlineStr">
        <is>
          <t>A 27973-2025</t>
        </is>
      </c>
      <c r="B482" s="1" t="n">
        <v>45817.56761574074</v>
      </c>
      <c r="C482" s="1" t="n">
        <v>46012</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40213-2024</t>
        </is>
      </c>
      <c r="B483" s="1" t="n">
        <v>45554.59447916667</v>
      </c>
      <c r="C483" s="1" t="n">
        <v>46012</v>
      </c>
      <c r="D483" t="inlineStr">
        <is>
          <t>JÄMTLANDS LÄN</t>
        </is>
      </c>
      <c r="E483" t="inlineStr">
        <is>
          <t>KROKOM</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27740-2025</t>
        </is>
      </c>
      <c r="B484" s="1" t="n">
        <v>45815.50844907408</v>
      </c>
      <c r="C484" s="1" t="n">
        <v>46012</v>
      </c>
      <c r="D484" t="inlineStr">
        <is>
          <t>JÄMTLANDS LÄN</t>
        </is>
      </c>
      <c r="E484" t="inlineStr">
        <is>
          <t>KROKOM</t>
        </is>
      </c>
      <c r="G484" t="n">
        <v>9.1</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46012</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46012</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46012</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41425-2025</t>
        </is>
      </c>
      <c r="B488" s="1" t="n">
        <v>45901.38590277778</v>
      </c>
      <c r="C488" s="1" t="n">
        <v>46012</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30383-2024</t>
        </is>
      </c>
      <c r="B489" s="1" t="n">
        <v>45491.44971064815</v>
      </c>
      <c r="C489" s="1" t="n">
        <v>46012</v>
      </c>
      <c r="D489" t="inlineStr">
        <is>
          <t>JÄMTLANDS LÄN</t>
        </is>
      </c>
      <c r="E489" t="inlineStr">
        <is>
          <t>KROKOM</t>
        </is>
      </c>
      <c r="G489" t="n">
        <v>22.9</v>
      </c>
      <c r="H489" t="n">
        <v>0</v>
      </c>
      <c r="I489" t="n">
        <v>0</v>
      </c>
      <c r="J489" t="n">
        <v>0</v>
      </c>
      <c r="K489" t="n">
        <v>0</v>
      </c>
      <c r="L489" t="n">
        <v>0</v>
      </c>
      <c r="M489" t="n">
        <v>0</v>
      </c>
      <c r="N489" t="n">
        <v>0</v>
      </c>
      <c r="O489" t="n">
        <v>0</v>
      </c>
      <c r="P489" t="n">
        <v>0</v>
      </c>
      <c r="Q489" t="n">
        <v>0</v>
      </c>
      <c r="R489" s="2" t="inlineStr"/>
    </row>
    <row r="490" ht="15" customHeight="1">
      <c r="A490" t="inlineStr">
        <is>
          <t>A 28136-2025</t>
        </is>
      </c>
      <c r="B490" s="1" t="n">
        <v>45818.34473379629</v>
      </c>
      <c r="C490" s="1" t="n">
        <v>46012</v>
      </c>
      <c r="D490" t="inlineStr">
        <is>
          <t>JÄMTLANDS LÄN</t>
        </is>
      </c>
      <c r="E490" t="inlineStr">
        <is>
          <t>KROKOM</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28132-2025</t>
        </is>
      </c>
      <c r="B491" s="1" t="n">
        <v>45818.33532407408</v>
      </c>
      <c r="C491" s="1" t="n">
        <v>46012</v>
      </c>
      <c r="D491" t="inlineStr">
        <is>
          <t>JÄMTLANDS LÄN</t>
        </is>
      </c>
      <c r="E491" t="inlineStr">
        <is>
          <t>KROKOM</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39230-2024</t>
        </is>
      </c>
      <c r="B492" s="1" t="n">
        <v>45550.66542824074</v>
      </c>
      <c r="C492" s="1" t="n">
        <v>46012</v>
      </c>
      <c r="D492" t="inlineStr">
        <is>
          <t>JÄMTLANDS LÄN</t>
        </is>
      </c>
      <c r="E492" t="inlineStr">
        <is>
          <t>KROKOM</t>
        </is>
      </c>
      <c r="G492" t="n">
        <v>7.9</v>
      </c>
      <c r="H492" t="n">
        <v>0</v>
      </c>
      <c r="I492" t="n">
        <v>0</v>
      </c>
      <c r="J492" t="n">
        <v>0</v>
      </c>
      <c r="K492" t="n">
        <v>0</v>
      </c>
      <c r="L492" t="n">
        <v>0</v>
      </c>
      <c r="M492" t="n">
        <v>0</v>
      </c>
      <c r="N492" t="n">
        <v>0</v>
      </c>
      <c r="O492" t="n">
        <v>0</v>
      </c>
      <c r="P492" t="n">
        <v>0</v>
      </c>
      <c r="Q492" t="n">
        <v>0</v>
      </c>
      <c r="R492" s="2" t="inlineStr"/>
    </row>
    <row r="493" ht="15" customHeight="1">
      <c r="A493" t="inlineStr">
        <is>
          <t>A 28147-2025</t>
        </is>
      </c>
      <c r="B493" s="1" t="n">
        <v>45818.34833333334</v>
      </c>
      <c r="C493" s="1" t="n">
        <v>46012</v>
      </c>
      <c r="D493" t="inlineStr">
        <is>
          <t>JÄMTLANDS LÄN</t>
        </is>
      </c>
      <c r="E493" t="inlineStr">
        <is>
          <t>KROKOM</t>
        </is>
      </c>
      <c r="F493" t="inlineStr">
        <is>
          <t>Kyrkan</t>
        </is>
      </c>
      <c r="G493" t="n">
        <v>10.8</v>
      </c>
      <c r="H493" t="n">
        <v>0</v>
      </c>
      <c r="I493" t="n">
        <v>0</v>
      </c>
      <c r="J493" t="n">
        <v>0</v>
      </c>
      <c r="K493" t="n">
        <v>0</v>
      </c>
      <c r="L493" t="n">
        <v>0</v>
      </c>
      <c r="M493" t="n">
        <v>0</v>
      </c>
      <c r="N493" t="n">
        <v>0</v>
      </c>
      <c r="O493" t="n">
        <v>0</v>
      </c>
      <c r="P493" t="n">
        <v>0</v>
      </c>
      <c r="Q493" t="n">
        <v>0</v>
      </c>
      <c r="R493" s="2" t="inlineStr"/>
    </row>
    <row r="494" ht="15" customHeight="1">
      <c r="A494" t="inlineStr">
        <is>
          <t>A 28162-2025</t>
        </is>
      </c>
      <c r="B494" s="1" t="n">
        <v>45818.37056712963</v>
      </c>
      <c r="C494" s="1" t="n">
        <v>46012</v>
      </c>
      <c r="D494" t="inlineStr">
        <is>
          <t>JÄMTLANDS LÄN</t>
        </is>
      </c>
      <c r="E494" t="inlineStr">
        <is>
          <t>KROKOM</t>
        </is>
      </c>
      <c r="F494" t="inlineStr">
        <is>
          <t>Kyrkan</t>
        </is>
      </c>
      <c r="G494" t="n">
        <v>4</v>
      </c>
      <c r="H494" t="n">
        <v>0</v>
      </c>
      <c r="I494" t="n">
        <v>0</v>
      </c>
      <c r="J494" t="n">
        <v>0</v>
      </c>
      <c r="K494" t="n">
        <v>0</v>
      </c>
      <c r="L494" t="n">
        <v>0</v>
      </c>
      <c r="M494" t="n">
        <v>0</v>
      </c>
      <c r="N494" t="n">
        <v>0</v>
      </c>
      <c r="O494" t="n">
        <v>0</v>
      </c>
      <c r="P494" t="n">
        <v>0</v>
      </c>
      <c r="Q494" t="n">
        <v>0</v>
      </c>
      <c r="R494" s="2" t="inlineStr"/>
    </row>
    <row r="495" ht="15" customHeight="1">
      <c r="A495" t="inlineStr">
        <is>
          <t>A 2410-2021</t>
        </is>
      </c>
      <c r="B495" s="1" t="n">
        <v>44214</v>
      </c>
      <c r="C495" s="1" t="n">
        <v>46012</v>
      </c>
      <c r="D495" t="inlineStr">
        <is>
          <t>JÄMTLANDS LÄN</t>
        </is>
      </c>
      <c r="E495" t="inlineStr">
        <is>
          <t>KROKOM</t>
        </is>
      </c>
      <c r="G495" t="n">
        <v>32.7</v>
      </c>
      <c r="H495" t="n">
        <v>0</v>
      </c>
      <c r="I495" t="n">
        <v>0</v>
      </c>
      <c r="J495" t="n">
        <v>0</v>
      </c>
      <c r="K495" t="n">
        <v>0</v>
      </c>
      <c r="L495" t="n">
        <v>0</v>
      </c>
      <c r="M495" t="n">
        <v>0</v>
      </c>
      <c r="N495" t="n">
        <v>0</v>
      </c>
      <c r="O495" t="n">
        <v>0</v>
      </c>
      <c r="P495" t="n">
        <v>0</v>
      </c>
      <c r="Q495" t="n">
        <v>0</v>
      </c>
      <c r="R495" s="2" t="inlineStr"/>
    </row>
    <row r="496" ht="15" customHeight="1">
      <c r="A496" t="inlineStr">
        <is>
          <t>A 28843-2025</t>
        </is>
      </c>
      <c r="B496" s="1" t="n">
        <v>45820</v>
      </c>
      <c r="C496" s="1" t="n">
        <v>46012</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61732-2021</t>
        </is>
      </c>
      <c r="B497" s="1" t="n">
        <v>44498</v>
      </c>
      <c r="C497" s="1" t="n">
        <v>46012</v>
      </c>
      <c r="D497" t="inlineStr">
        <is>
          <t>JÄMTLANDS LÄN</t>
        </is>
      </c>
      <c r="E497" t="inlineStr">
        <is>
          <t>KROKOM</t>
        </is>
      </c>
      <c r="G497" t="n">
        <v>1.3</v>
      </c>
      <c r="H497" t="n">
        <v>0</v>
      </c>
      <c r="I497" t="n">
        <v>0</v>
      </c>
      <c r="J497" t="n">
        <v>0</v>
      </c>
      <c r="K497" t="n">
        <v>0</v>
      </c>
      <c r="L497" t="n">
        <v>0</v>
      </c>
      <c r="M497" t="n">
        <v>0</v>
      </c>
      <c r="N497" t="n">
        <v>0</v>
      </c>
      <c r="O497" t="n">
        <v>0</v>
      </c>
      <c r="P497" t="n">
        <v>0</v>
      </c>
      <c r="Q497" t="n">
        <v>0</v>
      </c>
      <c r="R497" s="2" t="inlineStr"/>
    </row>
    <row r="498" ht="15" customHeight="1">
      <c r="A498" t="inlineStr">
        <is>
          <t>A 41972-2024</t>
        </is>
      </c>
      <c r="B498" s="1" t="n">
        <v>45561.61515046296</v>
      </c>
      <c r="C498" s="1" t="n">
        <v>46012</v>
      </c>
      <c r="D498" t="inlineStr">
        <is>
          <t>JÄMTLANDS LÄN</t>
        </is>
      </c>
      <c r="E498" t="inlineStr">
        <is>
          <t>KROKOM</t>
        </is>
      </c>
      <c r="G498" t="n">
        <v>1.2</v>
      </c>
      <c r="H498" t="n">
        <v>0</v>
      </c>
      <c r="I498" t="n">
        <v>0</v>
      </c>
      <c r="J498" t="n">
        <v>0</v>
      </c>
      <c r="K498" t="n">
        <v>0</v>
      </c>
      <c r="L498" t="n">
        <v>0</v>
      </c>
      <c r="M498" t="n">
        <v>0</v>
      </c>
      <c r="N498" t="n">
        <v>0</v>
      </c>
      <c r="O498" t="n">
        <v>0</v>
      </c>
      <c r="P498" t="n">
        <v>0</v>
      </c>
      <c r="Q498" t="n">
        <v>0</v>
      </c>
      <c r="R498" s="2" t="inlineStr"/>
    </row>
    <row r="499" ht="15" customHeight="1">
      <c r="A499" t="inlineStr">
        <is>
          <t>A 28752-2025</t>
        </is>
      </c>
      <c r="B499" s="1" t="n">
        <v>45820</v>
      </c>
      <c r="C499" s="1" t="n">
        <v>46012</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6711-2025</t>
        </is>
      </c>
      <c r="B500" s="1" t="n">
        <v>45700.56194444445</v>
      </c>
      <c r="C500" s="1" t="n">
        <v>46012</v>
      </c>
      <c r="D500" t="inlineStr">
        <is>
          <t>JÄMTLANDS LÄN</t>
        </is>
      </c>
      <c r="E500" t="inlineStr">
        <is>
          <t>KROKOM</t>
        </is>
      </c>
      <c r="F500" t="inlineStr">
        <is>
          <t>Övriga Aktiebolag</t>
        </is>
      </c>
      <c r="G500" t="n">
        <v>37.6</v>
      </c>
      <c r="H500" t="n">
        <v>0</v>
      </c>
      <c r="I500" t="n">
        <v>0</v>
      </c>
      <c r="J500" t="n">
        <v>0</v>
      </c>
      <c r="K500" t="n">
        <v>0</v>
      </c>
      <c r="L500" t="n">
        <v>0</v>
      </c>
      <c r="M500" t="n">
        <v>0</v>
      </c>
      <c r="N500" t="n">
        <v>0</v>
      </c>
      <c r="O500" t="n">
        <v>0</v>
      </c>
      <c r="P500" t="n">
        <v>0</v>
      </c>
      <c r="Q500" t="n">
        <v>0</v>
      </c>
      <c r="R500" s="2" t="inlineStr"/>
    </row>
    <row r="501" ht="15" customHeight="1">
      <c r="A501" t="inlineStr">
        <is>
          <t>A 16199-2025</t>
        </is>
      </c>
      <c r="B501" s="1" t="n">
        <v>45750.60577546297</v>
      </c>
      <c r="C501" s="1" t="n">
        <v>46012</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28729-2025</t>
        </is>
      </c>
      <c r="B502" s="1" t="n">
        <v>45820.36512731481</v>
      </c>
      <c r="C502" s="1" t="n">
        <v>46012</v>
      </c>
      <c r="D502" t="inlineStr">
        <is>
          <t>JÄMTLANDS LÄN</t>
        </is>
      </c>
      <c r="E502" t="inlineStr">
        <is>
          <t>KROKOM</t>
        </is>
      </c>
      <c r="G502" t="n">
        <v>3.6</v>
      </c>
      <c r="H502" t="n">
        <v>0</v>
      </c>
      <c r="I502" t="n">
        <v>0</v>
      </c>
      <c r="J502" t="n">
        <v>0</v>
      </c>
      <c r="K502" t="n">
        <v>0</v>
      </c>
      <c r="L502" t="n">
        <v>0</v>
      </c>
      <c r="M502" t="n">
        <v>0</v>
      </c>
      <c r="N502" t="n">
        <v>0</v>
      </c>
      <c r="O502" t="n">
        <v>0</v>
      </c>
      <c r="P502" t="n">
        <v>0</v>
      </c>
      <c r="Q502" t="n">
        <v>0</v>
      </c>
      <c r="R502" s="2" t="inlineStr"/>
    </row>
    <row r="503" ht="15" customHeight="1">
      <c r="A503" t="inlineStr">
        <is>
          <t>A 28789-2025</t>
        </is>
      </c>
      <c r="B503" s="1" t="n">
        <v>45820.47200231482</v>
      </c>
      <c r="C503" s="1" t="n">
        <v>46012</v>
      </c>
      <c r="D503" t="inlineStr">
        <is>
          <t>JÄMTLANDS LÄN</t>
        </is>
      </c>
      <c r="E503" t="inlineStr">
        <is>
          <t>KROKOM</t>
        </is>
      </c>
      <c r="F503" t="inlineStr">
        <is>
          <t>Kyrkan</t>
        </is>
      </c>
      <c r="G503" t="n">
        <v>28.4</v>
      </c>
      <c r="H503" t="n">
        <v>0</v>
      </c>
      <c r="I503" t="n">
        <v>0</v>
      </c>
      <c r="J503" t="n">
        <v>0</v>
      </c>
      <c r="K503" t="n">
        <v>0</v>
      </c>
      <c r="L503" t="n">
        <v>0</v>
      </c>
      <c r="M503" t="n">
        <v>0</v>
      </c>
      <c r="N503" t="n">
        <v>0</v>
      </c>
      <c r="O503" t="n">
        <v>0</v>
      </c>
      <c r="P503" t="n">
        <v>0</v>
      </c>
      <c r="Q503" t="n">
        <v>0</v>
      </c>
      <c r="R503" s="2" t="inlineStr"/>
    </row>
    <row r="504" ht="15" customHeight="1">
      <c r="A504" t="inlineStr">
        <is>
          <t>A 28848-2025</t>
        </is>
      </c>
      <c r="B504" s="1" t="n">
        <v>45820</v>
      </c>
      <c r="C504" s="1" t="n">
        <v>46012</v>
      </c>
      <c r="D504" t="inlineStr">
        <is>
          <t>JÄMTLANDS LÄN</t>
        </is>
      </c>
      <c r="E504" t="inlineStr">
        <is>
          <t>KROKOM</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44156-2024</t>
        </is>
      </c>
      <c r="B505" s="1" t="n">
        <v>45572</v>
      </c>
      <c r="C505" s="1" t="n">
        <v>46012</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42235-2025</t>
        </is>
      </c>
      <c r="B506" s="1" t="n">
        <v>45904.56144675926</v>
      </c>
      <c r="C506" s="1" t="n">
        <v>46012</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46012</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28728-2025</t>
        </is>
      </c>
      <c r="B508" s="1" t="n">
        <v>45820.36506944444</v>
      </c>
      <c r="C508" s="1" t="n">
        <v>46012</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46012</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4575-2025</t>
        </is>
      </c>
      <c r="B510" s="1" t="n">
        <v>45687.48931712963</v>
      </c>
      <c r="C510" s="1" t="n">
        <v>46012</v>
      </c>
      <c r="D510" t="inlineStr">
        <is>
          <t>JÄMTLANDS LÄN</t>
        </is>
      </c>
      <c r="E510" t="inlineStr">
        <is>
          <t>KROKOM</t>
        </is>
      </c>
      <c r="G510" t="n">
        <v>0.7</v>
      </c>
      <c r="H510" t="n">
        <v>0</v>
      </c>
      <c r="I510" t="n">
        <v>0</v>
      </c>
      <c r="J510" t="n">
        <v>0</v>
      </c>
      <c r="K510" t="n">
        <v>0</v>
      </c>
      <c r="L510" t="n">
        <v>0</v>
      </c>
      <c r="M510" t="n">
        <v>0</v>
      </c>
      <c r="N510" t="n">
        <v>0</v>
      </c>
      <c r="O510" t="n">
        <v>0</v>
      </c>
      <c r="P510" t="n">
        <v>0</v>
      </c>
      <c r="Q510" t="n">
        <v>0</v>
      </c>
      <c r="R510" s="2" t="inlineStr"/>
    </row>
    <row r="511" ht="15" customHeight="1">
      <c r="A511" t="inlineStr">
        <is>
          <t>A 42774-2024</t>
        </is>
      </c>
      <c r="B511" s="1" t="n">
        <v>45566.51501157408</v>
      </c>
      <c r="C511" s="1" t="n">
        <v>46012</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42231-2025</t>
        </is>
      </c>
      <c r="B512" s="1" t="n">
        <v>45904.55565972222</v>
      </c>
      <c r="C512" s="1" t="n">
        <v>46012</v>
      </c>
      <c r="D512" t="inlineStr">
        <is>
          <t>JÄMTLANDS LÄN</t>
        </is>
      </c>
      <c r="E512" t="inlineStr">
        <is>
          <t>KROKOM</t>
        </is>
      </c>
      <c r="G512" t="n">
        <v>0.6</v>
      </c>
      <c r="H512" t="n">
        <v>0</v>
      </c>
      <c r="I512" t="n">
        <v>0</v>
      </c>
      <c r="J512" t="n">
        <v>0</v>
      </c>
      <c r="K512" t="n">
        <v>0</v>
      </c>
      <c r="L512" t="n">
        <v>0</v>
      </c>
      <c r="M512" t="n">
        <v>0</v>
      </c>
      <c r="N512" t="n">
        <v>0</v>
      </c>
      <c r="O512" t="n">
        <v>0</v>
      </c>
      <c r="P512" t="n">
        <v>0</v>
      </c>
      <c r="Q512" t="n">
        <v>0</v>
      </c>
      <c r="R512" s="2" t="inlineStr"/>
    </row>
    <row r="513" ht="15" customHeight="1">
      <c r="A513" t="inlineStr">
        <is>
          <t>A 58416-2024</t>
        </is>
      </c>
      <c r="B513" s="1" t="n">
        <v>45634.79854166666</v>
      </c>
      <c r="C513" s="1" t="n">
        <v>46012</v>
      </c>
      <c r="D513" t="inlineStr">
        <is>
          <t>JÄMTLANDS LÄN</t>
        </is>
      </c>
      <c r="E513" t="inlineStr">
        <is>
          <t>KROKOM</t>
        </is>
      </c>
      <c r="G513" t="n">
        <v>1.2</v>
      </c>
      <c r="H513" t="n">
        <v>0</v>
      </c>
      <c r="I513" t="n">
        <v>0</v>
      </c>
      <c r="J513" t="n">
        <v>0</v>
      </c>
      <c r="K513" t="n">
        <v>0</v>
      </c>
      <c r="L513" t="n">
        <v>0</v>
      </c>
      <c r="M513" t="n">
        <v>0</v>
      </c>
      <c r="N513" t="n">
        <v>0</v>
      </c>
      <c r="O513" t="n">
        <v>0</v>
      </c>
      <c r="P513" t="n">
        <v>0</v>
      </c>
      <c r="Q513" t="n">
        <v>0</v>
      </c>
      <c r="R513" s="2" t="inlineStr"/>
    </row>
    <row r="514" ht="15" customHeight="1">
      <c r="A514" t="inlineStr">
        <is>
          <t>A 42427-2025</t>
        </is>
      </c>
      <c r="B514" s="1" t="n">
        <v>45905.4174537037</v>
      </c>
      <c r="C514" s="1" t="n">
        <v>46012</v>
      </c>
      <c r="D514" t="inlineStr">
        <is>
          <t>JÄMTLANDS LÄN</t>
        </is>
      </c>
      <c r="E514" t="inlineStr">
        <is>
          <t>KROKOM</t>
        </is>
      </c>
      <c r="G514" t="n">
        <v>5.3</v>
      </c>
      <c r="H514" t="n">
        <v>0</v>
      </c>
      <c r="I514" t="n">
        <v>0</v>
      </c>
      <c r="J514" t="n">
        <v>0</v>
      </c>
      <c r="K514" t="n">
        <v>0</v>
      </c>
      <c r="L514" t="n">
        <v>0</v>
      </c>
      <c r="M514" t="n">
        <v>0</v>
      </c>
      <c r="N514" t="n">
        <v>0</v>
      </c>
      <c r="O514" t="n">
        <v>0</v>
      </c>
      <c r="P514" t="n">
        <v>0</v>
      </c>
      <c r="Q514" t="n">
        <v>0</v>
      </c>
      <c r="R514" s="2" t="inlineStr"/>
    </row>
    <row r="515" ht="15" customHeight="1">
      <c r="A515" t="inlineStr">
        <is>
          <t>A 42445-2025</t>
        </is>
      </c>
      <c r="B515" s="1" t="n">
        <v>45905.4375</v>
      </c>
      <c r="C515" s="1" t="n">
        <v>46012</v>
      </c>
      <c r="D515" t="inlineStr">
        <is>
          <t>JÄMTLANDS LÄN</t>
        </is>
      </c>
      <c r="E515" t="inlineStr">
        <is>
          <t>KROKOM</t>
        </is>
      </c>
      <c r="G515" t="n">
        <v>2.8</v>
      </c>
      <c r="H515" t="n">
        <v>0</v>
      </c>
      <c r="I515" t="n">
        <v>0</v>
      </c>
      <c r="J515" t="n">
        <v>0</v>
      </c>
      <c r="K515" t="n">
        <v>0</v>
      </c>
      <c r="L515" t="n">
        <v>0</v>
      </c>
      <c r="M515" t="n">
        <v>0</v>
      </c>
      <c r="N515" t="n">
        <v>0</v>
      </c>
      <c r="O515" t="n">
        <v>0</v>
      </c>
      <c r="P515" t="n">
        <v>0</v>
      </c>
      <c r="Q515" t="n">
        <v>0</v>
      </c>
      <c r="R515" s="2" t="inlineStr"/>
    </row>
    <row r="516" ht="15" customHeight="1">
      <c r="A516" t="inlineStr">
        <is>
          <t>A 29956-2025</t>
        </is>
      </c>
      <c r="B516" s="1" t="n">
        <v>45826.4705787037</v>
      </c>
      <c r="C516" s="1" t="n">
        <v>46012</v>
      </c>
      <c r="D516" t="inlineStr">
        <is>
          <t>JÄMTLANDS LÄN</t>
        </is>
      </c>
      <c r="E516" t="inlineStr">
        <is>
          <t>KROKOM</t>
        </is>
      </c>
      <c r="F516" t="inlineStr">
        <is>
          <t>SCA</t>
        </is>
      </c>
      <c r="G516" t="n">
        <v>16.1</v>
      </c>
      <c r="H516" t="n">
        <v>0</v>
      </c>
      <c r="I516" t="n">
        <v>0</v>
      </c>
      <c r="J516" t="n">
        <v>0</v>
      </c>
      <c r="K516" t="n">
        <v>0</v>
      </c>
      <c r="L516" t="n">
        <v>0</v>
      </c>
      <c r="M516" t="n">
        <v>0</v>
      </c>
      <c r="N516" t="n">
        <v>0</v>
      </c>
      <c r="O516" t="n">
        <v>0</v>
      </c>
      <c r="P516" t="n">
        <v>0</v>
      </c>
      <c r="Q516" t="n">
        <v>0</v>
      </c>
      <c r="R516" s="2" t="inlineStr"/>
    </row>
    <row r="517" ht="15" customHeight="1">
      <c r="A517" t="inlineStr">
        <is>
          <t>A 31026-2025</t>
        </is>
      </c>
      <c r="B517" s="1" t="n">
        <v>45832</v>
      </c>
      <c r="C517" s="1" t="n">
        <v>46012</v>
      </c>
      <c r="D517" t="inlineStr">
        <is>
          <t>JÄMTLANDS LÄN</t>
        </is>
      </c>
      <c r="E517" t="inlineStr">
        <is>
          <t>KROKOM</t>
        </is>
      </c>
      <c r="G517" t="n">
        <v>2.2</v>
      </c>
      <c r="H517" t="n">
        <v>0</v>
      </c>
      <c r="I517" t="n">
        <v>0</v>
      </c>
      <c r="J517" t="n">
        <v>0</v>
      </c>
      <c r="K517" t="n">
        <v>0</v>
      </c>
      <c r="L517" t="n">
        <v>0</v>
      </c>
      <c r="M517" t="n">
        <v>0</v>
      </c>
      <c r="N517" t="n">
        <v>0</v>
      </c>
      <c r="O517" t="n">
        <v>0</v>
      </c>
      <c r="P517" t="n">
        <v>0</v>
      </c>
      <c r="Q517" t="n">
        <v>0</v>
      </c>
      <c r="R517" s="2" t="inlineStr"/>
    </row>
    <row r="518" ht="15" customHeight="1">
      <c r="A518" t="inlineStr">
        <is>
          <t>A 20798-2025</t>
        </is>
      </c>
      <c r="B518" s="1" t="n">
        <v>45776</v>
      </c>
      <c r="C518" s="1" t="n">
        <v>46012</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54160-2023</t>
        </is>
      </c>
      <c r="B519" s="1" t="n">
        <v>45232.46239583333</v>
      </c>
      <c r="C519" s="1" t="n">
        <v>46012</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39753-2024</t>
        </is>
      </c>
      <c r="B520" s="1" t="n">
        <v>45552.67611111111</v>
      </c>
      <c r="C520" s="1" t="n">
        <v>46012</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58415-2024</t>
        </is>
      </c>
      <c r="B521" s="1" t="n">
        <v>45634.7925</v>
      </c>
      <c r="C521" s="1" t="n">
        <v>46012</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6585-2025</t>
        </is>
      </c>
      <c r="B522" s="1" t="n">
        <v>45700.27895833334</v>
      </c>
      <c r="C522" s="1" t="n">
        <v>46012</v>
      </c>
      <c r="D522" t="inlineStr">
        <is>
          <t>JÄMTLANDS LÄN</t>
        </is>
      </c>
      <c r="E522" t="inlineStr">
        <is>
          <t>KROKOM</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8868-2025</t>
        </is>
      </c>
      <c r="B523" s="1" t="n">
        <v>45713.36836805556</v>
      </c>
      <c r="C523" s="1" t="n">
        <v>46012</v>
      </c>
      <c r="D523" t="inlineStr">
        <is>
          <t>JÄMTLANDS LÄN</t>
        </is>
      </c>
      <c r="E523" t="inlineStr">
        <is>
          <t>KROKOM</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48971-2024</t>
        </is>
      </c>
      <c r="B524" s="1" t="n">
        <v>45594.463125</v>
      </c>
      <c r="C524" s="1" t="n">
        <v>46012</v>
      </c>
      <c r="D524" t="inlineStr">
        <is>
          <t>JÄMTLANDS LÄN</t>
        </is>
      </c>
      <c r="E524" t="inlineStr">
        <is>
          <t>KROKOM</t>
        </is>
      </c>
      <c r="G524" t="n">
        <v>11.8</v>
      </c>
      <c r="H524" t="n">
        <v>0</v>
      </c>
      <c r="I524" t="n">
        <v>0</v>
      </c>
      <c r="J524" t="n">
        <v>0</v>
      </c>
      <c r="K524" t="n">
        <v>0</v>
      </c>
      <c r="L524" t="n">
        <v>0</v>
      </c>
      <c r="M524" t="n">
        <v>0</v>
      </c>
      <c r="N524" t="n">
        <v>0</v>
      </c>
      <c r="O524" t="n">
        <v>0</v>
      </c>
      <c r="P524" t="n">
        <v>0</v>
      </c>
      <c r="Q524" t="n">
        <v>0</v>
      </c>
      <c r="R524" s="2" t="inlineStr"/>
    </row>
    <row r="525" ht="15" customHeight="1">
      <c r="A525" t="inlineStr">
        <is>
          <t>A 36588-2025</t>
        </is>
      </c>
      <c r="B525" s="1" t="n">
        <v>45870</v>
      </c>
      <c r="C525" s="1" t="n">
        <v>46012</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55479-2022</t>
        </is>
      </c>
      <c r="B526" s="1" t="n">
        <v>44887</v>
      </c>
      <c r="C526" s="1" t="n">
        <v>46012</v>
      </c>
      <c r="D526" t="inlineStr">
        <is>
          <t>JÄMTLANDS LÄN</t>
        </is>
      </c>
      <c r="E526" t="inlineStr">
        <is>
          <t>KROKOM</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11591-2022</t>
        </is>
      </c>
      <c r="B527" s="1" t="n">
        <v>44631</v>
      </c>
      <c r="C527" s="1" t="n">
        <v>46012</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c r="U527">
        <f>HYPERLINK("https://klasma.github.io/Logging_2309/knärot/A 11591-2022 karta knärot.png", "A 11591-2022")</f>
        <v/>
      </c>
      <c r="V527">
        <f>HYPERLINK("https://klasma.github.io/Logging_2309/klagomål/A 11591-2022 FSC-klagomål.docx", "A 11591-2022")</f>
        <v/>
      </c>
      <c r="W527">
        <f>HYPERLINK("https://klasma.github.io/Logging_2309/klagomålsmail/A 11591-2022 FSC-klagomål mail.docx", "A 11591-2022")</f>
        <v/>
      </c>
      <c r="X527">
        <f>HYPERLINK("https://klasma.github.io/Logging_2309/tillsyn/A 11591-2022 tillsynsbegäran.docx", "A 11591-2022")</f>
        <v/>
      </c>
      <c r="Y527">
        <f>HYPERLINK("https://klasma.github.io/Logging_2309/tillsynsmail/A 11591-2022 tillsynsbegäran mail.docx", "A 11591-2022")</f>
        <v/>
      </c>
    </row>
    <row r="528" ht="15" customHeight="1">
      <c r="A528" t="inlineStr">
        <is>
          <t>A 20953-2023</t>
        </is>
      </c>
      <c r="B528" s="1" t="n">
        <v>45056</v>
      </c>
      <c r="C528" s="1" t="n">
        <v>46012</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20966-2023</t>
        </is>
      </c>
      <c r="B529" s="1" t="n">
        <v>45056</v>
      </c>
      <c r="C529" s="1" t="n">
        <v>46012</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30890-2025</t>
        </is>
      </c>
      <c r="B530" s="1" t="n">
        <v>45832.34630787037</v>
      </c>
      <c r="C530" s="1" t="n">
        <v>46012</v>
      </c>
      <c r="D530" t="inlineStr">
        <is>
          <t>JÄMTLANDS LÄN</t>
        </is>
      </c>
      <c r="E530" t="inlineStr">
        <is>
          <t>KROKOM</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43785-2025</t>
        </is>
      </c>
      <c r="B531" s="1" t="n">
        <v>45912</v>
      </c>
      <c r="C531" s="1" t="n">
        <v>46012</v>
      </c>
      <c r="D531" t="inlineStr">
        <is>
          <t>JÄMTLANDS LÄN</t>
        </is>
      </c>
      <c r="E531" t="inlineStr">
        <is>
          <t>KROKOM</t>
        </is>
      </c>
      <c r="G531" t="n">
        <v>2</v>
      </c>
      <c r="H531" t="n">
        <v>0</v>
      </c>
      <c r="I531" t="n">
        <v>0</v>
      </c>
      <c r="J531" t="n">
        <v>0</v>
      </c>
      <c r="K531" t="n">
        <v>0</v>
      </c>
      <c r="L531" t="n">
        <v>0</v>
      </c>
      <c r="M531" t="n">
        <v>0</v>
      </c>
      <c r="N531" t="n">
        <v>0</v>
      </c>
      <c r="O531" t="n">
        <v>0</v>
      </c>
      <c r="P531" t="n">
        <v>0</v>
      </c>
      <c r="Q531" t="n">
        <v>0</v>
      </c>
      <c r="R531" s="2" t="inlineStr"/>
    </row>
    <row r="532" ht="15" customHeight="1">
      <c r="A532" t="inlineStr">
        <is>
          <t>A 5693-2022</t>
        </is>
      </c>
      <c r="B532" s="1" t="n">
        <v>44596</v>
      </c>
      <c r="C532" s="1" t="n">
        <v>46012</v>
      </c>
      <c r="D532" t="inlineStr">
        <is>
          <t>JÄMTLANDS LÄN</t>
        </is>
      </c>
      <c r="E532" t="inlineStr">
        <is>
          <t>KROKOM</t>
        </is>
      </c>
      <c r="G532" t="n">
        <v>40.8</v>
      </c>
      <c r="H532" t="n">
        <v>0</v>
      </c>
      <c r="I532" t="n">
        <v>0</v>
      </c>
      <c r="J532" t="n">
        <v>0</v>
      </c>
      <c r="K532" t="n">
        <v>0</v>
      </c>
      <c r="L532" t="n">
        <v>0</v>
      </c>
      <c r="M532" t="n">
        <v>0</v>
      </c>
      <c r="N532" t="n">
        <v>0</v>
      </c>
      <c r="O532" t="n">
        <v>0</v>
      </c>
      <c r="P532" t="n">
        <v>0</v>
      </c>
      <c r="Q532" t="n">
        <v>0</v>
      </c>
      <c r="R532" s="2" t="inlineStr"/>
    </row>
    <row r="533" ht="15" customHeight="1">
      <c r="A533" t="inlineStr">
        <is>
          <t>A 31032-2025</t>
        </is>
      </c>
      <c r="B533" s="1" t="n">
        <v>45832.53935185185</v>
      </c>
      <c r="C533" s="1" t="n">
        <v>46012</v>
      </c>
      <c r="D533" t="inlineStr">
        <is>
          <t>JÄMTLANDS LÄN</t>
        </is>
      </c>
      <c r="E533" t="inlineStr">
        <is>
          <t>KROKOM</t>
        </is>
      </c>
      <c r="F533" t="inlineStr">
        <is>
          <t>Övriga Aktiebolag</t>
        </is>
      </c>
      <c r="G533" t="n">
        <v>1.6</v>
      </c>
      <c r="H533" t="n">
        <v>0</v>
      </c>
      <c r="I533" t="n">
        <v>0</v>
      </c>
      <c r="J533" t="n">
        <v>0</v>
      </c>
      <c r="K533" t="n">
        <v>0</v>
      </c>
      <c r="L533" t="n">
        <v>0</v>
      </c>
      <c r="M533" t="n">
        <v>0</v>
      </c>
      <c r="N533" t="n">
        <v>0</v>
      </c>
      <c r="O533" t="n">
        <v>0</v>
      </c>
      <c r="P533" t="n">
        <v>0</v>
      </c>
      <c r="Q533" t="n">
        <v>0</v>
      </c>
      <c r="R533" s="2" t="inlineStr"/>
    </row>
    <row r="534" ht="15" customHeight="1">
      <c r="A534" t="inlineStr">
        <is>
          <t>A 31027-2025</t>
        </is>
      </c>
      <c r="B534" s="1" t="n">
        <v>45832.53225694445</v>
      </c>
      <c r="C534" s="1" t="n">
        <v>46012</v>
      </c>
      <c r="D534" t="inlineStr">
        <is>
          <t>JÄMTLANDS LÄN</t>
        </is>
      </c>
      <c r="E534" t="inlineStr">
        <is>
          <t>KROKOM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68658-2020</t>
        </is>
      </c>
      <c r="B535" s="1" t="n">
        <v>44186</v>
      </c>
      <c r="C535" s="1" t="n">
        <v>46012</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8011-2025</t>
        </is>
      </c>
      <c r="B536" s="1" t="n">
        <v>45707.55246527777</v>
      </c>
      <c r="C536" s="1" t="n">
        <v>46012</v>
      </c>
      <c r="D536" t="inlineStr">
        <is>
          <t>JÄMTLANDS LÄN</t>
        </is>
      </c>
      <c r="E536" t="inlineStr">
        <is>
          <t>KROKOM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10397-2025</t>
        </is>
      </c>
      <c r="B537" s="1" t="n">
        <v>45720.60774305555</v>
      </c>
      <c r="C537" s="1" t="n">
        <v>46012</v>
      </c>
      <c r="D537" t="inlineStr">
        <is>
          <t>JÄMTLANDS LÄN</t>
        </is>
      </c>
      <c r="E537" t="inlineStr">
        <is>
          <t>KROKOM</t>
        </is>
      </c>
      <c r="F537" t="inlineStr">
        <is>
          <t>Övriga Aktiebolag</t>
        </is>
      </c>
      <c r="G537" t="n">
        <v>32.9</v>
      </c>
      <c r="H537" t="n">
        <v>0</v>
      </c>
      <c r="I537" t="n">
        <v>0</v>
      </c>
      <c r="J537" t="n">
        <v>0</v>
      </c>
      <c r="K537" t="n">
        <v>0</v>
      </c>
      <c r="L537" t="n">
        <v>0</v>
      </c>
      <c r="M537" t="n">
        <v>0</v>
      </c>
      <c r="N537" t="n">
        <v>0</v>
      </c>
      <c r="O537" t="n">
        <v>0</v>
      </c>
      <c r="P537" t="n">
        <v>0</v>
      </c>
      <c r="Q537" t="n">
        <v>0</v>
      </c>
      <c r="R537" s="2" t="inlineStr"/>
    </row>
    <row r="538" ht="15" customHeight="1">
      <c r="A538" t="inlineStr">
        <is>
          <t>A 53827-2024</t>
        </is>
      </c>
      <c r="B538" s="1" t="n">
        <v>45615.61302083333</v>
      </c>
      <c r="C538" s="1" t="n">
        <v>46012</v>
      </c>
      <c r="D538" t="inlineStr">
        <is>
          <t>JÄMTLANDS LÄN</t>
        </is>
      </c>
      <c r="E538" t="inlineStr">
        <is>
          <t>KROKOM</t>
        </is>
      </c>
      <c r="F538" t="inlineStr">
        <is>
          <t>Övriga Aktiebolag</t>
        </is>
      </c>
      <c r="G538" t="n">
        <v>14.2</v>
      </c>
      <c r="H538" t="n">
        <v>0</v>
      </c>
      <c r="I538" t="n">
        <v>0</v>
      </c>
      <c r="J538" t="n">
        <v>0</v>
      </c>
      <c r="K538" t="n">
        <v>0</v>
      </c>
      <c r="L538" t="n">
        <v>0</v>
      </c>
      <c r="M538" t="n">
        <v>0</v>
      </c>
      <c r="N538" t="n">
        <v>0</v>
      </c>
      <c r="O538" t="n">
        <v>0</v>
      </c>
      <c r="P538" t="n">
        <v>0</v>
      </c>
      <c r="Q538" t="n">
        <v>0</v>
      </c>
      <c r="R538" s="2" t="inlineStr"/>
    </row>
    <row r="539" ht="15" customHeight="1">
      <c r="A539" t="inlineStr">
        <is>
          <t>A 44138-2025</t>
        </is>
      </c>
      <c r="B539" s="1" t="n">
        <v>45915.58836805556</v>
      </c>
      <c r="C539" s="1" t="n">
        <v>46012</v>
      </c>
      <c r="D539" t="inlineStr">
        <is>
          <t>JÄMTLANDS LÄN</t>
        </is>
      </c>
      <c r="E539" t="inlineStr">
        <is>
          <t>KROKOM</t>
        </is>
      </c>
      <c r="G539" t="n">
        <v>5</v>
      </c>
      <c r="H539" t="n">
        <v>0</v>
      </c>
      <c r="I539" t="n">
        <v>0</v>
      </c>
      <c r="J539" t="n">
        <v>0</v>
      </c>
      <c r="K539" t="n">
        <v>0</v>
      </c>
      <c r="L539" t="n">
        <v>0</v>
      </c>
      <c r="M539" t="n">
        <v>0</v>
      </c>
      <c r="N539" t="n">
        <v>0</v>
      </c>
      <c r="O539" t="n">
        <v>0</v>
      </c>
      <c r="P539" t="n">
        <v>0</v>
      </c>
      <c r="Q539" t="n">
        <v>0</v>
      </c>
      <c r="R539" s="2" t="inlineStr"/>
    </row>
    <row r="540" ht="15" customHeight="1">
      <c r="A540" t="inlineStr">
        <is>
          <t>A 43996-2025</t>
        </is>
      </c>
      <c r="B540" s="1" t="n">
        <v>45915</v>
      </c>
      <c r="C540" s="1" t="n">
        <v>46012</v>
      </c>
      <c r="D540" t="inlineStr">
        <is>
          <t>JÄMTLANDS LÄN</t>
        </is>
      </c>
      <c r="E540" t="inlineStr">
        <is>
          <t>KROKOM</t>
        </is>
      </c>
      <c r="G540" t="n">
        <v>24.2</v>
      </c>
      <c r="H540" t="n">
        <v>0</v>
      </c>
      <c r="I540" t="n">
        <v>0</v>
      </c>
      <c r="J540" t="n">
        <v>0</v>
      </c>
      <c r="K540" t="n">
        <v>0</v>
      </c>
      <c r="L540" t="n">
        <v>0</v>
      </c>
      <c r="M540" t="n">
        <v>0</v>
      </c>
      <c r="N540" t="n">
        <v>0</v>
      </c>
      <c r="O540" t="n">
        <v>0</v>
      </c>
      <c r="P540" t="n">
        <v>0</v>
      </c>
      <c r="Q540" t="n">
        <v>0</v>
      </c>
      <c r="R540" s="2" t="inlineStr"/>
    </row>
    <row r="541" ht="15" customHeight="1">
      <c r="A541" t="inlineStr">
        <is>
          <t>A 31290-2025</t>
        </is>
      </c>
      <c r="B541" s="1" t="n">
        <v>45833.36050925926</v>
      </c>
      <c r="C541" s="1" t="n">
        <v>46012</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31291-2025</t>
        </is>
      </c>
      <c r="B542" s="1" t="n">
        <v>45833.36083333333</v>
      </c>
      <c r="C542" s="1" t="n">
        <v>46012</v>
      </c>
      <c r="D542" t="inlineStr">
        <is>
          <t>JÄMTLANDS LÄN</t>
        </is>
      </c>
      <c r="E542" t="inlineStr">
        <is>
          <t>KROKOM</t>
        </is>
      </c>
      <c r="G542" t="n">
        <v>4.5</v>
      </c>
      <c r="H542" t="n">
        <v>0</v>
      </c>
      <c r="I542" t="n">
        <v>0</v>
      </c>
      <c r="J542" t="n">
        <v>0</v>
      </c>
      <c r="K542" t="n">
        <v>0</v>
      </c>
      <c r="L542" t="n">
        <v>0</v>
      </c>
      <c r="M542" t="n">
        <v>0</v>
      </c>
      <c r="N542" t="n">
        <v>0</v>
      </c>
      <c r="O542" t="n">
        <v>0</v>
      </c>
      <c r="P542" t="n">
        <v>0</v>
      </c>
      <c r="Q542" t="n">
        <v>0</v>
      </c>
      <c r="R542" s="2" t="inlineStr"/>
    </row>
    <row r="543" ht="15" customHeight="1">
      <c r="A543" t="inlineStr">
        <is>
          <t>A 31654-2025</t>
        </is>
      </c>
      <c r="B543" s="1" t="n">
        <v>45834.34726851852</v>
      </c>
      <c r="C543" s="1" t="n">
        <v>46012</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15663-2025</t>
        </is>
      </c>
      <c r="B544" s="1" t="n">
        <v>45748</v>
      </c>
      <c r="C544" s="1" t="n">
        <v>46012</v>
      </c>
      <c r="D544" t="inlineStr">
        <is>
          <t>JÄMTLANDS LÄN</t>
        </is>
      </c>
      <c r="E544" t="inlineStr">
        <is>
          <t>KROKOM</t>
        </is>
      </c>
      <c r="F544" t="inlineStr">
        <is>
          <t>Övriga Aktiebolag</t>
        </is>
      </c>
      <c r="G544" t="n">
        <v>11.5</v>
      </c>
      <c r="H544" t="n">
        <v>0</v>
      </c>
      <c r="I544" t="n">
        <v>0</v>
      </c>
      <c r="J544" t="n">
        <v>0</v>
      </c>
      <c r="K544" t="n">
        <v>0</v>
      </c>
      <c r="L544" t="n">
        <v>0</v>
      </c>
      <c r="M544" t="n">
        <v>0</v>
      </c>
      <c r="N544" t="n">
        <v>0</v>
      </c>
      <c r="O544" t="n">
        <v>0</v>
      </c>
      <c r="P544" t="n">
        <v>0</v>
      </c>
      <c r="Q544" t="n">
        <v>0</v>
      </c>
      <c r="R544" s="2" t="inlineStr"/>
    </row>
    <row r="545" ht="15" customHeight="1">
      <c r="A545" t="inlineStr">
        <is>
          <t>A 31852-2025</t>
        </is>
      </c>
      <c r="B545" s="1" t="n">
        <v>45834.61517361111</v>
      </c>
      <c r="C545" s="1" t="n">
        <v>46012</v>
      </c>
      <c r="D545" t="inlineStr">
        <is>
          <t>JÄMTLANDS LÄN</t>
        </is>
      </c>
      <c r="E545" t="inlineStr">
        <is>
          <t>KROKOM</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31292-2025</t>
        </is>
      </c>
      <c r="B546" s="1" t="n">
        <v>45833.36111111111</v>
      </c>
      <c r="C546" s="1" t="n">
        <v>46012</v>
      </c>
      <c r="D546" t="inlineStr">
        <is>
          <t>JÄMTLANDS LÄN</t>
        </is>
      </c>
      <c r="E546" t="inlineStr">
        <is>
          <t>KROKOM</t>
        </is>
      </c>
      <c r="G546" t="n">
        <v>3.3</v>
      </c>
      <c r="H546" t="n">
        <v>0</v>
      </c>
      <c r="I546" t="n">
        <v>0</v>
      </c>
      <c r="J546" t="n">
        <v>0</v>
      </c>
      <c r="K546" t="n">
        <v>0</v>
      </c>
      <c r="L546" t="n">
        <v>0</v>
      </c>
      <c r="M546" t="n">
        <v>0</v>
      </c>
      <c r="N546" t="n">
        <v>0</v>
      </c>
      <c r="O546" t="n">
        <v>0</v>
      </c>
      <c r="P546" t="n">
        <v>0</v>
      </c>
      <c r="Q546" t="n">
        <v>0</v>
      </c>
      <c r="R546" s="2" t="inlineStr"/>
    </row>
    <row r="547" ht="15" customHeight="1">
      <c r="A547" t="inlineStr">
        <is>
          <t>A 7111-2024</t>
        </is>
      </c>
      <c r="B547" s="1" t="n">
        <v>45343.95162037037</v>
      </c>
      <c r="C547" s="1" t="n">
        <v>46012</v>
      </c>
      <c r="D547" t="inlineStr">
        <is>
          <t>JÄMTLANDS LÄN</t>
        </is>
      </c>
      <c r="E547" t="inlineStr">
        <is>
          <t>KROKOM</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32038-2025</t>
        </is>
      </c>
      <c r="B548" s="1" t="n">
        <v>45835.42712962963</v>
      </c>
      <c r="C548" s="1" t="n">
        <v>46012</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46012</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37465-2025</t>
        </is>
      </c>
      <c r="B550" s="1" t="n">
        <v>45877.57403935185</v>
      </c>
      <c r="C550" s="1" t="n">
        <v>46012</v>
      </c>
      <c r="D550" t="inlineStr">
        <is>
          <t>JÄMTLANDS LÄN</t>
        </is>
      </c>
      <c r="E550" t="inlineStr">
        <is>
          <t>KROKOM</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45464-2025</t>
        </is>
      </c>
      <c r="B551" s="1" t="n">
        <v>45922.4984837963</v>
      </c>
      <c r="C551" s="1" t="n">
        <v>46012</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45462-2025</t>
        </is>
      </c>
      <c r="B552" s="1" t="n">
        <v>45922.49604166667</v>
      </c>
      <c r="C552" s="1" t="n">
        <v>46012</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33045-2025</t>
        </is>
      </c>
      <c r="B553" s="1" t="n">
        <v>45840.40717592592</v>
      </c>
      <c r="C553" s="1" t="n">
        <v>46012</v>
      </c>
      <c r="D553" t="inlineStr">
        <is>
          <t>JÄMTLANDS LÄN</t>
        </is>
      </c>
      <c r="E553" t="inlineStr">
        <is>
          <t>KROKOM</t>
        </is>
      </c>
      <c r="F553" t="inlineStr">
        <is>
          <t>SCA</t>
        </is>
      </c>
      <c r="G553" t="n">
        <v>18.7</v>
      </c>
      <c r="H553" t="n">
        <v>0</v>
      </c>
      <c r="I553" t="n">
        <v>0</v>
      </c>
      <c r="J553" t="n">
        <v>0</v>
      </c>
      <c r="K553" t="n">
        <v>0</v>
      </c>
      <c r="L553" t="n">
        <v>0</v>
      </c>
      <c r="M553" t="n">
        <v>0</v>
      </c>
      <c r="N553" t="n">
        <v>0</v>
      </c>
      <c r="O553" t="n">
        <v>0</v>
      </c>
      <c r="P553" t="n">
        <v>0</v>
      </c>
      <c r="Q553" t="n">
        <v>0</v>
      </c>
      <c r="R553" s="2" t="inlineStr"/>
    </row>
    <row r="554" ht="15" customHeight="1">
      <c r="A554" t="inlineStr">
        <is>
          <t>A 45253-2025</t>
        </is>
      </c>
      <c r="B554" s="1" t="n">
        <v>45919.61512731481</v>
      </c>
      <c r="C554" s="1" t="n">
        <v>46012</v>
      </c>
      <c r="D554" t="inlineStr">
        <is>
          <t>JÄMTLANDS LÄN</t>
        </is>
      </c>
      <c r="E554" t="inlineStr">
        <is>
          <t>KROKOM</t>
        </is>
      </c>
      <c r="G554" t="n">
        <v>4.1</v>
      </c>
      <c r="H554" t="n">
        <v>0</v>
      </c>
      <c r="I554" t="n">
        <v>0</v>
      </c>
      <c r="J554" t="n">
        <v>0</v>
      </c>
      <c r="K554" t="n">
        <v>0</v>
      </c>
      <c r="L554" t="n">
        <v>0</v>
      </c>
      <c r="M554" t="n">
        <v>0</v>
      </c>
      <c r="N554" t="n">
        <v>0</v>
      </c>
      <c r="O554" t="n">
        <v>0</v>
      </c>
      <c r="P554" t="n">
        <v>0</v>
      </c>
      <c r="Q554" t="n">
        <v>0</v>
      </c>
      <c r="R554" s="2" t="inlineStr"/>
    </row>
    <row r="555" ht="15" customHeight="1">
      <c r="A555" t="inlineStr">
        <is>
          <t>A 32896-2025</t>
        </is>
      </c>
      <c r="B555" s="1" t="n">
        <v>45839.61541666667</v>
      </c>
      <c r="C555" s="1" t="n">
        <v>46012</v>
      </c>
      <c r="D555" t="inlineStr">
        <is>
          <t>JÄMTLANDS LÄN</t>
        </is>
      </c>
      <c r="E555" t="inlineStr">
        <is>
          <t>KROKOM</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32897-2025</t>
        </is>
      </c>
      <c r="B556" s="1" t="n">
        <v>45839.61563657408</v>
      </c>
      <c r="C556" s="1" t="n">
        <v>46012</v>
      </c>
      <c r="D556" t="inlineStr">
        <is>
          <t>JÄMTLANDS LÄN</t>
        </is>
      </c>
      <c r="E556" t="inlineStr">
        <is>
          <t>KROKOM</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10133-2025</t>
        </is>
      </c>
      <c r="B557" s="1" t="n">
        <v>45719</v>
      </c>
      <c r="C557" s="1" t="n">
        <v>46012</v>
      </c>
      <c r="D557" t="inlineStr">
        <is>
          <t>JÄMTLANDS LÄN</t>
        </is>
      </c>
      <c r="E557" t="inlineStr">
        <is>
          <t>KROKOM</t>
        </is>
      </c>
      <c r="G557" t="n">
        <v>3.2</v>
      </c>
      <c r="H557" t="n">
        <v>0</v>
      </c>
      <c r="I557" t="n">
        <v>0</v>
      </c>
      <c r="J557" t="n">
        <v>0</v>
      </c>
      <c r="K557" t="n">
        <v>0</v>
      </c>
      <c r="L557" t="n">
        <v>0</v>
      </c>
      <c r="M557" t="n">
        <v>0</v>
      </c>
      <c r="N557" t="n">
        <v>0</v>
      </c>
      <c r="O557" t="n">
        <v>0</v>
      </c>
      <c r="P557" t="n">
        <v>0</v>
      </c>
      <c r="Q557" t="n">
        <v>0</v>
      </c>
      <c r="R557" s="2" t="inlineStr"/>
    </row>
    <row r="558" ht="15" customHeight="1">
      <c r="A558" t="inlineStr">
        <is>
          <t>A 32966-2025</t>
        </is>
      </c>
      <c r="B558" s="1" t="n">
        <v>45839.72320601852</v>
      </c>
      <c r="C558" s="1" t="n">
        <v>46012</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32898-2025</t>
        </is>
      </c>
      <c r="B559" s="1" t="n">
        <v>45839.61582175926</v>
      </c>
      <c r="C559" s="1" t="n">
        <v>46012</v>
      </c>
      <c r="D559" t="inlineStr">
        <is>
          <t>JÄMTLANDS LÄN</t>
        </is>
      </c>
      <c r="E559" t="inlineStr">
        <is>
          <t>KROKOM</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32899-2025</t>
        </is>
      </c>
      <c r="B560" s="1" t="n">
        <v>45839.61594907408</v>
      </c>
      <c r="C560" s="1" t="n">
        <v>46012</v>
      </c>
      <c r="D560" t="inlineStr">
        <is>
          <t>JÄMTLANDS LÄN</t>
        </is>
      </c>
      <c r="E560" t="inlineStr">
        <is>
          <t>KROKOM</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53807-2024</t>
        </is>
      </c>
      <c r="B561" s="1" t="n">
        <v>45615.59521990741</v>
      </c>
      <c r="C561" s="1" t="n">
        <v>46012</v>
      </c>
      <c r="D561" t="inlineStr">
        <is>
          <t>JÄMTLANDS LÄN</t>
        </is>
      </c>
      <c r="E561" t="inlineStr">
        <is>
          <t>KROKOM</t>
        </is>
      </c>
      <c r="G561" t="n">
        <v>6.5</v>
      </c>
      <c r="H561" t="n">
        <v>0</v>
      </c>
      <c r="I561" t="n">
        <v>0</v>
      </c>
      <c r="J561" t="n">
        <v>0</v>
      </c>
      <c r="K561" t="n">
        <v>0</v>
      </c>
      <c r="L561" t="n">
        <v>0</v>
      </c>
      <c r="M561" t="n">
        <v>0</v>
      </c>
      <c r="N561" t="n">
        <v>0</v>
      </c>
      <c r="O561" t="n">
        <v>0</v>
      </c>
      <c r="P561" t="n">
        <v>0</v>
      </c>
      <c r="Q561" t="n">
        <v>0</v>
      </c>
      <c r="R561" s="2" t="inlineStr"/>
    </row>
    <row r="562" ht="15" customHeight="1">
      <c r="A562" t="inlineStr">
        <is>
          <t>A 33677-2025</t>
        </is>
      </c>
      <c r="B562" s="1" t="n">
        <v>45841.67834490741</v>
      </c>
      <c r="C562" s="1" t="n">
        <v>46012</v>
      </c>
      <c r="D562" t="inlineStr">
        <is>
          <t>JÄMTLANDS LÄN</t>
        </is>
      </c>
      <c r="E562" t="inlineStr">
        <is>
          <t>KROKOM</t>
        </is>
      </c>
      <c r="F562" t="inlineStr">
        <is>
          <t>SCA</t>
        </is>
      </c>
      <c r="G562" t="n">
        <v>13.7</v>
      </c>
      <c r="H562" t="n">
        <v>0</v>
      </c>
      <c r="I562" t="n">
        <v>0</v>
      </c>
      <c r="J562" t="n">
        <v>0</v>
      </c>
      <c r="K562" t="n">
        <v>0</v>
      </c>
      <c r="L562" t="n">
        <v>0</v>
      </c>
      <c r="M562" t="n">
        <v>0</v>
      </c>
      <c r="N562" t="n">
        <v>0</v>
      </c>
      <c r="O562" t="n">
        <v>0</v>
      </c>
      <c r="P562" t="n">
        <v>0</v>
      </c>
      <c r="Q562" t="n">
        <v>0</v>
      </c>
      <c r="R562" s="2" t="inlineStr"/>
    </row>
    <row r="563" ht="15" customHeight="1">
      <c r="A563" t="inlineStr">
        <is>
          <t>A 46141-2025</t>
        </is>
      </c>
      <c r="B563" s="1" t="n">
        <v>45924.60287037037</v>
      </c>
      <c r="C563" s="1" t="n">
        <v>46012</v>
      </c>
      <c r="D563" t="inlineStr">
        <is>
          <t>JÄMTLANDS LÄN</t>
        </is>
      </c>
      <c r="E563" t="inlineStr">
        <is>
          <t>KROKOM</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33777-2025</t>
        </is>
      </c>
      <c r="B564" s="1" t="n">
        <v>45842.39587962963</v>
      </c>
      <c r="C564" s="1" t="n">
        <v>46012</v>
      </c>
      <c r="D564" t="inlineStr">
        <is>
          <t>JÄMTLANDS LÄN</t>
        </is>
      </c>
      <c r="E564" t="inlineStr">
        <is>
          <t>KROKOM</t>
        </is>
      </c>
      <c r="F564" t="inlineStr">
        <is>
          <t>Övriga Aktiebolag</t>
        </is>
      </c>
      <c r="G564" t="n">
        <v>0.3</v>
      </c>
      <c r="H564" t="n">
        <v>0</v>
      </c>
      <c r="I564" t="n">
        <v>0</v>
      </c>
      <c r="J564" t="n">
        <v>0</v>
      </c>
      <c r="K564" t="n">
        <v>0</v>
      </c>
      <c r="L564" t="n">
        <v>0</v>
      </c>
      <c r="M564" t="n">
        <v>0</v>
      </c>
      <c r="N564" t="n">
        <v>0</v>
      </c>
      <c r="O564" t="n">
        <v>0</v>
      </c>
      <c r="P564" t="n">
        <v>0</v>
      </c>
      <c r="Q564" t="n">
        <v>0</v>
      </c>
      <c r="R564" s="2" t="inlineStr"/>
    </row>
    <row r="565" ht="15" customHeight="1">
      <c r="A565" t="inlineStr">
        <is>
          <t>A 33779-2025</t>
        </is>
      </c>
      <c r="B565" s="1" t="n">
        <v>45842.40013888889</v>
      </c>
      <c r="C565" s="1" t="n">
        <v>46012</v>
      </c>
      <c r="D565" t="inlineStr">
        <is>
          <t>JÄMTLANDS LÄN</t>
        </is>
      </c>
      <c r="E565" t="inlineStr">
        <is>
          <t>KROKOM</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15528-2024</t>
        </is>
      </c>
      <c r="B566" s="1" t="n">
        <v>45401.59810185185</v>
      </c>
      <c r="C566" s="1" t="n">
        <v>46012</v>
      </c>
      <c r="D566" t="inlineStr">
        <is>
          <t>JÄMTLANDS LÄN</t>
        </is>
      </c>
      <c r="E566" t="inlineStr">
        <is>
          <t>KROKOM</t>
        </is>
      </c>
      <c r="G566" t="n">
        <v>2.9</v>
      </c>
      <c r="H566" t="n">
        <v>0</v>
      </c>
      <c r="I566" t="n">
        <v>0</v>
      </c>
      <c r="J566" t="n">
        <v>0</v>
      </c>
      <c r="K566" t="n">
        <v>0</v>
      </c>
      <c r="L566" t="n">
        <v>0</v>
      </c>
      <c r="M566" t="n">
        <v>0</v>
      </c>
      <c r="N566" t="n">
        <v>0</v>
      </c>
      <c r="O566" t="n">
        <v>0</v>
      </c>
      <c r="P566" t="n">
        <v>0</v>
      </c>
      <c r="Q566" t="n">
        <v>0</v>
      </c>
      <c r="R566" s="2" t="inlineStr"/>
    </row>
    <row r="567" ht="15" customHeight="1">
      <c r="A567" t="inlineStr">
        <is>
          <t>A 46099-2025</t>
        </is>
      </c>
      <c r="B567" s="1" t="n">
        <v>45924.54465277777</v>
      </c>
      <c r="C567" s="1" t="n">
        <v>46012</v>
      </c>
      <c r="D567" t="inlineStr">
        <is>
          <t>JÄMTLANDS LÄN</t>
        </is>
      </c>
      <c r="E567" t="inlineStr">
        <is>
          <t>KROKOM</t>
        </is>
      </c>
      <c r="F567" t="inlineStr">
        <is>
          <t>Övriga Aktiebolag</t>
        </is>
      </c>
      <c r="G567" t="n">
        <v>13.4</v>
      </c>
      <c r="H567" t="n">
        <v>0</v>
      </c>
      <c r="I567" t="n">
        <v>0</v>
      </c>
      <c r="J567" t="n">
        <v>0</v>
      </c>
      <c r="K567" t="n">
        <v>0</v>
      </c>
      <c r="L567" t="n">
        <v>0</v>
      </c>
      <c r="M567" t="n">
        <v>0</v>
      </c>
      <c r="N567" t="n">
        <v>0</v>
      </c>
      <c r="O567" t="n">
        <v>0</v>
      </c>
      <c r="P567" t="n">
        <v>0</v>
      </c>
      <c r="Q567" t="n">
        <v>0</v>
      </c>
      <c r="R567" s="2" t="inlineStr"/>
    </row>
    <row r="568" ht="15" customHeight="1">
      <c r="A568" t="inlineStr">
        <is>
          <t>A 45778-2025</t>
        </is>
      </c>
      <c r="B568" s="1" t="n">
        <v>45923.54756944445</v>
      </c>
      <c r="C568" s="1" t="n">
        <v>46012</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45780-2025</t>
        </is>
      </c>
      <c r="B569" s="1" t="n">
        <v>45923.54827546296</v>
      </c>
      <c r="C569" s="1" t="n">
        <v>46012</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27075-2022</t>
        </is>
      </c>
      <c r="B570" s="1" t="n">
        <v>44741</v>
      </c>
      <c r="C570" s="1" t="n">
        <v>46012</v>
      </c>
      <c r="D570" t="inlineStr">
        <is>
          <t>JÄMTLANDS LÄN</t>
        </is>
      </c>
      <c r="E570" t="inlineStr">
        <is>
          <t>KROKOM</t>
        </is>
      </c>
      <c r="G570" t="n">
        <v>10.4</v>
      </c>
      <c r="H570" t="n">
        <v>0</v>
      </c>
      <c r="I570" t="n">
        <v>0</v>
      </c>
      <c r="J570" t="n">
        <v>0</v>
      </c>
      <c r="K570" t="n">
        <v>0</v>
      </c>
      <c r="L570" t="n">
        <v>0</v>
      </c>
      <c r="M570" t="n">
        <v>0</v>
      </c>
      <c r="N570" t="n">
        <v>0</v>
      </c>
      <c r="O570" t="n">
        <v>0</v>
      </c>
      <c r="P570" t="n">
        <v>0</v>
      </c>
      <c r="Q570" t="n">
        <v>0</v>
      </c>
      <c r="R570" s="2" t="inlineStr"/>
    </row>
    <row r="571" ht="15" customHeight="1">
      <c r="A571" t="inlineStr">
        <is>
          <t>A 24559-2024</t>
        </is>
      </c>
      <c r="B571" s="1" t="n">
        <v>45460.44076388889</v>
      </c>
      <c r="C571" s="1" t="n">
        <v>46012</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7908-2025</t>
        </is>
      </c>
      <c r="B572" s="1" t="n">
        <v>45707.33935185185</v>
      </c>
      <c r="C572" s="1" t="n">
        <v>46012</v>
      </c>
      <c r="D572" t="inlineStr">
        <is>
          <t>JÄMTLANDS LÄN</t>
        </is>
      </c>
      <c r="E572" t="inlineStr">
        <is>
          <t>KROKOM</t>
        </is>
      </c>
      <c r="F572" t="inlineStr">
        <is>
          <t>Övriga Aktiebolag</t>
        </is>
      </c>
      <c r="G572" t="n">
        <v>10.1</v>
      </c>
      <c r="H572" t="n">
        <v>0</v>
      </c>
      <c r="I572" t="n">
        <v>0</v>
      </c>
      <c r="J572" t="n">
        <v>0</v>
      </c>
      <c r="K572" t="n">
        <v>0</v>
      </c>
      <c r="L572" t="n">
        <v>0</v>
      </c>
      <c r="M572" t="n">
        <v>0</v>
      </c>
      <c r="N572" t="n">
        <v>0</v>
      </c>
      <c r="O572" t="n">
        <v>0</v>
      </c>
      <c r="P572" t="n">
        <v>0</v>
      </c>
      <c r="Q572" t="n">
        <v>0</v>
      </c>
      <c r="R572" s="2" t="inlineStr"/>
    </row>
    <row r="573" ht="15" customHeight="1">
      <c r="A573" t="inlineStr">
        <is>
          <t>A 20210-2025</t>
        </is>
      </c>
      <c r="B573" s="1" t="n">
        <v>45772.62052083333</v>
      </c>
      <c r="C573" s="1" t="n">
        <v>46012</v>
      </c>
      <c r="D573" t="inlineStr">
        <is>
          <t>JÄMTLANDS LÄN</t>
        </is>
      </c>
      <c r="E573" t="inlineStr">
        <is>
          <t>KROKOM</t>
        </is>
      </c>
      <c r="G573" t="n">
        <v>12.3</v>
      </c>
      <c r="H573" t="n">
        <v>0</v>
      </c>
      <c r="I573" t="n">
        <v>0</v>
      </c>
      <c r="J573" t="n">
        <v>0</v>
      </c>
      <c r="K573" t="n">
        <v>0</v>
      </c>
      <c r="L573" t="n">
        <v>0</v>
      </c>
      <c r="M573" t="n">
        <v>0</v>
      </c>
      <c r="N573" t="n">
        <v>0</v>
      </c>
      <c r="O573" t="n">
        <v>0</v>
      </c>
      <c r="P573" t="n">
        <v>0</v>
      </c>
      <c r="Q573" t="n">
        <v>0</v>
      </c>
      <c r="R573" s="2" t="inlineStr"/>
    </row>
    <row r="574" ht="15" customHeight="1">
      <c r="A574" t="inlineStr">
        <is>
          <t>A 58563-2023</t>
        </is>
      </c>
      <c r="B574" s="1" t="n">
        <v>45246</v>
      </c>
      <c r="C574" s="1" t="n">
        <v>46012</v>
      </c>
      <c r="D574" t="inlineStr">
        <is>
          <t>JÄMTLANDS LÄN</t>
        </is>
      </c>
      <c r="E574" t="inlineStr">
        <is>
          <t>KROKOM</t>
        </is>
      </c>
      <c r="G574" t="n">
        <v>1.7</v>
      </c>
      <c r="H574" t="n">
        <v>0</v>
      </c>
      <c r="I574" t="n">
        <v>0</v>
      </c>
      <c r="J574" t="n">
        <v>0</v>
      </c>
      <c r="K574" t="n">
        <v>0</v>
      </c>
      <c r="L574" t="n">
        <v>0</v>
      </c>
      <c r="M574" t="n">
        <v>0</v>
      </c>
      <c r="N574" t="n">
        <v>0</v>
      </c>
      <c r="O574" t="n">
        <v>0</v>
      </c>
      <c r="P574" t="n">
        <v>0</v>
      </c>
      <c r="Q574" t="n">
        <v>0</v>
      </c>
      <c r="R574" s="2" t="inlineStr"/>
    </row>
    <row r="575" ht="15" customHeight="1">
      <c r="A575" t="inlineStr">
        <is>
          <t>A 33915-2025</t>
        </is>
      </c>
      <c r="B575" s="1" t="n">
        <v>45842.6099537037</v>
      </c>
      <c r="C575" s="1" t="n">
        <v>46012</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33418-2025</t>
        </is>
      </c>
      <c r="B576" s="1" t="n">
        <v>45841.43987268519</v>
      </c>
      <c r="C576" s="1" t="n">
        <v>46012</v>
      </c>
      <c r="D576" t="inlineStr">
        <is>
          <t>JÄMTLANDS LÄN</t>
        </is>
      </c>
      <c r="E576" t="inlineStr">
        <is>
          <t>KROKOM</t>
        </is>
      </c>
      <c r="G576" t="n">
        <v>3.9</v>
      </c>
      <c r="H576" t="n">
        <v>0</v>
      </c>
      <c r="I576" t="n">
        <v>0</v>
      </c>
      <c r="J576" t="n">
        <v>0</v>
      </c>
      <c r="K576" t="n">
        <v>0</v>
      </c>
      <c r="L576" t="n">
        <v>0</v>
      </c>
      <c r="M576" t="n">
        <v>0</v>
      </c>
      <c r="N576" t="n">
        <v>0</v>
      </c>
      <c r="O576" t="n">
        <v>0</v>
      </c>
      <c r="P576" t="n">
        <v>0</v>
      </c>
      <c r="Q576" t="n">
        <v>0</v>
      </c>
      <c r="R576" s="2" t="inlineStr"/>
    </row>
    <row r="577" ht="15" customHeight="1">
      <c r="A577" t="inlineStr">
        <is>
          <t>A 33359-2022</t>
        </is>
      </c>
      <c r="B577" s="1" t="n">
        <v>44788</v>
      </c>
      <c r="C577" s="1" t="n">
        <v>46012</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34516-2025</t>
        </is>
      </c>
      <c r="B578" s="1" t="n">
        <v>45847.46462962963</v>
      </c>
      <c r="C578" s="1" t="n">
        <v>46012</v>
      </c>
      <c r="D578" t="inlineStr">
        <is>
          <t>JÄMTLANDS LÄN</t>
        </is>
      </c>
      <c r="E578" t="inlineStr">
        <is>
          <t>KROKOM</t>
        </is>
      </c>
      <c r="G578" t="n">
        <v>4</v>
      </c>
      <c r="H578" t="n">
        <v>0</v>
      </c>
      <c r="I578" t="n">
        <v>0</v>
      </c>
      <c r="J578" t="n">
        <v>0</v>
      </c>
      <c r="K578" t="n">
        <v>0</v>
      </c>
      <c r="L578" t="n">
        <v>0</v>
      </c>
      <c r="M578" t="n">
        <v>0</v>
      </c>
      <c r="N578" t="n">
        <v>0</v>
      </c>
      <c r="O578" t="n">
        <v>0</v>
      </c>
      <c r="P578" t="n">
        <v>0</v>
      </c>
      <c r="Q578" t="n">
        <v>0</v>
      </c>
      <c r="R578" s="2" t="inlineStr"/>
    </row>
    <row r="579" ht="15" customHeight="1">
      <c r="A579" t="inlineStr">
        <is>
          <t>A 44663-2025</t>
        </is>
      </c>
      <c r="B579" s="1" t="n">
        <v>45917</v>
      </c>
      <c r="C579" s="1" t="n">
        <v>46012</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33945-2025</t>
        </is>
      </c>
      <c r="B580" s="1" t="n">
        <v>45842</v>
      </c>
      <c r="C580" s="1" t="n">
        <v>46012</v>
      </c>
      <c r="D580" t="inlineStr">
        <is>
          <t>JÄMTLANDS LÄN</t>
        </is>
      </c>
      <c r="E580" t="inlineStr">
        <is>
          <t>KROKOM</t>
        </is>
      </c>
      <c r="G580" t="n">
        <v>7</v>
      </c>
      <c r="H580" t="n">
        <v>0</v>
      </c>
      <c r="I580" t="n">
        <v>0</v>
      </c>
      <c r="J580" t="n">
        <v>0</v>
      </c>
      <c r="K580" t="n">
        <v>0</v>
      </c>
      <c r="L580" t="n">
        <v>0</v>
      </c>
      <c r="M580" t="n">
        <v>0</v>
      </c>
      <c r="N580" t="n">
        <v>0</v>
      </c>
      <c r="O580" t="n">
        <v>0</v>
      </c>
      <c r="P580" t="n">
        <v>0</v>
      </c>
      <c r="Q580" t="n">
        <v>0</v>
      </c>
      <c r="R580" s="2" t="inlineStr"/>
    </row>
    <row r="581" ht="15" customHeight="1">
      <c r="A581" t="inlineStr">
        <is>
          <t>A 14234-2025</t>
        </is>
      </c>
      <c r="B581" s="1" t="n">
        <v>45740</v>
      </c>
      <c r="C581" s="1" t="n">
        <v>46012</v>
      </c>
      <c r="D581" t="inlineStr">
        <is>
          <t>JÄMTLANDS LÄN</t>
        </is>
      </c>
      <c r="E581" t="inlineStr">
        <is>
          <t>KROKOM</t>
        </is>
      </c>
      <c r="F581" t="inlineStr">
        <is>
          <t>Övriga statliga verk och myndigheter</t>
        </is>
      </c>
      <c r="G581" t="n">
        <v>1.5</v>
      </c>
      <c r="H581" t="n">
        <v>0</v>
      </c>
      <c r="I581" t="n">
        <v>0</v>
      </c>
      <c r="J581" t="n">
        <v>0</v>
      </c>
      <c r="K581" t="n">
        <v>0</v>
      </c>
      <c r="L581" t="n">
        <v>0</v>
      </c>
      <c r="M581" t="n">
        <v>0</v>
      </c>
      <c r="N581" t="n">
        <v>0</v>
      </c>
      <c r="O581" t="n">
        <v>0</v>
      </c>
      <c r="P581" t="n">
        <v>0</v>
      </c>
      <c r="Q581" t="n">
        <v>0</v>
      </c>
      <c r="R581" s="2" t="inlineStr"/>
    </row>
    <row r="582" ht="15" customHeight="1">
      <c r="A582" t="inlineStr">
        <is>
          <t>A 24103-2025</t>
        </is>
      </c>
      <c r="B582" s="1" t="n">
        <v>45796</v>
      </c>
      <c r="C582" s="1" t="n">
        <v>46012</v>
      </c>
      <c r="D582" t="inlineStr">
        <is>
          <t>JÄMTLANDS LÄN</t>
        </is>
      </c>
      <c r="E582" t="inlineStr">
        <is>
          <t>KROKOM</t>
        </is>
      </c>
      <c r="G582" t="n">
        <v>2.1</v>
      </c>
      <c r="H582" t="n">
        <v>0</v>
      </c>
      <c r="I582" t="n">
        <v>0</v>
      </c>
      <c r="J582" t="n">
        <v>0</v>
      </c>
      <c r="K582" t="n">
        <v>0</v>
      </c>
      <c r="L582" t="n">
        <v>0</v>
      </c>
      <c r="M582" t="n">
        <v>0</v>
      </c>
      <c r="N582" t="n">
        <v>0</v>
      </c>
      <c r="O582" t="n">
        <v>0</v>
      </c>
      <c r="P582" t="n">
        <v>0</v>
      </c>
      <c r="Q582" t="n">
        <v>0</v>
      </c>
      <c r="R582" s="2" t="inlineStr"/>
    </row>
    <row r="583" ht="15" customHeight="1">
      <c r="A583" t="inlineStr">
        <is>
          <t>A 46516-2025</t>
        </is>
      </c>
      <c r="B583" s="1" t="n">
        <v>45926.29324074074</v>
      </c>
      <c r="C583" s="1" t="n">
        <v>46012</v>
      </c>
      <c r="D583" t="inlineStr">
        <is>
          <t>JÄMTLANDS LÄN</t>
        </is>
      </c>
      <c r="E583" t="inlineStr">
        <is>
          <t>KROKOM</t>
        </is>
      </c>
      <c r="F583" t="inlineStr">
        <is>
          <t>Övriga Aktiebolag</t>
        </is>
      </c>
      <c r="G583" t="n">
        <v>18.7</v>
      </c>
      <c r="H583" t="n">
        <v>0</v>
      </c>
      <c r="I583" t="n">
        <v>0</v>
      </c>
      <c r="J583" t="n">
        <v>0</v>
      </c>
      <c r="K583" t="n">
        <v>0</v>
      </c>
      <c r="L583" t="n">
        <v>0</v>
      </c>
      <c r="M583" t="n">
        <v>0</v>
      </c>
      <c r="N583" t="n">
        <v>0</v>
      </c>
      <c r="O583" t="n">
        <v>0</v>
      </c>
      <c r="P583" t="n">
        <v>0</v>
      </c>
      <c r="Q583" t="n">
        <v>0</v>
      </c>
      <c r="R583" s="2" t="inlineStr"/>
    </row>
    <row r="584" ht="15" customHeight="1">
      <c r="A584" t="inlineStr">
        <is>
          <t>A 6451-2022</t>
        </is>
      </c>
      <c r="B584" s="1" t="n">
        <v>44601.35342592592</v>
      </c>
      <c r="C584" s="1" t="n">
        <v>46012</v>
      </c>
      <c r="D584" t="inlineStr">
        <is>
          <t>JÄMTLANDS LÄN</t>
        </is>
      </c>
      <c r="E584" t="inlineStr">
        <is>
          <t>KROKOM</t>
        </is>
      </c>
      <c r="G584" t="n">
        <v>5.8</v>
      </c>
      <c r="H584" t="n">
        <v>0</v>
      </c>
      <c r="I584" t="n">
        <v>0</v>
      </c>
      <c r="J584" t="n">
        <v>0</v>
      </c>
      <c r="K584" t="n">
        <v>0</v>
      </c>
      <c r="L584" t="n">
        <v>0</v>
      </c>
      <c r="M584" t="n">
        <v>0</v>
      </c>
      <c r="N584" t="n">
        <v>0</v>
      </c>
      <c r="O584" t="n">
        <v>0</v>
      </c>
      <c r="P584" t="n">
        <v>0</v>
      </c>
      <c r="Q584" t="n">
        <v>0</v>
      </c>
      <c r="R584" s="2" t="inlineStr"/>
    </row>
    <row r="585" ht="15" customHeight="1">
      <c r="A585" t="inlineStr">
        <is>
          <t>A 46796-2025</t>
        </is>
      </c>
      <c r="B585" s="1" t="n">
        <v>45926.65686342592</v>
      </c>
      <c r="C585" s="1" t="n">
        <v>46012</v>
      </c>
      <c r="D585" t="inlineStr">
        <is>
          <t>JÄMTLANDS LÄN</t>
        </is>
      </c>
      <c r="E585" t="inlineStr">
        <is>
          <t>KROKOM</t>
        </is>
      </c>
      <c r="F585" t="inlineStr">
        <is>
          <t>SCA</t>
        </is>
      </c>
      <c r="G585" t="n">
        <v>10.1</v>
      </c>
      <c r="H585" t="n">
        <v>0</v>
      </c>
      <c r="I585" t="n">
        <v>0</v>
      </c>
      <c r="J585" t="n">
        <v>0</v>
      </c>
      <c r="K585" t="n">
        <v>0</v>
      </c>
      <c r="L585" t="n">
        <v>0</v>
      </c>
      <c r="M585" t="n">
        <v>0</v>
      </c>
      <c r="N585" t="n">
        <v>0</v>
      </c>
      <c r="O585" t="n">
        <v>0</v>
      </c>
      <c r="P585" t="n">
        <v>0</v>
      </c>
      <c r="Q585" t="n">
        <v>0</v>
      </c>
      <c r="R585" s="2" t="inlineStr"/>
    </row>
    <row r="586" ht="15" customHeight="1">
      <c r="A586" t="inlineStr">
        <is>
          <t>A 46331-2025</t>
        </is>
      </c>
      <c r="B586" s="1" t="n">
        <v>45925.45605324074</v>
      </c>
      <c r="C586" s="1" t="n">
        <v>46012</v>
      </c>
      <c r="D586" t="inlineStr">
        <is>
          <t>JÄMTLANDS LÄN</t>
        </is>
      </c>
      <c r="E586" t="inlineStr">
        <is>
          <t>KROKOM</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33925-2025</t>
        </is>
      </c>
      <c r="B587" s="1" t="n">
        <v>45842</v>
      </c>
      <c r="C587" s="1" t="n">
        <v>46012</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5935-2025</t>
        </is>
      </c>
      <c r="B588" s="1" t="n">
        <v>45695.45013888889</v>
      </c>
      <c r="C588" s="1" t="n">
        <v>46012</v>
      </c>
      <c r="D588" t="inlineStr">
        <is>
          <t>JÄMTLANDS LÄN</t>
        </is>
      </c>
      <c r="E588" t="inlineStr">
        <is>
          <t>KROKOM</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46274-2025</t>
        </is>
      </c>
      <c r="B589" s="1" t="n">
        <v>45925.37074074074</v>
      </c>
      <c r="C589" s="1" t="n">
        <v>46012</v>
      </c>
      <c r="D589" t="inlineStr">
        <is>
          <t>JÄMTLANDS LÄN</t>
        </is>
      </c>
      <c r="E589" t="inlineStr">
        <is>
          <t>KROKOM</t>
        </is>
      </c>
      <c r="G589" t="n">
        <v>0.7</v>
      </c>
      <c r="H589" t="n">
        <v>0</v>
      </c>
      <c r="I589" t="n">
        <v>0</v>
      </c>
      <c r="J589" t="n">
        <v>0</v>
      </c>
      <c r="K589" t="n">
        <v>0</v>
      </c>
      <c r="L589" t="n">
        <v>0</v>
      </c>
      <c r="M589" t="n">
        <v>0</v>
      </c>
      <c r="N589" t="n">
        <v>0</v>
      </c>
      <c r="O589" t="n">
        <v>0</v>
      </c>
      <c r="P589" t="n">
        <v>0</v>
      </c>
      <c r="Q589" t="n">
        <v>0</v>
      </c>
      <c r="R589" s="2" t="inlineStr"/>
    </row>
    <row r="590" ht="15" customHeight="1">
      <c r="A590" t="inlineStr">
        <is>
          <t>A 46295-2025</t>
        </is>
      </c>
      <c r="B590" s="1" t="n">
        <v>45925.39686342593</v>
      </c>
      <c r="C590" s="1" t="n">
        <v>46012</v>
      </c>
      <c r="D590" t="inlineStr">
        <is>
          <t>JÄMTLANDS LÄN</t>
        </is>
      </c>
      <c r="E590" t="inlineStr">
        <is>
          <t>KROKOM</t>
        </is>
      </c>
      <c r="F590" t="inlineStr">
        <is>
          <t>Övriga Aktiebolag</t>
        </is>
      </c>
      <c r="G590" t="n">
        <v>5.6</v>
      </c>
      <c r="H590" t="n">
        <v>0</v>
      </c>
      <c r="I590" t="n">
        <v>0</v>
      </c>
      <c r="J590" t="n">
        <v>0</v>
      </c>
      <c r="K590" t="n">
        <v>0</v>
      </c>
      <c r="L590" t="n">
        <v>0</v>
      </c>
      <c r="M590" t="n">
        <v>0</v>
      </c>
      <c r="N590" t="n">
        <v>0</v>
      </c>
      <c r="O590" t="n">
        <v>0</v>
      </c>
      <c r="P590" t="n">
        <v>0</v>
      </c>
      <c r="Q590" t="n">
        <v>0</v>
      </c>
      <c r="R590" s="2" t="inlineStr"/>
    </row>
    <row r="591" ht="15" customHeight="1">
      <c r="A591" t="inlineStr">
        <is>
          <t>A 46308-2025</t>
        </is>
      </c>
      <c r="B591" s="1" t="n">
        <v>45925.43271990741</v>
      </c>
      <c r="C591" s="1" t="n">
        <v>46012</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34701-2025</t>
        </is>
      </c>
      <c r="B592" s="1" t="n">
        <v>45848.48070601852</v>
      </c>
      <c r="C592" s="1" t="n">
        <v>46012</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55517-2025</t>
        </is>
      </c>
      <c r="B593" s="1" t="n">
        <v>45971.60344907407</v>
      </c>
      <c r="C593" s="1" t="n">
        <v>46012</v>
      </c>
      <c r="D593" t="inlineStr">
        <is>
          <t>JÄMTLANDS LÄN</t>
        </is>
      </c>
      <c r="E593" t="inlineStr">
        <is>
          <t>KROKOM</t>
        </is>
      </c>
      <c r="G593" t="n">
        <v>13.3</v>
      </c>
      <c r="H593" t="n">
        <v>0</v>
      </c>
      <c r="I593" t="n">
        <v>0</v>
      </c>
      <c r="J593" t="n">
        <v>0</v>
      </c>
      <c r="K593" t="n">
        <v>0</v>
      </c>
      <c r="L593" t="n">
        <v>0</v>
      </c>
      <c r="M593" t="n">
        <v>0</v>
      </c>
      <c r="N593" t="n">
        <v>0</v>
      </c>
      <c r="O593" t="n">
        <v>0</v>
      </c>
      <c r="P593" t="n">
        <v>0</v>
      </c>
      <c r="Q593" t="n">
        <v>0</v>
      </c>
      <c r="R593" s="2" t="inlineStr"/>
    </row>
    <row r="594" ht="15" customHeight="1">
      <c r="A594" t="inlineStr">
        <is>
          <t>A 55564-2025</t>
        </is>
      </c>
      <c r="B594" s="1" t="n">
        <v>45971.65542824074</v>
      </c>
      <c r="C594" s="1" t="n">
        <v>46012</v>
      </c>
      <c r="D594" t="inlineStr">
        <is>
          <t>JÄMTLANDS LÄN</t>
        </is>
      </c>
      <c r="E594" t="inlineStr">
        <is>
          <t>KROKOM</t>
        </is>
      </c>
      <c r="G594" t="n">
        <v>5.4</v>
      </c>
      <c r="H594" t="n">
        <v>0</v>
      </c>
      <c r="I594" t="n">
        <v>0</v>
      </c>
      <c r="J594" t="n">
        <v>0</v>
      </c>
      <c r="K594" t="n">
        <v>0</v>
      </c>
      <c r="L594" t="n">
        <v>0</v>
      </c>
      <c r="M594" t="n">
        <v>0</v>
      </c>
      <c r="N594" t="n">
        <v>0</v>
      </c>
      <c r="O594" t="n">
        <v>0</v>
      </c>
      <c r="P594" t="n">
        <v>0</v>
      </c>
      <c r="Q594" t="n">
        <v>0</v>
      </c>
      <c r="R594" s="2" t="inlineStr"/>
    </row>
    <row r="595" ht="15" customHeight="1">
      <c r="A595" t="inlineStr">
        <is>
          <t>A 51910-2023</t>
        </is>
      </c>
      <c r="B595" s="1" t="n">
        <v>45216</v>
      </c>
      <c r="C595" s="1" t="n">
        <v>46012</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34535-2025</t>
        </is>
      </c>
      <c r="B596" s="1" t="n">
        <v>45847.51106481482</v>
      </c>
      <c r="C596" s="1" t="n">
        <v>46012</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3257-2024</t>
        </is>
      </c>
      <c r="B597" s="1" t="n">
        <v>45316</v>
      </c>
      <c r="C597" s="1" t="n">
        <v>46012</v>
      </c>
      <c r="D597" t="inlineStr">
        <is>
          <t>JÄMTLANDS LÄN</t>
        </is>
      </c>
      <c r="E597" t="inlineStr">
        <is>
          <t>KROKOM</t>
        </is>
      </c>
      <c r="G597" t="n">
        <v>6.5</v>
      </c>
      <c r="H597" t="n">
        <v>0</v>
      </c>
      <c r="I597" t="n">
        <v>0</v>
      </c>
      <c r="J597" t="n">
        <v>0</v>
      </c>
      <c r="K597" t="n">
        <v>0</v>
      </c>
      <c r="L597" t="n">
        <v>0</v>
      </c>
      <c r="M597" t="n">
        <v>0</v>
      </c>
      <c r="N597" t="n">
        <v>0</v>
      </c>
      <c r="O597" t="n">
        <v>0</v>
      </c>
      <c r="P597" t="n">
        <v>0</v>
      </c>
      <c r="Q597" t="n">
        <v>0</v>
      </c>
      <c r="R597" s="2" t="inlineStr"/>
    </row>
    <row r="598" ht="15" customHeight="1">
      <c r="A598" t="inlineStr">
        <is>
          <t>A 34608-2025</t>
        </is>
      </c>
      <c r="B598" s="1" t="n">
        <v>45847.65717592592</v>
      </c>
      <c r="C598" s="1" t="n">
        <v>46012</v>
      </c>
      <c r="D598" t="inlineStr">
        <is>
          <t>JÄMTLANDS LÄN</t>
        </is>
      </c>
      <c r="E598" t="inlineStr">
        <is>
          <t>KROKOM</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20174-2025</t>
        </is>
      </c>
      <c r="B599" s="1" t="n">
        <v>45772.58283564815</v>
      </c>
      <c r="C599" s="1" t="n">
        <v>46012</v>
      </c>
      <c r="D599" t="inlineStr">
        <is>
          <t>JÄMTLANDS LÄN</t>
        </is>
      </c>
      <c r="E599" t="inlineStr">
        <is>
          <t>KROKOM</t>
        </is>
      </c>
      <c r="G599" t="n">
        <v>47</v>
      </c>
      <c r="H599" t="n">
        <v>0</v>
      </c>
      <c r="I599" t="n">
        <v>0</v>
      </c>
      <c r="J599" t="n">
        <v>0</v>
      </c>
      <c r="K599" t="n">
        <v>0</v>
      </c>
      <c r="L599" t="n">
        <v>0</v>
      </c>
      <c r="M599" t="n">
        <v>0</v>
      </c>
      <c r="N599" t="n">
        <v>0</v>
      </c>
      <c r="O599" t="n">
        <v>0</v>
      </c>
      <c r="P599" t="n">
        <v>0</v>
      </c>
      <c r="Q599" t="n">
        <v>0</v>
      </c>
      <c r="R599" s="2" t="inlineStr"/>
    </row>
    <row r="600" ht="15" customHeight="1">
      <c r="A600" t="inlineStr">
        <is>
          <t>A 20181-2025</t>
        </is>
      </c>
      <c r="B600" s="1" t="n">
        <v>45772.59200231481</v>
      </c>
      <c r="C600" s="1" t="n">
        <v>46012</v>
      </c>
      <c r="D600" t="inlineStr">
        <is>
          <t>JÄMTLANDS LÄN</t>
        </is>
      </c>
      <c r="E600" t="inlineStr">
        <is>
          <t>KROKOM</t>
        </is>
      </c>
      <c r="G600" t="n">
        <v>2.1</v>
      </c>
      <c r="H600" t="n">
        <v>0</v>
      </c>
      <c r="I600" t="n">
        <v>0</v>
      </c>
      <c r="J600" t="n">
        <v>0</v>
      </c>
      <c r="K600" t="n">
        <v>0</v>
      </c>
      <c r="L600" t="n">
        <v>0</v>
      </c>
      <c r="M600" t="n">
        <v>0</v>
      </c>
      <c r="N600" t="n">
        <v>0</v>
      </c>
      <c r="O600" t="n">
        <v>0</v>
      </c>
      <c r="P600" t="n">
        <v>0</v>
      </c>
      <c r="Q600" t="n">
        <v>0</v>
      </c>
      <c r="R600" s="2" t="inlineStr"/>
    </row>
    <row r="601" ht="15" customHeight="1">
      <c r="A601" t="inlineStr">
        <is>
          <t>A 25421-2022</t>
        </is>
      </c>
      <c r="B601" s="1" t="n">
        <v>44732</v>
      </c>
      <c r="C601" s="1" t="n">
        <v>46012</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47136-2025</t>
        </is>
      </c>
      <c r="B602" s="1" t="n">
        <v>45929.69844907407</v>
      </c>
      <c r="C602" s="1" t="n">
        <v>46012</v>
      </c>
      <c r="D602" t="inlineStr">
        <is>
          <t>JÄMTLANDS LÄN</t>
        </is>
      </c>
      <c r="E602" t="inlineStr">
        <is>
          <t>KROKOM</t>
        </is>
      </c>
      <c r="F602" t="inlineStr">
        <is>
          <t>SCA</t>
        </is>
      </c>
      <c r="G602" t="n">
        <v>25.1</v>
      </c>
      <c r="H602" t="n">
        <v>0</v>
      </c>
      <c r="I602" t="n">
        <v>0</v>
      </c>
      <c r="J602" t="n">
        <v>0</v>
      </c>
      <c r="K602" t="n">
        <v>0</v>
      </c>
      <c r="L602" t="n">
        <v>0</v>
      </c>
      <c r="M602" t="n">
        <v>0</v>
      </c>
      <c r="N602" t="n">
        <v>0</v>
      </c>
      <c r="O602" t="n">
        <v>0</v>
      </c>
      <c r="P602" t="n">
        <v>0</v>
      </c>
      <c r="Q602" t="n">
        <v>0</v>
      </c>
      <c r="R602" s="2" t="inlineStr"/>
    </row>
    <row r="603" ht="15" customHeight="1">
      <c r="A603" t="inlineStr">
        <is>
          <t>A 55782-2025</t>
        </is>
      </c>
      <c r="B603" s="1" t="n">
        <v>45972.63504629629</v>
      </c>
      <c r="C603" s="1" t="n">
        <v>46012</v>
      </c>
      <c r="D603" t="inlineStr">
        <is>
          <t>JÄMTLANDS LÄN</t>
        </is>
      </c>
      <c r="E603" t="inlineStr">
        <is>
          <t>KROKOM</t>
        </is>
      </c>
      <c r="F603" t="inlineStr">
        <is>
          <t>Övriga Aktiebolag</t>
        </is>
      </c>
      <c r="G603" t="n">
        <v>10</v>
      </c>
      <c r="H603" t="n">
        <v>0</v>
      </c>
      <c r="I603" t="n">
        <v>0</v>
      </c>
      <c r="J603" t="n">
        <v>0</v>
      </c>
      <c r="K603" t="n">
        <v>0</v>
      </c>
      <c r="L603" t="n">
        <v>0</v>
      </c>
      <c r="M603" t="n">
        <v>0</v>
      </c>
      <c r="N603" t="n">
        <v>0</v>
      </c>
      <c r="O603" t="n">
        <v>0</v>
      </c>
      <c r="P603" t="n">
        <v>0</v>
      </c>
      <c r="Q603" t="n">
        <v>0</v>
      </c>
      <c r="R603" s="2" t="inlineStr"/>
    </row>
    <row r="604" ht="15" customHeight="1">
      <c r="A604" t="inlineStr">
        <is>
          <t>A 34737-2025</t>
        </is>
      </c>
      <c r="B604" s="1" t="n">
        <v>45848.60371527778</v>
      </c>
      <c r="C604" s="1" t="n">
        <v>46012</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31537-2023</t>
        </is>
      </c>
      <c r="B605" s="1" t="n">
        <v>45117</v>
      </c>
      <c r="C605" s="1" t="n">
        <v>46012</v>
      </c>
      <c r="D605" t="inlineStr">
        <is>
          <t>JÄMTLANDS LÄN</t>
        </is>
      </c>
      <c r="E605" t="inlineStr">
        <is>
          <t>KROKOM</t>
        </is>
      </c>
      <c r="F605" t="inlineStr">
        <is>
          <t>Övriga Aktiebolag</t>
        </is>
      </c>
      <c r="G605" t="n">
        <v>1</v>
      </c>
      <c r="H605" t="n">
        <v>0</v>
      </c>
      <c r="I605" t="n">
        <v>0</v>
      </c>
      <c r="J605" t="n">
        <v>0</v>
      </c>
      <c r="K605" t="n">
        <v>0</v>
      </c>
      <c r="L605" t="n">
        <v>0</v>
      </c>
      <c r="M605" t="n">
        <v>0</v>
      </c>
      <c r="N605" t="n">
        <v>0</v>
      </c>
      <c r="O605" t="n">
        <v>0</v>
      </c>
      <c r="P605" t="n">
        <v>0</v>
      </c>
      <c r="Q605" t="n">
        <v>0</v>
      </c>
      <c r="R605" s="2" t="inlineStr"/>
    </row>
    <row r="606" ht="15" customHeight="1">
      <c r="A606" t="inlineStr">
        <is>
          <t>A 32765-2023</t>
        </is>
      </c>
      <c r="B606" s="1" t="n">
        <v>45123.61459490741</v>
      </c>
      <c r="C606" s="1" t="n">
        <v>46012</v>
      </c>
      <c r="D606" t="inlineStr">
        <is>
          <t>JÄMTLANDS LÄN</t>
        </is>
      </c>
      <c r="E606" t="inlineStr">
        <is>
          <t>KROKOM</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34829-2025</t>
        </is>
      </c>
      <c r="B607" s="1" t="n">
        <v>45849.3859837963</v>
      </c>
      <c r="C607" s="1" t="n">
        <v>46012</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47438-2025</t>
        </is>
      </c>
      <c r="B608" s="1" t="n">
        <v>45930.63726851852</v>
      </c>
      <c r="C608" s="1" t="n">
        <v>46012</v>
      </c>
      <c r="D608" t="inlineStr">
        <is>
          <t>JÄMTLANDS LÄN</t>
        </is>
      </c>
      <c r="E608" t="inlineStr">
        <is>
          <t>KROKOM</t>
        </is>
      </c>
      <c r="F608" t="inlineStr">
        <is>
          <t>SCA</t>
        </is>
      </c>
      <c r="G608" t="n">
        <v>35.4</v>
      </c>
      <c r="H608" t="n">
        <v>0</v>
      </c>
      <c r="I608" t="n">
        <v>0</v>
      </c>
      <c r="J608" t="n">
        <v>0</v>
      </c>
      <c r="K608" t="n">
        <v>0</v>
      </c>
      <c r="L608" t="n">
        <v>0</v>
      </c>
      <c r="M608" t="n">
        <v>0</v>
      </c>
      <c r="N608" t="n">
        <v>0</v>
      </c>
      <c r="O608" t="n">
        <v>0</v>
      </c>
      <c r="P608" t="n">
        <v>0</v>
      </c>
      <c r="Q608" t="n">
        <v>0</v>
      </c>
      <c r="R608" s="2" t="inlineStr"/>
    </row>
    <row r="609" ht="15" customHeight="1">
      <c r="A609" t="inlineStr">
        <is>
          <t>A 47435-2025</t>
        </is>
      </c>
      <c r="B609" s="1" t="n">
        <v>45930.63673611111</v>
      </c>
      <c r="C609" s="1" t="n">
        <v>46012</v>
      </c>
      <c r="D609" t="inlineStr">
        <is>
          <t>JÄMTLANDS LÄN</t>
        </is>
      </c>
      <c r="E609" t="inlineStr">
        <is>
          <t>KROKOM</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50206-2024</t>
        </is>
      </c>
      <c r="B610" s="1" t="n">
        <v>45600.49616898148</v>
      </c>
      <c r="C610" s="1" t="n">
        <v>46012</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47462-2025</t>
        </is>
      </c>
      <c r="B611" s="1" t="n">
        <v>45930.66175925926</v>
      </c>
      <c r="C611" s="1" t="n">
        <v>46012</v>
      </c>
      <c r="D611" t="inlineStr">
        <is>
          <t>JÄMTLANDS LÄN</t>
        </is>
      </c>
      <c r="E611" t="inlineStr">
        <is>
          <t>KROKOM</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18406-2025</t>
        </is>
      </c>
      <c r="B612" s="1" t="n">
        <v>45762.60907407408</v>
      </c>
      <c r="C612" s="1" t="n">
        <v>46012</v>
      </c>
      <c r="D612" t="inlineStr">
        <is>
          <t>JÄMTLANDS LÄN</t>
        </is>
      </c>
      <c r="E612" t="inlineStr">
        <is>
          <t>KROKOM</t>
        </is>
      </c>
      <c r="F612" t="inlineStr">
        <is>
          <t>Övriga Aktiebolag</t>
        </is>
      </c>
      <c r="G612" t="n">
        <v>34.3</v>
      </c>
      <c r="H612" t="n">
        <v>0</v>
      </c>
      <c r="I612" t="n">
        <v>0</v>
      </c>
      <c r="J612" t="n">
        <v>0</v>
      </c>
      <c r="K612" t="n">
        <v>0</v>
      </c>
      <c r="L612" t="n">
        <v>0</v>
      </c>
      <c r="M612" t="n">
        <v>0</v>
      </c>
      <c r="N612" t="n">
        <v>0</v>
      </c>
      <c r="O612" t="n">
        <v>0</v>
      </c>
      <c r="P612" t="n">
        <v>0</v>
      </c>
      <c r="Q612" t="n">
        <v>0</v>
      </c>
      <c r="R612" s="2" t="inlineStr"/>
    </row>
    <row r="613" ht="15" customHeight="1">
      <c r="A613" t="inlineStr">
        <is>
          <t>A 31538-2023</t>
        </is>
      </c>
      <c r="B613" s="1" t="n">
        <v>45117</v>
      </c>
      <c r="C613" s="1" t="n">
        <v>46012</v>
      </c>
      <c r="D613" t="inlineStr">
        <is>
          <t>JÄMTLANDS LÄN</t>
        </is>
      </c>
      <c r="E613" t="inlineStr">
        <is>
          <t>KROKOM</t>
        </is>
      </c>
      <c r="F613" t="inlineStr">
        <is>
          <t>Övriga Aktiebolag</t>
        </is>
      </c>
      <c r="G613" t="n">
        <v>9.9</v>
      </c>
      <c r="H613" t="n">
        <v>0</v>
      </c>
      <c r="I613" t="n">
        <v>0</v>
      </c>
      <c r="J613" t="n">
        <v>0</v>
      </c>
      <c r="K613" t="n">
        <v>0</v>
      </c>
      <c r="L613" t="n">
        <v>0</v>
      </c>
      <c r="M613" t="n">
        <v>0</v>
      </c>
      <c r="N613" t="n">
        <v>0</v>
      </c>
      <c r="O613" t="n">
        <v>0</v>
      </c>
      <c r="P613" t="n">
        <v>0</v>
      </c>
      <c r="Q613" t="n">
        <v>0</v>
      </c>
      <c r="R613" s="2" t="inlineStr"/>
    </row>
    <row r="614" ht="15" customHeight="1">
      <c r="A614" t="inlineStr">
        <is>
          <t>A 55400-2025</t>
        </is>
      </c>
      <c r="B614" s="1" t="n">
        <v>45971.44931712963</v>
      </c>
      <c r="C614" s="1" t="n">
        <v>46012</v>
      </c>
      <c r="D614" t="inlineStr">
        <is>
          <t>JÄMTLANDS LÄN</t>
        </is>
      </c>
      <c r="E614" t="inlineStr">
        <is>
          <t>KROKOM</t>
        </is>
      </c>
      <c r="G614" t="n">
        <v>5.3</v>
      </c>
      <c r="H614" t="n">
        <v>0</v>
      </c>
      <c r="I614" t="n">
        <v>0</v>
      </c>
      <c r="J614" t="n">
        <v>0</v>
      </c>
      <c r="K614" t="n">
        <v>0</v>
      </c>
      <c r="L614" t="n">
        <v>0</v>
      </c>
      <c r="M614" t="n">
        <v>0</v>
      </c>
      <c r="N614" t="n">
        <v>0</v>
      </c>
      <c r="O614" t="n">
        <v>0</v>
      </c>
      <c r="P614" t="n">
        <v>0</v>
      </c>
      <c r="Q614" t="n">
        <v>0</v>
      </c>
      <c r="R614" s="2" t="inlineStr"/>
    </row>
    <row r="615" ht="15" customHeight="1">
      <c r="A615" t="inlineStr">
        <is>
          <t>A 35354-2025</t>
        </is>
      </c>
      <c r="B615" s="1" t="n">
        <v>45854.65378472222</v>
      </c>
      <c r="C615" s="1" t="n">
        <v>46012</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35238-2025</t>
        </is>
      </c>
      <c r="B616" s="1" t="n">
        <v>45853.6156712963</v>
      </c>
      <c r="C616" s="1" t="n">
        <v>46012</v>
      </c>
      <c r="D616" t="inlineStr">
        <is>
          <t>JÄMTLANDS LÄN</t>
        </is>
      </c>
      <c r="E616" t="inlineStr">
        <is>
          <t>KROKOM</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35359-2025</t>
        </is>
      </c>
      <c r="B617" s="1" t="n">
        <v>45854.66518518519</v>
      </c>
      <c r="C617" s="1" t="n">
        <v>46012</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46012</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11056-2025</t>
        </is>
      </c>
      <c r="B619" s="1" t="n">
        <v>45723.50841435185</v>
      </c>
      <c r="C619" s="1" t="n">
        <v>46012</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44519-2024</t>
        </is>
      </c>
      <c r="B620" s="1" t="n">
        <v>45574.43403935185</v>
      </c>
      <c r="C620" s="1" t="n">
        <v>46012</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35460-2025</t>
        </is>
      </c>
      <c r="B621" s="1" t="n">
        <v>45855.61193287037</v>
      </c>
      <c r="C621" s="1" t="n">
        <v>46012</v>
      </c>
      <c r="D621" t="inlineStr">
        <is>
          <t>JÄMTLANDS LÄN</t>
        </is>
      </c>
      <c r="E621" t="inlineStr">
        <is>
          <t>KROKOM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56095-2025</t>
        </is>
      </c>
      <c r="B622" s="1" t="n">
        <v>45973.67952546296</v>
      </c>
      <c r="C622" s="1" t="n">
        <v>46012</v>
      </c>
      <c r="D622" t="inlineStr">
        <is>
          <t>JÄMTLANDS LÄN</t>
        </is>
      </c>
      <c r="E622" t="inlineStr">
        <is>
          <t>KROKOM</t>
        </is>
      </c>
      <c r="G622" t="n">
        <v>3.3</v>
      </c>
      <c r="H622" t="n">
        <v>0</v>
      </c>
      <c r="I622" t="n">
        <v>0</v>
      </c>
      <c r="J622" t="n">
        <v>0</v>
      </c>
      <c r="K622" t="n">
        <v>0</v>
      </c>
      <c r="L622" t="n">
        <v>0</v>
      </c>
      <c r="M622" t="n">
        <v>0</v>
      </c>
      <c r="N622" t="n">
        <v>0</v>
      </c>
      <c r="O622" t="n">
        <v>0</v>
      </c>
      <c r="P622" t="n">
        <v>0</v>
      </c>
      <c r="Q622" t="n">
        <v>0</v>
      </c>
      <c r="R622" s="2" t="inlineStr"/>
    </row>
    <row r="623" ht="15" customHeight="1">
      <c r="A623" t="inlineStr">
        <is>
          <t>A 14184-2024</t>
        </is>
      </c>
      <c r="B623" s="1" t="n">
        <v>45393</v>
      </c>
      <c r="C623" s="1" t="n">
        <v>46012</v>
      </c>
      <c r="D623" t="inlineStr">
        <is>
          <t>JÄMTLANDS LÄN</t>
        </is>
      </c>
      <c r="E623" t="inlineStr">
        <is>
          <t>KROKOM</t>
        </is>
      </c>
      <c r="G623" t="n">
        <v>1.7</v>
      </c>
      <c r="H623" t="n">
        <v>0</v>
      </c>
      <c r="I623" t="n">
        <v>0</v>
      </c>
      <c r="J623" t="n">
        <v>0</v>
      </c>
      <c r="K623" t="n">
        <v>0</v>
      </c>
      <c r="L623" t="n">
        <v>0</v>
      </c>
      <c r="M623" t="n">
        <v>0</v>
      </c>
      <c r="N623" t="n">
        <v>0</v>
      </c>
      <c r="O623" t="n">
        <v>0</v>
      </c>
      <c r="P623" t="n">
        <v>0</v>
      </c>
      <c r="Q623" t="n">
        <v>0</v>
      </c>
      <c r="R623" s="2" t="inlineStr"/>
    </row>
    <row r="624" ht="15" customHeight="1">
      <c r="A624" t="inlineStr">
        <is>
          <t>A 56087-2025</t>
        </is>
      </c>
      <c r="B624" s="1" t="n">
        <v>45973.6665625</v>
      </c>
      <c r="C624" s="1" t="n">
        <v>46012</v>
      </c>
      <c r="D624" t="inlineStr">
        <is>
          <t>JÄMTLANDS LÄN</t>
        </is>
      </c>
      <c r="E624" t="inlineStr">
        <is>
          <t>KROKOM</t>
        </is>
      </c>
      <c r="G624" t="n">
        <v>2.1</v>
      </c>
      <c r="H624" t="n">
        <v>0</v>
      </c>
      <c r="I624" t="n">
        <v>0</v>
      </c>
      <c r="J624" t="n">
        <v>0</v>
      </c>
      <c r="K624" t="n">
        <v>0</v>
      </c>
      <c r="L624" t="n">
        <v>0</v>
      </c>
      <c r="M624" t="n">
        <v>0</v>
      </c>
      <c r="N624" t="n">
        <v>0</v>
      </c>
      <c r="O624" t="n">
        <v>0</v>
      </c>
      <c r="P624" t="n">
        <v>0</v>
      </c>
      <c r="Q624" t="n">
        <v>0</v>
      </c>
      <c r="R624" s="2" t="inlineStr"/>
    </row>
    <row r="625" ht="15" customHeight="1">
      <c r="A625" t="inlineStr">
        <is>
          <t>A 47809-2025</t>
        </is>
      </c>
      <c r="B625" s="1" t="n">
        <v>45931.98023148148</v>
      </c>
      <c r="C625" s="1" t="n">
        <v>46012</v>
      </c>
      <c r="D625" t="inlineStr">
        <is>
          <t>JÄMTLANDS LÄN</t>
        </is>
      </c>
      <c r="E625" t="inlineStr">
        <is>
          <t>KROKOM</t>
        </is>
      </c>
      <c r="G625" t="n">
        <v>5.5</v>
      </c>
      <c r="H625" t="n">
        <v>0</v>
      </c>
      <c r="I625" t="n">
        <v>0</v>
      </c>
      <c r="J625" t="n">
        <v>0</v>
      </c>
      <c r="K625" t="n">
        <v>0</v>
      </c>
      <c r="L625" t="n">
        <v>0</v>
      </c>
      <c r="M625" t="n">
        <v>0</v>
      </c>
      <c r="N625" t="n">
        <v>0</v>
      </c>
      <c r="O625" t="n">
        <v>0</v>
      </c>
      <c r="P625" t="n">
        <v>0</v>
      </c>
      <c r="Q625" t="n">
        <v>0</v>
      </c>
      <c r="R625" s="2" t="inlineStr"/>
    </row>
    <row r="626" ht="15" customHeight="1">
      <c r="A626" t="inlineStr">
        <is>
          <t>A 48049-2025</t>
        </is>
      </c>
      <c r="B626" s="1" t="n">
        <v>45932.67771990741</v>
      </c>
      <c r="C626" s="1" t="n">
        <v>46012</v>
      </c>
      <c r="D626" t="inlineStr">
        <is>
          <t>JÄMTLANDS LÄN</t>
        </is>
      </c>
      <c r="E626" t="inlineStr">
        <is>
          <t>KROKOM</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50719-2024</t>
        </is>
      </c>
      <c r="B627" s="1" t="n">
        <v>45602.38614583333</v>
      </c>
      <c r="C627" s="1" t="n">
        <v>46012</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46012</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54828-2024</t>
        </is>
      </c>
      <c r="B629" s="1" t="n">
        <v>45618.54398148148</v>
      </c>
      <c r="C629" s="1" t="n">
        <v>46012</v>
      </c>
      <c r="D629" t="inlineStr">
        <is>
          <t>JÄMTLANDS LÄN</t>
        </is>
      </c>
      <c r="E629" t="inlineStr">
        <is>
          <t>KROKOM</t>
        </is>
      </c>
      <c r="G629" t="n">
        <v>8.1</v>
      </c>
      <c r="H629" t="n">
        <v>0</v>
      </c>
      <c r="I629" t="n">
        <v>0</v>
      </c>
      <c r="J629" t="n">
        <v>0</v>
      </c>
      <c r="K629" t="n">
        <v>0</v>
      </c>
      <c r="L629" t="n">
        <v>0</v>
      </c>
      <c r="M629" t="n">
        <v>0</v>
      </c>
      <c r="N629" t="n">
        <v>0</v>
      </c>
      <c r="O629" t="n">
        <v>0</v>
      </c>
      <c r="P629" t="n">
        <v>0</v>
      </c>
      <c r="Q629" t="n">
        <v>0</v>
      </c>
      <c r="R629" s="2" t="inlineStr"/>
    </row>
    <row r="630" ht="15" customHeight="1">
      <c r="A630" t="inlineStr">
        <is>
          <t>A 11059-2024</t>
        </is>
      </c>
      <c r="B630" s="1" t="n">
        <v>45370</v>
      </c>
      <c r="C630" s="1" t="n">
        <v>46012</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38748-2024</t>
        </is>
      </c>
      <c r="B631" s="1" t="n">
        <v>45547.42736111111</v>
      </c>
      <c r="C631" s="1" t="n">
        <v>46012</v>
      </c>
      <c r="D631" t="inlineStr">
        <is>
          <t>JÄMTLANDS LÄN</t>
        </is>
      </c>
      <c r="E631" t="inlineStr">
        <is>
          <t>KROKOM</t>
        </is>
      </c>
      <c r="G631" t="n">
        <v>0.1</v>
      </c>
      <c r="H631" t="n">
        <v>0</v>
      </c>
      <c r="I631" t="n">
        <v>0</v>
      </c>
      <c r="J631" t="n">
        <v>0</v>
      </c>
      <c r="K631" t="n">
        <v>0</v>
      </c>
      <c r="L631" t="n">
        <v>0</v>
      </c>
      <c r="M631" t="n">
        <v>0</v>
      </c>
      <c r="N631" t="n">
        <v>0</v>
      </c>
      <c r="O631" t="n">
        <v>0</v>
      </c>
      <c r="P631" t="n">
        <v>0</v>
      </c>
      <c r="Q631" t="n">
        <v>0</v>
      </c>
      <c r="R631" s="2" t="inlineStr"/>
    </row>
    <row r="632" ht="15" customHeight="1">
      <c r="A632" t="inlineStr">
        <is>
          <t>A 35778-2025</t>
        </is>
      </c>
      <c r="B632" s="1" t="n">
        <v>45860</v>
      </c>
      <c r="C632" s="1" t="n">
        <v>46012</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21663-2025</t>
        </is>
      </c>
      <c r="B633" s="1" t="n">
        <v>45783</v>
      </c>
      <c r="C633" s="1" t="n">
        <v>46012</v>
      </c>
      <c r="D633" t="inlineStr">
        <is>
          <t>JÄMTLANDS LÄN</t>
        </is>
      </c>
      <c r="E633" t="inlineStr">
        <is>
          <t>KROKOM</t>
        </is>
      </c>
      <c r="G633" t="n">
        <v>5.2</v>
      </c>
      <c r="H633" t="n">
        <v>0</v>
      </c>
      <c r="I633" t="n">
        <v>0</v>
      </c>
      <c r="J633" t="n">
        <v>0</v>
      </c>
      <c r="K633" t="n">
        <v>0</v>
      </c>
      <c r="L633" t="n">
        <v>0</v>
      </c>
      <c r="M633" t="n">
        <v>0</v>
      </c>
      <c r="N633" t="n">
        <v>0</v>
      </c>
      <c r="O633" t="n">
        <v>0</v>
      </c>
      <c r="P633" t="n">
        <v>0</v>
      </c>
      <c r="Q633" t="n">
        <v>0</v>
      </c>
      <c r="R633" s="2" t="inlineStr"/>
    </row>
    <row r="634" ht="15" customHeight="1">
      <c r="A634" t="inlineStr">
        <is>
          <t>A 7962-2023</t>
        </is>
      </c>
      <c r="B634" s="1" t="n">
        <v>44970</v>
      </c>
      <c r="C634" s="1" t="n">
        <v>46012</v>
      </c>
      <c r="D634" t="inlineStr">
        <is>
          <t>JÄMTLANDS LÄN</t>
        </is>
      </c>
      <c r="E634" t="inlineStr">
        <is>
          <t>KROKOM</t>
        </is>
      </c>
      <c r="G634" t="n">
        <v>12.2</v>
      </c>
      <c r="H634" t="n">
        <v>0</v>
      </c>
      <c r="I634" t="n">
        <v>0</v>
      </c>
      <c r="J634" t="n">
        <v>0</v>
      </c>
      <c r="K634" t="n">
        <v>0</v>
      </c>
      <c r="L634" t="n">
        <v>0</v>
      </c>
      <c r="M634" t="n">
        <v>0</v>
      </c>
      <c r="N634" t="n">
        <v>0</v>
      </c>
      <c r="O634" t="n">
        <v>0</v>
      </c>
      <c r="P634" t="n">
        <v>0</v>
      </c>
      <c r="Q634" t="n">
        <v>0</v>
      </c>
      <c r="R634" s="2" t="inlineStr"/>
    </row>
    <row r="635" ht="15" customHeight="1">
      <c r="A635" t="inlineStr">
        <is>
          <t>A 35864-2025</t>
        </is>
      </c>
      <c r="B635" s="1" t="n">
        <v>45861.6841087963</v>
      </c>
      <c r="C635" s="1" t="n">
        <v>46012</v>
      </c>
      <c r="D635" t="inlineStr">
        <is>
          <t>JÄMTLANDS LÄN</t>
        </is>
      </c>
      <c r="E635" t="inlineStr">
        <is>
          <t>KROKOM</t>
        </is>
      </c>
      <c r="F635" t="inlineStr">
        <is>
          <t>Övriga Aktiebolag</t>
        </is>
      </c>
      <c r="G635" t="n">
        <v>1.6</v>
      </c>
      <c r="H635" t="n">
        <v>0</v>
      </c>
      <c r="I635" t="n">
        <v>0</v>
      </c>
      <c r="J635" t="n">
        <v>0</v>
      </c>
      <c r="K635" t="n">
        <v>0</v>
      </c>
      <c r="L635" t="n">
        <v>0</v>
      </c>
      <c r="M635" t="n">
        <v>0</v>
      </c>
      <c r="N635" t="n">
        <v>0</v>
      </c>
      <c r="O635" t="n">
        <v>0</v>
      </c>
      <c r="P635" t="n">
        <v>0</v>
      </c>
      <c r="Q635" t="n">
        <v>0</v>
      </c>
      <c r="R635" s="2" t="inlineStr"/>
    </row>
    <row r="636" ht="15" customHeight="1">
      <c r="A636" t="inlineStr">
        <is>
          <t>A 35875-2025</t>
        </is>
      </c>
      <c r="B636" s="1" t="n">
        <v>45862.34668981482</v>
      </c>
      <c r="C636" s="1" t="n">
        <v>46012</v>
      </c>
      <c r="D636" t="inlineStr">
        <is>
          <t>JÄMTLANDS LÄN</t>
        </is>
      </c>
      <c r="E636" t="inlineStr">
        <is>
          <t>KROKOM</t>
        </is>
      </c>
      <c r="F636" t="inlineStr">
        <is>
          <t>Övriga Aktiebolag</t>
        </is>
      </c>
      <c r="G636" t="n">
        <v>14.9</v>
      </c>
      <c r="H636" t="n">
        <v>0</v>
      </c>
      <c r="I636" t="n">
        <v>0</v>
      </c>
      <c r="J636" t="n">
        <v>0</v>
      </c>
      <c r="K636" t="n">
        <v>0</v>
      </c>
      <c r="L636" t="n">
        <v>0</v>
      </c>
      <c r="M636" t="n">
        <v>0</v>
      </c>
      <c r="N636" t="n">
        <v>0</v>
      </c>
      <c r="O636" t="n">
        <v>0</v>
      </c>
      <c r="P636" t="n">
        <v>0</v>
      </c>
      <c r="Q636" t="n">
        <v>0</v>
      </c>
      <c r="R636" s="2" t="inlineStr"/>
    </row>
    <row r="637" ht="15" customHeight="1">
      <c r="A637" t="inlineStr">
        <is>
          <t>A 31988-2024</t>
        </is>
      </c>
      <c r="B637" s="1" t="n">
        <v>45510.58033564815</v>
      </c>
      <c r="C637" s="1" t="n">
        <v>46012</v>
      </c>
      <c r="D637" t="inlineStr">
        <is>
          <t>JÄMTLANDS LÄN</t>
        </is>
      </c>
      <c r="E637" t="inlineStr">
        <is>
          <t>KROKOM</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23539-2024</t>
        </is>
      </c>
      <c r="B638" s="1" t="n">
        <v>45453.95237268518</v>
      </c>
      <c r="C638" s="1" t="n">
        <v>46012</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32244-2024</t>
        </is>
      </c>
      <c r="B639" s="1" t="n">
        <v>45511.95109953704</v>
      </c>
      <c r="C639" s="1" t="n">
        <v>46012</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53055-2023</t>
        </is>
      </c>
      <c r="B640" s="1" t="n">
        <v>45226</v>
      </c>
      <c r="C640" s="1" t="n">
        <v>46012</v>
      </c>
      <c r="D640" t="inlineStr">
        <is>
          <t>JÄMTLANDS LÄN</t>
        </is>
      </c>
      <c r="E640" t="inlineStr">
        <is>
          <t>KROKOM</t>
        </is>
      </c>
      <c r="G640" t="n">
        <v>3.4</v>
      </c>
      <c r="H640" t="n">
        <v>0</v>
      </c>
      <c r="I640" t="n">
        <v>0</v>
      </c>
      <c r="J640" t="n">
        <v>0</v>
      </c>
      <c r="K640" t="n">
        <v>0</v>
      </c>
      <c r="L640" t="n">
        <v>0</v>
      </c>
      <c r="M640" t="n">
        <v>0</v>
      </c>
      <c r="N640" t="n">
        <v>0</v>
      </c>
      <c r="O640" t="n">
        <v>0</v>
      </c>
      <c r="P640" t="n">
        <v>0</v>
      </c>
      <c r="Q640" t="n">
        <v>0</v>
      </c>
      <c r="R640" s="2" t="inlineStr"/>
    </row>
    <row r="641" ht="15" customHeight="1">
      <c r="A641" t="inlineStr">
        <is>
          <t>A 47517-2025</t>
        </is>
      </c>
      <c r="B641" s="1" t="n">
        <v>45931.28456018519</v>
      </c>
      <c r="C641" s="1" t="n">
        <v>46012</v>
      </c>
      <c r="D641" t="inlineStr">
        <is>
          <t>JÄMTLANDS LÄN</t>
        </is>
      </c>
      <c r="E641" t="inlineStr">
        <is>
          <t>KROKOM</t>
        </is>
      </c>
      <c r="F641" t="inlineStr">
        <is>
          <t>Övriga Aktiebolag</t>
        </is>
      </c>
      <c r="G641" t="n">
        <v>18.4</v>
      </c>
      <c r="H641" t="n">
        <v>0</v>
      </c>
      <c r="I641" t="n">
        <v>0</v>
      </c>
      <c r="J641" t="n">
        <v>0</v>
      </c>
      <c r="K641" t="n">
        <v>0</v>
      </c>
      <c r="L641" t="n">
        <v>0</v>
      </c>
      <c r="M641" t="n">
        <v>0</v>
      </c>
      <c r="N641" t="n">
        <v>0</v>
      </c>
      <c r="O641" t="n">
        <v>0</v>
      </c>
      <c r="P641" t="n">
        <v>0</v>
      </c>
      <c r="Q641" t="n">
        <v>0</v>
      </c>
      <c r="R641" s="2" t="inlineStr"/>
    </row>
    <row r="642" ht="15" customHeight="1">
      <c r="A642" t="inlineStr">
        <is>
          <t>A 38747-2024</t>
        </is>
      </c>
      <c r="B642" s="1" t="n">
        <v>45547.42732638889</v>
      </c>
      <c r="C642" s="1" t="n">
        <v>46012</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56038-2025</t>
        </is>
      </c>
      <c r="B643" s="1" t="n">
        <v>45973.61100694445</v>
      </c>
      <c r="C643" s="1" t="n">
        <v>46012</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21617-2025</t>
        </is>
      </c>
      <c r="B644" s="1" t="n">
        <v>45783</v>
      </c>
      <c r="C644" s="1" t="n">
        <v>46012</v>
      </c>
      <c r="D644" t="inlineStr">
        <is>
          <t>JÄMTLANDS LÄN</t>
        </is>
      </c>
      <c r="E644" t="inlineStr">
        <is>
          <t>KROKOM</t>
        </is>
      </c>
      <c r="G644" t="n">
        <v>2.6</v>
      </c>
      <c r="H644" t="n">
        <v>0</v>
      </c>
      <c r="I644" t="n">
        <v>0</v>
      </c>
      <c r="J644" t="n">
        <v>0</v>
      </c>
      <c r="K644" t="n">
        <v>0</v>
      </c>
      <c r="L644" t="n">
        <v>0</v>
      </c>
      <c r="M644" t="n">
        <v>0</v>
      </c>
      <c r="N644" t="n">
        <v>0</v>
      </c>
      <c r="O644" t="n">
        <v>0</v>
      </c>
      <c r="P644" t="n">
        <v>0</v>
      </c>
      <c r="Q644" t="n">
        <v>0</v>
      </c>
      <c r="R644" s="2" t="inlineStr"/>
    </row>
    <row r="645" ht="15" customHeight="1">
      <c r="A645" t="inlineStr">
        <is>
          <t>A 56177-2025</t>
        </is>
      </c>
      <c r="B645" s="1" t="n">
        <v>45974.39988425926</v>
      </c>
      <c r="C645" s="1" t="n">
        <v>46012</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24252-2024</t>
        </is>
      </c>
      <c r="B646" s="1" t="n">
        <v>45457.38799768518</v>
      </c>
      <c r="C646" s="1" t="n">
        <v>46012</v>
      </c>
      <c r="D646" t="inlineStr">
        <is>
          <t>JÄMTLANDS LÄN</t>
        </is>
      </c>
      <c r="E646" t="inlineStr">
        <is>
          <t>KROKOM</t>
        </is>
      </c>
      <c r="G646" t="n">
        <v>1.9</v>
      </c>
      <c r="H646" t="n">
        <v>0</v>
      </c>
      <c r="I646" t="n">
        <v>0</v>
      </c>
      <c r="J646" t="n">
        <v>0</v>
      </c>
      <c r="K646" t="n">
        <v>0</v>
      </c>
      <c r="L646" t="n">
        <v>0</v>
      </c>
      <c r="M646" t="n">
        <v>0</v>
      </c>
      <c r="N646" t="n">
        <v>0</v>
      </c>
      <c r="O646" t="n">
        <v>0</v>
      </c>
      <c r="P646" t="n">
        <v>0</v>
      </c>
      <c r="Q646" t="n">
        <v>0</v>
      </c>
      <c r="R646" s="2" t="inlineStr"/>
    </row>
    <row r="647" ht="15" customHeight="1">
      <c r="A647" t="inlineStr">
        <is>
          <t>A 32472-2021</t>
        </is>
      </c>
      <c r="B647" s="1" t="n">
        <v>44371</v>
      </c>
      <c r="C647" s="1" t="n">
        <v>46012</v>
      </c>
      <c r="D647" t="inlineStr">
        <is>
          <t>JÄMTLANDS LÄN</t>
        </is>
      </c>
      <c r="E647" t="inlineStr">
        <is>
          <t>KROKOM</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34794-2022</t>
        </is>
      </c>
      <c r="B648" s="1" t="n">
        <v>44795</v>
      </c>
      <c r="C648" s="1" t="n">
        <v>46012</v>
      </c>
      <c r="D648" t="inlineStr">
        <is>
          <t>JÄMTLANDS LÄN</t>
        </is>
      </c>
      <c r="E648" t="inlineStr">
        <is>
          <t>KROKOM</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47060-2024</t>
        </is>
      </c>
      <c r="B649" s="1" t="n">
        <v>45586.46927083333</v>
      </c>
      <c r="C649" s="1" t="n">
        <v>46012</v>
      </c>
      <c r="D649" t="inlineStr">
        <is>
          <t>JÄMTLANDS LÄN</t>
        </is>
      </c>
      <c r="E649" t="inlineStr">
        <is>
          <t>KROKOM</t>
        </is>
      </c>
      <c r="G649" t="n">
        <v>2.9</v>
      </c>
      <c r="H649" t="n">
        <v>0</v>
      </c>
      <c r="I649" t="n">
        <v>0</v>
      </c>
      <c r="J649" t="n">
        <v>0</v>
      </c>
      <c r="K649" t="n">
        <v>0</v>
      </c>
      <c r="L649" t="n">
        <v>0</v>
      </c>
      <c r="M649" t="n">
        <v>0</v>
      </c>
      <c r="N649" t="n">
        <v>0</v>
      </c>
      <c r="O649" t="n">
        <v>0</v>
      </c>
      <c r="P649" t="n">
        <v>0</v>
      </c>
      <c r="Q649" t="n">
        <v>0</v>
      </c>
      <c r="R649" s="2" t="inlineStr"/>
    </row>
    <row r="650" ht="15" customHeight="1">
      <c r="A650" t="inlineStr">
        <is>
          <t>A 35985-2025</t>
        </is>
      </c>
      <c r="B650" s="1" t="n">
        <v>45863.45778935185</v>
      </c>
      <c r="C650" s="1" t="n">
        <v>46012</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27000-2021</t>
        </is>
      </c>
      <c r="B651" s="1" t="n">
        <v>44349</v>
      </c>
      <c r="C651" s="1" t="n">
        <v>46012</v>
      </c>
      <c r="D651" t="inlineStr">
        <is>
          <t>JÄMTLANDS LÄN</t>
        </is>
      </c>
      <c r="E651" t="inlineStr">
        <is>
          <t>KROKOM</t>
        </is>
      </c>
      <c r="F651" t="inlineStr">
        <is>
          <t>Allmännings- och besparingsskogar</t>
        </is>
      </c>
      <c r="G651" t="n">
        <v>2.3</v>
      </c>
      <c r="H651" t="n">
        <v>0</v>
      </c>
      <c r="I651" t="n">
        <v>0</v>
      </c>
      <c r="J651" t="n">
        <v>0</v>
      </c>
      <c r="K651" t="n">
        <v>0</v>
      </c>
      <c r="L651" t="n">
        <v>0</v>
      </c>
      <c r="M651" t="n">
        <v>0</v>
      </c>
      <c r="N651" t="n">
        <v>0</v>
      </c>
      <c r="O651" t="n">
        <v>0</v>
      </c>
      <c r="P651" t="n">
        <v>0</v>
      </c>
      <c r="Q651" t="n">
        <v>0</v>
      </c>
      <c r="R651" s="2" t="inlineStr"/>
    </row>
    <row r="652" ht="15" customHeight="1">
      <c r="A652" t="inlineStr">
        <is>
          <t>A 29379-2024</t>
        </is>
      </c>
      <c r="B652" s="1" t="n">
        <v>45483</v>
      </c>
      <c r="C652" s="1" t="n">
        <v>46012</v>
      </c>
      <c r="D652" t="inlineStr">
        <is>
          <t>JÄMTLANDS LÄN</t>
        </is>
      </c>
      <c r="E652" t="inlineStr">
        <is>
          <t>KROKOM</t>
        </is>
      </c>
      <c r="G652" t="n">
        <v>2.6</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46012</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36182-2025</t>
        </is>
      </c>
      <c r="B654" s="1" t="n">
        <v>45867.41707175926</v>
      </c>
      <c r="C654" s="1" t="n">
        <v>46012</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36209-2025</t>
        </is>
      </c>
      <c r="B655" s="1" t="n">
        <v>45867.46560185185</v>
      </c>
      <c r="C655" s="1" t="n">
        <v>46012</v>
      </c>
      <c r="D655" t="inlineStr">
        <is>
          <t>JÄMTLANDS LÄN</t>
        </is>
      </c>
      <c r="E655" t="inlineStr">
        <is>
          <t>KROKOM</t>
        </is>
      </c>
      <c r="G655" t="n">
        <v>9.4</v>
      </c>
      <c r="H655" t="n">
        <v>0</v>
      </c>
      <c r="I655" t="n">
        <v>0</v>
      </c>
      <c r="J655" t="n">
        <v>0</v>
      </c>
      <c r="K655" t="n">
        <v>0</v>
      </c>
      <c r="L655" t="n">
        <v>0</v>
      </c>
      <c r="M655" t="n">
        <v>0</v>
      </c>
      <c r="N655" t="n">
        <v>0</v>
      </c>
      <c r="O655" t="n">
        <v>0</v>
      </c>
      <c r="P655" t="n">
        <v>0</v>
      </c>
      <c r="Q655" t="n">
        <v>0</v>
      </c>
      <c r="R655" s="2" t="inlineStr"/>
    </row>
    <row r="656" ht="15" customHeight="1">
      <c r="A656" t="inlineStr">
        <is>
          <t>A 13395-2021</t>
        </is>
      </c>
      <c r="B656" s="1" t="n">
        <v>44273</v>
      </c>
      <c r="C656" s="1" t="n">
        <v>46012</v>
      </c>
      <c r="D656" t="inlineStr">
        <is>
          <t>JÄMTLANDS LÄN</t>
        </is>
      </c>
      <c r="E656" t="inlineStr">
        <is>
          <t>KROKOM</t>
        </is>
      </c>
      <c r="G656" t="n">
        <v>13.7</v>
      </c>
      <c r="H656" t="n">
        <v>0</v>
      </c>
      <c r="I656" t="n">
        <v>0</v>
      </c>
      <c r="J656" t="n">
        <v>0</v>
      </c>
      <c r="K656" t="n">
        <v>0</v>
      </c>
      <c r="L656" t="n">
        <v>0</v>
      </c>
      <c r="M656" t="n">
        <v>0</v>
      </c>
      <c r="N656" t="n">
        <v>0</v>
      </c>
      <c r="O656" t="n">
        <v>0</v>
      </c>
      <c r="P656" t="n">
        <v>0</v>
      </c>
      <c r="Q656" t="n">
        <v>0</v>
      </c>
      <c r="R656" s="2" t="inlineStr"/>
    </row>
    <row r="657" ht="15" customHeight="1">
      <c r="A657" t="inlineStr">
        <is>
          <t>A 56892-2025</t>
        </is>
      </c>
      <c r="B657" s="1" t="n">
        <v>45978.56626157407</v>
      </c>
      <c r="C657" s="1" t="n">
        <v>46012</v>
      </c>
      <c r="D657" t="inlineStr">
        <is>
          <t>JÄMTLANDS LÄN</t>
        </is>
      </c>
      <c r="E657" t="inlineStr">
        <is>
          <t>KROKOM</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48272-2025</t>
        </is>
      </c>
      <c r="B658" s="1" t="n">
        <v>45933.57362268519</v>
      </c>
      <c r="C658" s="1" t="n">
        <v>46012</v>
      </c>
      <c r="D658" t="inlineStr">
        <is>
          <t>JÄMTLANDS LÄN</t>
        </is>
      </c>
      <c r="E658" t="inlineStr">
        <is>
          <t>KROKOM</t>
        </is>
      </c>
      <c r="G658" t="n">
        <v>3.4</v>
      </c>
      <c r="H658" t="n">
        <v>0</v>
      </c>
      <c r="I658" t="n">
        <v>0</v>
      </c>
      <c r="J658" t="n">
        <v>0</v>
      </c>
      <c r="K658" t="n">
        <v>0</v>
      </c>
      <c r="L658" t="n">
        <v>0</v>
      </c>
      <c r="M658" t="n">
        <v>0</v>
      </c>
      <c r="N658" t="n">
        <v>0</v>
      </c>
      <c r="O658" t="n">
        <v>0</v>
      </c>
      <c r="P658" t="n">
        <v>0</v>
      </c>
      <c r="Q658" t="n">
        <v>0</v>
      </c>
      <c r="R658" s="2" t="inlineStr"/>
    </row>
    <row r="659" ht="15" customHeight="1">
      <c r="A659" t="inlineStr">
        <is>
          <t>A 48438-2025</t>
        </is>
      </c>
      <c r="B659" s="1" t="n">
        <v>45935.4812962963</v>
      </c>
      <c r="C659" s="1" t="n">
        <v>46012</v>
      </c>
      <c r="D659" t="inlineStr">
        <is>
          <t>JÄMTLANDS LÄN</t>
        </is>
      </c>
      <c r="E659" t="inlineStr">
        <is>
          <t>KROKOM</t>
        </is>
      </c>
      <c r="G659" t="n">
        <v>1.7</v>
      </c>
      <c r="H659" t="n">
        <v>0</v>
      </c>
      <c r="I659" t="n">
        <v>0</v>
      </c>
      <c r="J659" t="n">
        <v>0</v>
      </c>
      <c r="K659" t="n">
        <v>0</v>
      </c>
      <c r="L659" t="n">
        <v>0</v>
      </c>
      <c r="M659" t="n">
        <v>0</v>
      </c>
      <c r="N659" t="n">
        <v>0</v>
      </c>
      <c r="O659" t="n">
        <v>0</v>
      </c>
      <c r="P659" t="n">
        <v>0</v>
      </c>
      <c r="Q659" t="n">
        <v>0</v>
      </c>
      <c r="R659" s="2" t="inlineStr"/>
    </row>
    <row r="660" ht="15" customHeight="1">
      <c r="A660" t="inlineStr">
        <is>
          <t>A 56432-2025</t>
        </is>
      </c>
      <c r="B660" s="1" t="n">
        <v>45975.34650462963</v>
      </c>
      <c r="C660" s="1" t="n">
        <v>46012</v>
      </c>
      <c r="D660" t="inlineStr">
        <is>
          <t>JÄMTLANDS LÄN</t>
        </is>
      </c>
      <c r="E660" t="inlineStr">
        <is>
          <t>KROKOM</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48257-2025</t>
        </is>
      </c>
      <c r="B661" s="1" t="n">
        <v>45933.55483796296</v>
      </c>
      <c r="C661" s="1" t="n">
        <v>46012</v>
      </c>
      <c r="D661" t="inlineStr">
        <is>
          <t>JÄMTLANDS LÄN</t>
        </is>
      </c>
      <c r="E661" t="inlineStr">
        <is>
          <t>KROKOM</t>
        </is>
      </c>
      <c r="G661" t="n">
        <v>4.6</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46012</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36429-2025</t>
        </is>
      </c>
      <c r="B663" s="1" t="n">
        <v>45869.34439814815</v>
      </c>
      <c r="C663" s="1" t="n">
        <v>46012</v>
      </c>
      <c r="D663" t="inlineStr">
        <is>
          <t>JÄMTLANDS LÄN</t>
        </is>
      </c>
      <c r="E663" t="inlineStr">
        <is>
          <t>KROKOM</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56433-2025</t>
        </is>
      </c>
      <c r="B664" s="1" t="n">
        <v>45975.34655092593</v>
      </c>
      <c r="C664" s="1" t="n">
        <v>46012</v>
      </c>
      <c r="D664" t="inlineStr">
        <is>
          <t>JÄMTLANDS LÄN</t>
        </is>
      </c>
      <c r="E664" t="inlineStr">
        <is>
          <t>KROKOM</t>
        </is>
      </c>
      <c r="F664" t="inlineStr">
        <is>
          <t>SCA</t>
        </is>
      </c>
      <c r="G664" t="n">
        <v>6.5</v>
      </c>
      <c r="H664" t="n">
        <v>0</v>
      </c>
      <c r="I664" t="n">
        <v>0</v>
      </c>
      <c r="J664" t="n">
        <v>0</v>
      </c>
      <c r="K664" t="n">
        <v>0</v>
      </c>
      <c r="L664" t="n">
        <v>0</v>
      </c>
      <c r="M664" t="n">
        <v>0</v>
      </c>
      <c r="N664" t="n">
        <v>0</v>
      </c>
      <c r="O664" t="n">
        <v>0</v>
      </c>
      <c r="P664" t="n">
        <v>0</v>
      </c>
      <c r="Q664" t="n">
        <v>0</v>
      </c>
      <c r="R664" s="2" t="inlineStr"/>
    </row>
    <row r="665" ht="15" customHeight="1">
      <c r="A665" t="inlineStr">
        <is>
          <t>A 48255-2025</t>
        </is>
      </c>
      <c r="B665" s="1" t="n">
        <v>45933.55407407408</v>
      </c>
      <c r="C665" s="1" t="n">
        <v>46012</v>
      </c>
      <c r="D665" t="inlineStr">
        <is>
          <t>JÄMTLANDS LÄN</t>
        </is>
      </c>
      <c r="E665" t="inlineStr">
        <is>
          <t>KROKOM</t>
        </is>
      </c>
      <c r="G665" t="n">
        <v>0.8</v>
      </c>
      <c r="H665" t="n">
        <v>0</v>
      </c>
      <c r="I665" t="n">
        <v>0</v>
      </c>
      <c r="J665" t="n">
        <v>0</v>
      </c>
      <c r="K665" t="n">
        <v>0</v>
      </c>
      <c r="L665" t="n">
        <v>0</v>
      </c>
      <c r="M665" t="n">
        <v>0</v>
      </c>
      <c r="N665" t="n">
        <v>0</v>
      </c>
      <c r="O665" t="n">
        <v>0</v>
      </c>
      <c r="P665" t="n">
        <v>0</v>
      </c>
      <c r="Q665" t="n">
        <v>0</v>
      </c>
      <c r="R665" s="2" t="inlineStr"/>
    </row>
    <row r="666" ht="15" customHeight="1">
      <c r="A666" t="inlineStr">
        <is>
          <t>A 48469-2025</t>
        </is>
      </c>
      <c r="B666" s="1" t="n">
        <v>45936.34489583333</v>
      </c>
      <c r="C666" s="1" t="n">
        <v>46012</v>
      </c>
      <c r="D666" t="inlineStr">
        <is>
          <t>JÄMTLANDS LÄN</t>
        </is>
      </c>
      <c r="E666" t="inlineStr">
        <is>
          <t>KROKOM</t>
        </is>
      </c>
      <c r="F666" t="inlineStr">
        <is>
          <t>SCA</t>
        </is>
      </c>
      <c r="G666" t="n">
        <v>15.2</v>
      </c>
      <c r="H666" t="n">
        <v>0</v>
      </c>
      <c r="I666" t="n">
        <v>0</v>
      </c>
      <c r="J666" t="n">
        <v>0</v>
      </c>
      <c r="K666" t="n">
        <v>0</v>
      </c>
      <c r="L666" t="n">
        <v>0</v>
      </c>
      <c r="M666" t="n">
        <v>0</v>
      </c>
      <c r="N666" t="n">
        <v>0</v>
      </c>
      <c r="O666" t="n">
        <v>0</v>
      </c>
      <c r="P666" t="n">
        <v>0</v>
      </c>
      <c r="Q666" t="n">
        <v>0</v>
      </c>
      <c r="R666" s="2" t="inlineStr"/>
    </row>
    <row r="667" ht="15" customHeight="1">
      <c r="A667" t="inlineStr">
        <is>
          <t>A 48470-2025</t>
        </is>
      </c>
      <c r="B667" s="1" t="n">
        <v>45936.34504629629</v>
      </c>
      <c r="C667" s="1" t="n">
        <v>46012</v>
      </c>
      <c r="D667" t="inlineStr">
        <is>
          <t>JÄMTLANDS LÄN</t>
        </is>
      </c>
      <c r="E667" t="inlineStr">
        <is>
          <t>KROKOM</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48323-2025</t>
        </is>
      </c>
      <c r="B668" s="1" t="n">
        <v>45933.62793981482</v>
      </c>
      <c r="C668" s="1" t="n">
        <v>46012</v>
      </c>
      <c r="D668" t="inlineStr">
        <is>
          <t>JÄMTLANDS LÄN</t>
        </is>
      </c>
      <c r="E668" t="inlineStr">
        <is>
          <t>KROKOM</t>
        </is>
      </c>
      <c r="G668" t="n">
        <v>2.8</v>
      </c>
      <c r="H668" t="n">
        <v>0</v>
      </c>
      <c r="I668" t="n">
        <v>0</v>
      </c>
      <c r="J668" t="n">
        <v>0</v>
      </c>
      <c r="K668" t="n">
        <v>0</v>
      </c>
      <c r="L668" t="n">
        <v>0</v>
      </c>
      <c r="M668" t="n">
        <v>0</v>
      </c>
      <c r="N668" t="n">
        <v>0</v>
      </c>
      <c r="O668" t="n">
        <v>0</v>
      </c>
      <c r="P668" t="n">
        <v>0</v>
      </c>
      <c r="Q668" t="n">
        <v>0</v>
      </c>
      <c r="R668" s="2" t="inlineStr"/>
    </row>
    <row r="669" ht="15" customHeight="1">
      <c r="A669" t="inlineStr">
        <is>
          <t>A 48468-2025</t>
        </is>
      </c>
      <c r="B669" s="1" t="n">
        <v>45936.34469907408</v>
      </c>
      <c r="C669" s="1" t="n">
        <v>46012</v>
      </c>
      <c r="D669" t="inlineStr">
        <is>
          <t>JÄMTLANDS LÄN</t>
        </is>
      </c>
      <c r="E669" t="inlineStr">
        <is>
          <t>KROKOM</t>
        </is>
      </c>
      <c r="F669" t="inlineStr">
        <is>
          <t>SCA</t>
        </is>
      </c>
      <c r="G669" t="n">
        <v>14.3</v>
      </c>
      <c r="H669" t="n">
        <v>0</v>
      </c>
      <c r="I669" t="n">
        <v>0</v>
      </c>
      <c r="J669" t="n">
        <v>0</v>
      </c>
      <c r="K669" t="n">
        <v>0</v>
      </c>
      <c r="L669" t="n">
        <v>0</v>
      </c>
      <c r="M669" t="n">
        <v>0</v>
      </c>
      <c r="N669" t="n">
        <v>0</v>
      </c>
      <c r="O669" t="n">
        <v>0</v>
      </c>
      <c r="P669" t="n">
        <v>0</v>
      </c>
      <c r="Q669" t="n">
        <v>0</v>
      </c>
      <c r="R669" s="2" t="inlineStr"/>
    </row>
    <row r="670" ht="15" customHeight="1">
      <c r="A670" t="inlineStr">
        <is>
          <t>A 52217-2024</t>
        </is>
      </c>
      <c r="B670" s="1" t="n">
        <v>45607</v>
      </c>
      <c r="C670" s="1" t="n">
        <v>46012</v>
      </c>
      <c r="D670" t="inlineStr">
        <is>
          <t>JÄMTLANDS LÄN</t>
        </is>
      </c>
      <c r="E670" t="inlineStr">
        <is>
          <t>KROKOM</t>
        </is>
      </c>
      <c r="G670" t="n">
        <v>0.2</v>
      </c>
      <c r="H670" t="n">
        <v>0</v>
      </c>
      <c r="I670" t="n">
        <v>0</v>
      </c>
      <c r="J670" t="n">
        <v>0</v>
      </c>
      <c r="K670" t="n">
        <v>0</v>
      </c>
      <c r="L670" t="n">
        <v>0</v>
      </c>
      <c r="M670" t="n">
        <v>0</v>
      </c>
      <c r="N670" t="n">
        <v>0</v>
      </c>
      <c r="O670" t="n">
        <v>0</v>
      </c>
      <c r="P670" t="n">
        <v>0</v>
      </c>
      <c r="Q670" t="n">
        <v>0</v>
      </c>
      <c r="R670" s="2" t="inlineStr"/>
    </row>
    <row r="671" ht="15" customHeight="1">
      <c r="A671" t="inlineStr">
        <is>
          <t>A 53541-2024</t>
        </is>
      </c>
      <c r="B671" s="1" t="n">
        <v>45614.63606481482</v>
      </c>
      <c r="C671" s="1" t="n">
        <v>46012</v>
      </c>
      <c r="D671" t="inlineStr">
        <is>
          <t>JÄMTLANDS LÄN</t>
        </is>
      </c>
      <c r="E671" t="inlineStr">
        <is>
          <t>KROKOM</t>
        </is>
      </c>
      <c r="G671" t="n">
        <v>0.5</v>
      </c>
      <c r="H671" t="n">
        <v>0</v>
      </c>
      <c r="I671" t="n">
        <v>0</v>
      </c>
      <c r="J671" t="n">
        <v>0</v>
      </c>
      <c r="K671" t="n">
        <v>0</v>
      </c>
      <c r="L671" t="n">
        <v>0</v>
      </c>
      <c r="M671" t="n">
        <v>0</v>
      </c>
      <c r="N671" t="n">
        <v>0</v>
      </c>
      <c r="O671" t="n">
        <v>0</v>
      </c>
      <c r="P671" t="n">
        <v>0</v>
      </c>
      <c r="Q671" t="n">
        <v>0</v>
      </c>
      <c r="R671" s="2" t="inlineStr"/>
    </row>
    <row r="672" ht="15" customHeight="1">
      <c r="A672" t="inlineStr">
        <is>
          <t>A 53544-2024</t>
        </is>
      </c>
      <c r="B672" s="1" t="n">
        <v>45614.63701388889</v>
      </c>
      <c r="C672" s="1" t="n">
        <v>46012</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15451-2021</t>
        </is>
      </c>
      <c r="B673" s="1" t="n">
        <v>44285</v>
      </c>
      <c r="C673" s="1" t="n">
        <v>46012</v>
      </c>
      <c r="D673" t="inlineStr">
        <is>
          <t>JÄMTLANDS LÄN</t>
        </is>
      </c>
      <c r="E673" t="inlineStr">
        <is>
          <t>KROKOM</t>
        </is>
      </c>
      <c r="G673" t="n">
        <v>6.7</v>
      </c>
      <c r="H673" t="n">
        <v>0</v>
      </c>
      <c r="I673" t="n">
        <v>0</v>
      </c>
      <c r="J673" t="n">
        <v>0</v>
      </c>
      <c r="K673" t="n">
        <v>0</v>
      </c>
      <c r="L673" t="n">
        <v>0</v>
      </c>
      <c r="M673" t="n">
        <v>0</v>
      </c>
      <c r="N673" t="n">
        <v>0</v>
      </c>
      <c r="O673" t="n">
        <v>0</v>
      </c>
      <c r="P673" t="n">
        <v>0</v>
      </c>
      <c r="Q673" t="n">
        <v>0</v>
      </c>
      <c r="R673" s="2" t="inlineStr"/>
    </row>
    <row r="674" ht="15" customHeight="1">
      <c r="A674" t="inlineStr">
        <is>
          <t>A 48666-2025</t>
        </is>
      </c>
      <c r="B674" s="1" t="n">
        <v>45936.57368055556</v>
      </c>
      <c r="C674" s="1" t="n">
        <v>46012</v>
      </c>
      <c r="D674" t="inlineStr">
        <is>
          <t>JÄMTLANDS LÄN</t>
        </is>
      </c>
      <c r="E674" t="inlineStr">
        <is>
          <t>KROKOM</t>
        </is>
      </c>
      <c r="F674" t="inlineStr">
        <is>
          <t>SCA</t>
        </is>
      </c>
      <c r="G674" t="n">
        <v>12.9</v>
      </c>
      <c r="H674" t="n">
        <v>0</v>
      </c>
      <c r="I674" t="n">
        <v>0</v>
      </c>
      <c r="J674" t="n">
        <v>0</v>
      </c>
      <c r="K674" t="n">
        <v>0</v>
      </c>
      <c r="L674" t="n">
        <v>0</v>
      </c>
      <c r="M674" t="n">
        <v>0</v>
      </c>
      <c r="N674" t="n">
        <v>0</v>
      </c>
      <c r="O674" t="n">
        <v>0</v>
      </c>
      <c r="P674" t="n">
        <v>0</v>
      </c>
      <c r="Q674" t="n">
        <v>0</v>
      </c>
      <c r="R674" s="2" t="inlineStr"/>
    </row>
    <row r="675" ht="15" customHeight="1">
      <c r="A675" t="inlineStr">
        <is>
          <t>A 56636-2025</t>
        </is>
      </c>
      <c r="B675" s="1" t="n">
        <v>45975.61663194445</v>
      </c>
      <c r="C675" s="1" t="n">
        <v>46012</v>
      </c>
      <c r="D675" t="inlineStr">
        <is>
          <t>JÄMTLANDS LÄN</t>
        </is>
      </c>
      <c r="E675" t="inlineStr">
        <is>
          <t>KROKOM</t>
        </is>
      </c>
      <c r="F675" t="inlineStr">
        <is>
          <t>SCA</t>
        </is>
      </c>
      <c r="G675" t="n">
        <v>37.5</v>
      </c>
      <c r="H675" t="n">
        <v>0</v>
      </c>
      <c r="I675" t="n">
        <v>0</v>
      </c>
      <c r="J675" t="n">
        <v>0</v>
      </c>
      <c r="K675" t="n">
        <v>0</v>
      </c>
      <c r="L675" t="n">
        <v>0</v>
      </c>
      <c r="M675" t="n">
        <v>0</v>
      </c>
      <c r="N675" t="n">
        <v>0</v>
      </c>
      <c r="O675" t="n">
        <v>0</v>
      </c>
      <c r="P675" t="n">
        <v>0</v>
      </c>
      <c r="Q675" t="n">
        <v>0</v>
      </c>
      <c r="R675" s="2" t="inlineStr"/>
    </row>
    <row r="676" ht="15" customHeight="1">
      <c r="A676" t="inlineStr">
        <is>
          <t>A 34801-2023</t>
        </is>
      </c>
      <c r="B676" s="1" t="n">
        <v>45140</v>
      </c>
      <c r="C676" s="1" t="n">
        <v>46012</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56900-2025</t>
        </is>
      </c>
      <c r="B677" s="1" t="n">
        <v>45978.57273148148</v>
      </c>
      <c r="C677" s="1" t="n">
        <v>46012</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26721-2023</t>
        </is>
      </c>
      <c r="B678" s="1" t="n">
        <v>45090</v>
      </c>
      <c r="C678" s="1" t="n">
        <v>46012</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25775-2024</t>
        </is>
      </c>
      <c r="B679" s="1" t="n">
        <v>45466.62116898148</v>
      </c>
      <c r="C679" s="1" t="n">
        <v>46012</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47723-2024</t>
        </is>
      </c>
      <c r="B680" s="1" t="n">
        <v>45588</v>
      </c>
      <c r="C680" s="1" t="n">
        <v>46012</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60172-2024</t>
        </is>
      </c>
      <c r="B681" s="1" t="n">
        <v>45642.6366087963</v>
      </c>
      <c r="C681" s="1" t="n">
        <v>46012</v>
      </c>
      <c r="D681" t="inlineStr">
        <is>
          <t>JÄMTLANDS LÄN</t>
        </is>
      </c>
      <c r="E681" t="inlineStr">
        <is>
          <t>KROKOM</t>
        </is>
      </c>
      <c r="G681" t="n">
        <v>1.4</v>
      </c>
      <c r="H681" t="n">
        <v>0</v>
      </c>
      <c r="I681" t="n">
        <v>0</v>
      </c>
      <c r="J681" t="n">
        <v>0</v>
      </c>
      <c r="K681" t="n">
        <v>0</v>
      </c>
      <c r="L681" t="n">
        <v>0</v>
      </c>
      <c r="M681" t="n">
        <v>0</v>
      </c>
      <c r="N681" t="n">
        <v>0</v>
      </c>
      <c r="O681" t="n">
        <v>0</v>
      </c>
      <c r="P681" t="n">
        <v>0</v>
      </c>
      <c r="Q681" t="n">
        <v>0</v>
      </c>
      <c r="R681" s="2" t="inlineStr"/>
    </row>
    <row r="682" ht="15" customHeight="1">
      <c r="A682" t="inlineStr">
        <is>
          <t>A 22681-2025</t>
        </is>
      </c>
      <c r="B682" s="1" t="n">
        <v>45786</v>
      </c>
      <c r="C682" s="1" t="n">
        <v>46012</v>
      </c>
      <c r="D682" t="inlineStr">
        <is>
          <t>JÄMTLANDS LÄN</t>
        </is>
      </c>
      <c r="E682" t="inlineStr">
        <is>
          <t>KROKOM</t>
        </is>
      </c>
      <c r="G682" t="n">
        <v>1.9</v>
      </c>
      <c r="H682" t="n">
        <v>0</v>
      </c>
      <c r="I682" t="n">
        <v>0</v>
      </c>
      <c r="J682" t="n">
        <v>0</v>
      </c>
      <c r="K682" t="n">
        <v>0</v>
      </c>
      <c r="L682" t="n">
        <v>0</v>
      </c>
      <c r="M682" t="n">
        <v>0</v>
      </c>
      <c r="N682" t="n">
        <v>0</v>
      </c>
      <c r="O682" t="n">
        <v>0</v>
      </c>
      <c r="P682" t="n">
        <v>0</v>
      </c>
      <c r="Q682" t="n">
        <v>0</v>
      </c>
      <c r="R682" s="2" t="inlineStr"/>
    </row>
    <row r="683" ht="15" customHeight="1">
      <c r="A683" t="inlineStr">
        <is>
          <t>A 48798-2025</t>
        </is>
      </c>
      <c r="B683" s="1" t="n">
        <v>45937.34465277778</v>
      </c>
      <c r="C683" s="1" t="n">
        <v>46012</v>
      </c>
      <c r="D683" t="inlineStr">
        <is>
          <t>JÄMTLANDS LÄN</t>
        </is>
      </c>
      <c r="E683" t="inlineStr">
        <is>
          <t>KROKOM</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46012</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6066-2025</t>
        </is>
      </c>
      <c r="B685" s="1" t="n">
        <v>45696.3440162037</v>
      </c>
      <c r="C685" s="1" t="n">
        <v>46012</v>
      </c>
      <c r="D685" t="inlineStr">
        <is>
          <t>JÄMTLANDS LÄN</t>
        </is>
      </c>
      <c r="E685" t="inlineStr">
        <is>
          <t>KROKOM</t>
        </is>
      </c>
      <c r="G685" t="n">
        <v>5.3</v>
      </c>
      <c r="H685" t="n">
        <v>0</v>
      </c>
      <c r="I685" t="n">
        <v>0</v>
      </c>
      <c r="J685" t="n">
        <v>0</v>
      </c>
      <c r="K685" t="n">
        <v>0</v>
      </c>
      <c r="L685" t="n">
        <v>0</v>
      </c>
      <c r="M685" t="n">
        <v>0</v>
      </c>
      <c r="N685" t="n">
        <v>0</v>
      </c>
      <c r="O685" t="n">
        <v>0</v>
      </c>
      <c r="P685" t="n">
        <v>0</v>
      </c>
      <c r="Q685" t="n">
        <v>0</v>
      </c>
      <c r="R685" s="2" t="inlineStr"/>
    </row>
    <row r="686" ht="15" customHeight="1">
      <c r="A686" t="inlineStr">
        <is>
          <t>A 37349-2025</t>
        </is>
      </c>
      <c r="B686" s="1" t="n">
        <v>45876</v>
      </c>
      <c r="C686" s="1" t="n">
        <v>46012</v>
      </c>
      <c r="D686" t="inlineStr">
        <is>
          <t>JÄMTLANDS LÄN</t>
        </is>
      </c>
      <c r="E686" t="inlineStr">
        <is>
          <t>KROKOM</t>
        </is>
      </c>
      <c r="G686" t="n">
        <v>7.9</v>
      </c>
      <c r="H686" t="n">
        <v>0</v>
      </c>
      <c r="I686" t="n">
        <v>0</v>
      </c>
      <c r="J686" t="n">
        <v>0</v>
      </c>
      <c r="K686" t="n">
        <v>0</v>
      </c>
      <c r="L686" t="n">
        <v>0</v>
      </c>
      <c r="M686" t="n">
        <v>0</v>
      </c>
      <c r="N686" t="n">
        <v>0</v>
      </c>
      <c r="O686" t="n">
        <v>0</v>
      </c>
      <c r="P686" t="n">
        <v>0</v>
      </c>
      <c r="Q686" t="n">
        <v>0</v>
      </c>
      <c r="R686" s="2" t="inlineStr"/>
    </row>
    <row r="687" ht="15" customHeight="1">
      <c r="A687" t="inlineStr">
        <is>
          <t>A 37350-2025</t>
        </is>
      </c>
      <c r="B687" s="1" t="n">
        <v>45876</v>
      </c>
      <c r="C687" s="1" t="n">
        <v>46012</v>
      </c>
      <c r="D687" t="inlineStr">
        <is>
          <t>JÄMTLANDS LÄN</t>
        </is>
      </c>
      <c r="E687" t="inlineStr">
        <is>
          <t>KROKOM</t>
        </is>
      </c>
      <c r="G687" t="n">
        <v>29.9</v>
      </c>
      <c r="H687" t="n">
        <v>0</v>
      </c>
      <c r="I687" t="n">
        <v>0</v>
      </c>
      <c r="J687" t="n">
        <v>0</v>
      </c>
      <c r="K687" t="n">
        <v>0</v>
      </c>
      <c r="L687" t="n">
        <v>0</v>
      </c>
      <c r="M687" t="n">
        <v>0</v>
      </c>
      <c r="N687" t="n">
        <v>0</v>
      </c>
      <c r="O687" t="n">
        <v>0</v>
      </c>
      <c r="P687" t="n">
        <v>0</v>
      </c>
      <c r="Q687" t="n">
        <v>0</v>
      </c>
      <c r="R687" s="2" t="inlineStr"/>
    </row>
    <row r="688" ht="15" customHeight="1">
      <c r="A688" t="inlineStr">
        <is>
          <t>A 43373-2025</t>
        </is>
      </c>
      <c r="B688" s="1" t="n">
        <v>45911</v>
      </c>
      <c r="C688" s="1" t="n">
        <v>46012</v>
      </c>
      <c r="D688" t="inlineStr">
        <is>
          <t>JÄMTLANDS LÄN</t>
        </is>
      </c>
      <c r="E688" t="inlineStr">
        <is>
          <t>KROKOM</t>
        </is>
      </c>
      <c r="G688" t="n">
        <v>34.9</v>
      </c>
      <c r="H688" t="n">
        <v>0</v>
      </c>
      <c r="I688" t="n">
        <v>0</v>
      </c>
      <c r="J688" t="n">
        <v>0</v>
      </c>
      <c r="K688" t="n">
        <v>0</v>
      </c>
      <c r="L688" t="n">
        <v>0</v>
      </c>
      <c r="M688" t="n">
        <v>0</v>
      </c>
      <c r="N688" t="n">
        <v>0</v>
      </c>
      <c r="O688" t="n">
        <v>0</v>
      </c>
      <c r="P688" t="n">
        <v>0</v>
      </c>
      <c r="Q688" t="n">
        <v>0</v>
      </c>
      <c r="R688" s="2" t="inlineStr"/>
    </row>
    <row r="689" ht="15" customHeight="1">
      <c r="A689" t="inlineStr">
        <is>
          <t>A 59619-2024</t>
        </is>
      </c>
      <c r="B689" s="1" t="n">
        <v>45638.81375</v>
      </c>
      <c r="C689" s="1" t="n">
        <v>46012</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31543-2025</t>
        </is>
      </c>
      <c r="B690" s="1" t="n">
        <v>45833</v>
      </c>
      <c r="C690" s="1" t="n">
        <v>46012</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49063-2025</t>
        </is>
      </c>
      <c r="B691" s="1" t="n">
        <v>45937.64388888889</v>
      </c>
      <c r="C691" s="1" t="n">
        <v>46012</v>
      </c>
      <c r="D691" t="inlineStr">
        <is>
          <t>JÄMTLANDS LÄN</t>
        </is>
      </c>
      <c r="E691" t="inlineStr">
        <is>
          <t>KROKOM</t>
        </is>
      </c>
      <c r="G691" t="n">
        <v>2.7</v>
      </c>
      <c r="H691" t="n">
        <v>0</v>
      </c>
      <c r="I691" t="n">
        <v>0</v>
      </c>
      <c r="J691" t="n">
        <v>0</v>
      </c>
      <c r="K691" t="n">
        <v>0</v>
      </c>
      <c r="L691" t="n">
        <v>0</v>
      </c>
      <c r="M691" t="n">
        <v>0</v>
      </c>
      <c r="N691" t="n">
        <v>0</v>
      </c>
      <c r="O691" t="n">
        <v>0</v>
      </c>
      <c r="P691" t="n">
        <v>0</v>
      </c>
      <c r="Q691" t="n">
        <v>0</v>
      </c>
      <c r="R691" s="2" t="inlineStr"/>
    </row>
    <row r="692" ht="15" customHeight="1">
      <c r="A692" t="inlineStr">
        <is>
          <t>A 37346-2025</t>
        </is>
      </c>
      <c r="B692" s="1" t="n">
        <v>45876</v>
      </c>
      <c r="C692" s="1" t="n">
        <v>46012</v>
      </c>
      <c r="D692" t="inlineStr">
        <is>
          <t>JÄMTLANDS LÄN</t>
        </is>
      </c>
      <c r="E692" t="inlineStr">
        <is>
          <t>KROKOM</t>
        </is>
      </c>
      <c r="G692" t="n">
        <v>5</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46012</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43371-2025</t>
        </is>
      </c>
      <c r="B694" s="1" t="n">
        <v>45911</v>
      </c>
      <c r="C694" s="1" t="n">
        <v>46012</v>
      </c>
      <c r="D694" t="inlineStr">
        <is>
          <t>JÄMTLANDS LÄN</t>
        </is>
      </c>
      <c r="E694" t="inlineStr">
        <is>
          <t>KROKOM</t>
        </is>
      </c>
      <c r="G694" t="n">
        <v>7.3</v>
      </c>
      <c r="H694" t="n">
        <v>0</v>
      </c>
      <c r="I694" t="n">
        <v>0</v>
      </c>
      <c r="J694" t="n">
        <v>0</v>
      </c>
      <c r="K694" t="n">
        <v>0</v>
      </c>
      <c r="L694" t="n">
        <v>0</v>
      </c>
      <c r="M694" t="n">
        <v>0</v>
      </c>
      <c r="N694" t="n">
        <v>0</v>
      </c>
      <c r="O694" t="n">
        <v>0</v>
      </c>
      <c r="P694" t="n">
        <v>0</v>
      </c>
      <c r="Q694" t="n">
        <v>0</v>
      </c>
      <c r="R694" s="2" t="inlineStr"/>
    </row>
    <row r="695" ht="15" customHeight="1">
      <c r="A695" t="inlineStr">
        <is>
          <t>A 31426-2025</t>
        </is>
      </c>
      <c r="B695" s="1" t="n">
        <v>45833</v>
      </c>
      <c r="C695" s="1" t="n">
        <v>46012</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10632-2025</t>
        </is>
      </c>
      <c r="B696" s="1" t="n">
        <v>45721</v>
      </c>
      <c r="C696" s="1" t="n">
        <v>46012</v>
      </c>
      <c r="D696" t="inlineStr">
        <is>
          <t>JÄMTLANDS LÄN</t>
        </is>
      </c>
      <c r="E696" t="inlineStr">
        <is>
          <t>KROKOM</t>
        </is>
      </c>
      <c r="G696" t="n">
        <v>3.2</v>
      </c>
      <c r="H696" t="n">
        <v>0</v>
      </c>
      <c r="I696" t="n">
        <v>0</v>
      </c>
      <c r="J696" t="n">
        <v>0</v>
      </c>
      <c r="K696" t="n">
        <v>0</v>
      </c>
      <c r="L696" t="n">
        <v>0</v>
      </c>
      <c r="M696" t="n">
        <v>0</v>
      </c>
      <c r="N696" t="n">
        <v>0</v>
      </c>
      <c r="O696" t="n">
        <v>0</v>
      </c>
      <c r="P696" t="n">
        <v>0</v>
      </c>
      <c r="Q696" t="n">
        <v>0</v>
      </c>
      <c r="R696" s="2" t="inlineStr"/>
    </row>
    <row r="697" ht="15" customHeight="1">
      <c r="A697" t="inlineStr">
        <is>
          <t>A 18942-2025</t>
        </is>
      </c>
      <c r="B697" s="1" t="n">
        <v>45764</v>
      </c>
      <c r="C697" s="1" t="n">
        <v>46012</v>
      </c>
      <c r="D697" t="inlineStr">
        <is>
          <t>JÄMTLANDS LÄN</t>
        </is>
      </c>
      <c r="E697" t="inlineStr">
        <is>
          <t>KROKOM</t>
        </is>
      </c>
      <c r="G697" t="n">
        <v>8.9</v>
      </c>
      <c r="H697" t="n">
        <v>0</v>
      </c>
      <c r="I697" t="n">
        <v>0</v>
      </c>
      <c r="J697" t="n">
        <v>0</v>
      </c>
      <c r="K697" t="n">
        <v>0</v>
      </c>
      <c r="L697" t="n">
        <v>0</v>
      </c>
      <c r="M697" t="n">
        <v>0</v>
      </c>
      <c r="N697" t="n">
        <v>0</v>
      </c>
      <c r="O697" t="n">
        <v>0</v>
      </c>
      <c r="P697" t="n">
        <v>0</v>
      </c>
      <c r="Q697" t="n">
        <v>0</v>
      </c>
      <c r="R697" s="2" t="inlineStr"/>
    </row>
    <row r="698" ht="15" customHeight="1">
      <c r="A698" t="inlineStr">
        <is>
          <t>A 31427-2025</t>
        </is>
      </c>
      <c r="B698" s="1" t="n">
        <v>45833</v>
      </c>
      <c r="C698" s="1" t="n">
        <v>46012</v>
      </c>
      <c r="D698" t="inlineStr">
        <is>
          <t>JÄMTLANDS LÄN</t>
        </is>
      </c>
      <c r="E698" t="inlineStr">
        <is>
          <t>KROKOM</t>
        </is>
      </c>
      <c r="G698" t="n">
        <v>1</v>
      </c>
      <c r="H698" t="n">
        <v>0</v>
      </c>
      <c r="I698" t="n">
        <v>0</v>
      </c>
      <c r="J698" t="n">
        <v>0</v>
      </c>
      <c r="K698" t="n">
        <v>0</v>
      </c>
      <c r="L698" t="n">
        <v>0</v>
      </c>
      <c r="M698" t="n">
        <v>0</v>
      </c>
      <c r="N698" t="n">
        <v>0</v>
      </c>
      <c r="O698" t="n">
        <v>0</v>
      </c>
      <c r="P698" t="n">
        <v>0</v>
      </c>
      <c r="Q698" t="n">
        <v>0</v>
      </c>
      <c r="R698" s="2" t="inlineStr"/>
    </row>
    <row r="699" ht="15" customHeight="1">
      <c r="A699" t="inlineStr">
        <is>
          <t>A 57152-2025</t>
        </is>
      </c>
      <c r="B699" s="1" t="n">
        <v>45979.50850694445</v>
      </c>
      <c r="C699" s="1" t="n">
        <v>46012</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37530-2025</t>
        </is>
      </c>
      <c r="B700" s="1" t="n">
        <v>45878</v>
      </c>
      <c r="C700" s="1" t="n">
        <v>46012</v>
      </c>
      <c r="D700" t="inlineStr">
        <is>
          <t>JÄMTLANDS LÄN</t>
        </is>
      </c>
      <c r="E700" t="inlineStr">
        <is>
          <t>KROKOM</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49009-2025</t>
        </is>
      </c>
      <c r="B701" s="1" t="n">
        <v>45937.60777777778</v>
      </c>
      <c r="C701" s="1" t="n">
        <v>46012</v>
      </c>
      <c r="D701" t="inlineStr">
        <is>
          <t>JÄMTLANDS LÄN</t>
        </is>
      </c>
      <c r="E701" t="inlineStr">
        <is>
          <t>KROKOM</t>
        </is>
      </c>
      <c r="G701" t="n">
        <v>1.1</v>
      </c>
      <c r="H701" t="n">
        <v>0</v>
      </c>
      <c r="I701" t="n">
        <v>0</v>
      </c>
      <c r="J701" t="n">
        <v>0</v>
      </c>
      <c r="K701" t="n">
        <v>0</v>
      </c>
      <c r="L701" t="n">
        <v>0</v>
      </c>
      <c r="M701" t="n">
        <v>0</v>
      </c>
      <c r="N701" t="n">
        <v>0</v>
      </c>
      <c r="O701" t="n">
        <v>0</v>
      </c>
      <c r="P701" t="n">
        <v>0</v>
      </c>
      <c r="Q701" t="n">
        <v>0</v>
      </c>
      <c r="R701" s="2" t="inlineStr"/>
    </row>
    <row r="702" ht="15" customHeight="1">
      <c r="A702" t="inlineStr">
        <is>
          <t>A 23139-2021</t>
        </is>
      </c>
      <c r="B702" s="1" t="n">
        <v>44331</v>
      </c>
      <c r="C702" s="1" t="n">
        <v>46012</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1287-2021</t>
        </is>
      </c>
      <c r="B703" s="1" t="n">
        <v>44207</v>
      </c>
      <c r="C703" s="1" t="n">
        <v>46012</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5356-2025</t>
        </is>
      </c>
      <c r="B704" s="1" t="n">
        <v>45692</v>
      </c>
      <c r="C704" s="1" t="n">
        <v>46012</v>
      </c>
      <c r="D704" t="inlineStr">
        <is>
          <t>JÄMTLANDS LÄN</t>
        </is>
      </c>
      <c r="E704" t="inlineStr">
        <is>
          <t>KROKOM</t>
        </is>
      </c>
      <c r="F704" t="inlineStr">
        <is>
          <t>Övriga Aktiebolag</t>
        </is>
      </c>
      <c r="G704" t="n">
        <v>2.2</v>
      </c>
      <c r="H704" t="n">
        <v>0</v>
      </c>
      <c r="I704" t="n">
        <v>0</v>
      </c>
      <c r="J704" t="n">
        <v>0</v>
      </c>
      <c r="K704" t="n">
        <v>0</v>
      </c>
      <c r="L704" t="n">
        <v>0</v>
      </c>
      <c r="M704" t="n">
        <v>0</v>
      </c>
      <c r="N704" t="n">
        <v>0</v>
      </c>
      <c r="O704" t="n">
        <v>0</v>
      </c>
      <c r="P704" t="n">
        <v>0</v>
      </c>
      <c r="Q704" t="n">
        <v>0</v>
      </c>
      <c r="R704" s="2" t="inlineStr"/>
    </row>
    <row r="705" ht="15" customHeight="1">
      <c r="A705" t="inlineStr">
        <is>
          <t>A 9755-2024</t>
        </is>
      </c>
      <c r="B705" s="1" t="n">
        <v>45362</v>
      </c>
      <c r="C705" s="1" t="n">
        <v>46012</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5680-2025</t>
        </is>
      </c>
      <c r="B706" s="1" t="n">
        <v>45694.34268518518</v>
      </c>
      <c r="C706" s="1" t="n">
        <v>46012</v>
      </c>
      <c r="D706" t="inlineStr">
        <is>
          <t>JÄMTLANDS LÄN</t>
        </is>
      </c>
      <c r="E706" t="inlineStr">
        <is>
          <t>KROKOM</t>
        </is>
      </c>
      <c r="F706" t="inlineStr">
        <is>
          <t>Övriga Aktiebolag</t>
        </is>
      </c>
      <c r="G706" t="n">
        <v>48.4</v>
      </c>
      <c r="H706" t="n">
        <v>0</v>
      </c>
      <c r="I706" t="n">
        <v>0</v>
      </c>
      <c r="J706" t="n">
        <v>0</v>
      </c>
      <c r="K706" t="n">
        <v>0</v>
      </c>
      <c r="L706" t="n">
        <v>0</v>
      </c>
      <c r="M706" t="n">
        <v>0</v>
      </c>
      <c r="N706" t="n">
        <v>0</v>
      </c>
      <c r="O706" t="n">
        <v>0</v>
      </c>
      <c r="P706" t="n">
        <v>0</v>
      </c>
      <c r="Q706" t="n">
        <v>0</v>
      </c>
      <c r="R706" s="2" t="inlineStr"/>
    </row>
    <row r="707" ht="15" customHeight="1">
      <c r="A707" t="inlineStr">
        <is>
          <t>A 48801-2025</t>
        </is>
      </c>
      <c r="B707" s="1" t="n">
        <v>45937.34515046296</v>
      </c>
      <c r="C707" s="1" t="n">
        <v>46012</v>
      </c>
      <c r="D707" t="inlineStr">
        <is>
          <t>JÄMTLANDS LÄN</t>
        </is>
      </c>
      <c r="E707" t="inlineStr">
        <is>
          <t>KROKOM</t>
        </is>
      </c>
      <c r="F707" t="inlineStr">
        <is>
          <t>SCA</t>
        </is>
      </c>
      <c r="G707" t="n">
        <v>15.3</v>
      </c>
      <c r="H707" t="n">
        <v>0</v>
      </c>
      <c r="I707" t="n">
        <v>0</v>
      </c>
      <c r="J707" t="n">
        <v>0</v>
      </c>
      <c r="K707" t="n">
        <v>0</v>
      </c>
      <c r="L707" t="n">
        <v>0</v>
      </c>
      <c r="M707" t="n">
        <v>0</v>
      </c>
      <c r="N707" t="n">
        <v>0</v>
      </c>
      <c r="O707" t="n">
        <v>0</v>
      </c>
      <c r="P707" t="n">
        <v>0</v>
      </c>
      <c r="Q707" t="n">
        <v>0</v>
      </c>
      <c r="R707" s="2" t="inlineStr"/>
    </row>
    <row r="708" ht="15" customHeight="1">
      <c r="A708" t="inlineStr">
        <is>
          <t>A 49067-2025</t>
        </is>
      </c>
      <c r="B708" s="1" t="n">
        <v>45937.64741898148</v>
      </c>
      <c r="C708" s="1" t="n">
        <v>46012</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47850-2023</t>
        </is>
      </c>
      <c r="B709" s="1" t="n">
        <v>45204.40770833333</v>
      </c>
      <c r="C709" s="1" t="n">
        <v>46012</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14233-2025</t>
        </is>
      </c>
      <c r="B710" s="1" t="n">
        <v>45740</v>
      </c>
      <c r="C710" s="1" t="n">
        <v>46012</v>
      </c>
      <c r="D710" t="inlineStr">
        <is>
          <t>JÄMTLANDS LÄN</t>
        </is>
      </c>
      <c r="E710" t="inlineStr">
        <is>
          <t>KROKOM</t>
        </is>
      </c>
      <c r="F710" t="inlineStr">
        <is>
          <t>Övriga statliga verk och myndigheter</t>
        </is>
      </c>
      <c r="G710" t="n">
        <v>2.5</v>
      </c>
      <c r="H710" t="n">
        <v>0</v>
      </c>
      <c r="I710" t="n">
        <v>0</v>
      </c>
      <c r="J710" t="n">
        <v>0</v>
      </c>
      <c r="K710" t="n">
        <v>0</v>
      </c>
      <c r="L710" t="n">
        <v>0</v>
      </c>
      <c r="M710" t="n">
        <v>0</v>
      </c>
      <c r="N710" t="n">
        <v>0</v>
      </c>
      <c r="O710" t="n">
        <v>0</v>
      </c>
      <c r="P710" t="n">
        <v>0</v>
      </c>
      <c r="Q710" t="n">
        <v>0</v>
      </c>
      <c r="R710" s="2" t="inlineStr"/>
    </row>
    <row r="711" ht="15" customHeight="1">
      <c r="A711" t="inlineStr">
        <is>
          <t>A 26184-2024</t>
        </is>
      </c>
      <c r="B711" s="1" t="n">
        <v>45467</v>
      </c>
      <c r="C711" s="1" t="n">
        <v>46012</v>
      </c>
      <c r="D711" t="inlineStr">
        <is>
          <t>JÄMTLANDS LÄN</t>
        </is>
      </c>
      <c r="E711" t="inlineStr">
        <is>
          <t>KROKOM</t>
        </is>
      </c>
      <c r="G711" t="n">
        <v>65.7</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46012</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46012</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37886-2025</t>
        </is>
      </c>
      <c r="B714" s="1" t="n">
        <v>45881.51081018519</v>
      </c>
      <c r="C714" s="1" t="n">
        <v>46012</v>
      </c>
      <c r="D714" t="inlineStr">
        <is>
          <t>JÄMTLANDS LÄN</t>
        </is>
      </c>
      <c r="E714" t="inlineStr">
        <is>
          <t>KROKOM</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53568-2024</t>
        </is>
      </c>
      <c r="B715" s="1" t="n">
        <v>45614.65925925926</v>
      </c>
      <c r="C715" s="1" t="n">
        <v>46012</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33480-2024</t>
        </is>
      </c>
      <c r="B716" s="1" t="n">
        <v>45519.60965277778</v>
      </c>
      <c r="C716" s="1" t="n">
        <v>46012</v>
      </c>
      <c r="D716" t="inlineStr">
        <is>
          <t>JÄMTLANDS LÄN</t>
        </is>
      </c>
      <c r="E716" t="inlineStr">
        <is>
          <t>KROKOM</t>
        </is>
      </c>
      <c r="G716" t="n">
        <v>2.8</v>
      </c>
      <c r="H716" t="n">
        <v>0</v>
      </c>
      <c r="I716" t="n">
        <v>0</v>
      </c>
      <c r="J716" t="n">
        <v>0</v>
      </c>
      <c r="K716" t="n">
        <v>0</v>
      </c>
      <c r="L716" t="n">
        <v>0</v>
      </c>
      <c r="M716" t="n">
        <v>0</v>
      </c>
      <c r="N716" t="n">
        <v>0</v>
      </c>
      <c r="O716" t="n">
        <v>0</v>
      </c>
      <c r="P716" t="n">
        <v>0</v>
      </c>
      <c r="Q716" t="n">
        <v>0</v>
      </c>
      <c r="R716" s="2" t="inlineStr"/>
    </row>
    <row r="717" ht="15" customHeight="1">
      <c r="A717" t="inlineStr">
        <is>
          <t>A 38205-2025</t>
        </is>
      </c>
      <c r="B717" s="1" t="n">
        <v>45882.69851851852</v>
      </c>
      <c r="C717" s="1" t="n">
        <v>46012</v>
      </c>
      <c r="D717" t="inlineStr">
        <is>
          <t>JÄMTLANDS LÄN</t>
        </is>
      </c>
      <c r="E717" t="inlineStr">
        <is>
          <t>KROKOM</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37820-2025</t>
        </is>
      </c>
      <c r="B718" s="1" t="n">
        <v>45881.39909722222</v>
      </c>
      <c r="C718" s="1" t="n">
        <v>46012</v>
      </c>
      <c r="D718" t="inlineStr">
        <is>
          <t>JÄMTLANDS LÄN</t>
        </is>
      </c>
      <c r="E718" t="inlineStr">
        <is>
          <t>KROKOM</t>
        </is>
      </c>
      <c r="G718" t="n">
        <v>2.1</v>
      </c>
      <c r="H718" t="n">
        <v>0</v>
      </c>
      <c r="I718" t="n">
        <v>0</v>
      </c>
      <c r="J718" t="n">
        <v>0</v>
      </c>
      <c r="K718" t="n">
        <v>0</v>
      </c>
      <c r="L718" t="n">
        <v>0</v>
      </c>
      <c r="M718" t="n">
        <v>0</v>
      </c>
      <c r="N718" t="n">
        <v>0</v>
      </c>
      <c r="O718" t="n">
        <v>0</v>
      </c>
      <c r="P718" t="n">
        <v>0</v>
      </c>
      <c r="Q718" t="n">
        <v>0</v>
      </c>
      <c r="R718" s="2" t="inlineStr"/>
    </row>
    <row r="719" ht="15" customHeight="1">
      <c r="A719" t="inlineStr">
        <is>
          <t>A 49838-2025</t>
        </is>
      </c>
      <c r="B719" s="1" t="n">
        <v>45940.46920138889</v>
      </c>
      <c r="C719" s="1" t="n">
        <v>46012</v>
      </c>
      <c r="D719" t="inlineStr">
        <is>
          <t>JÄMTLANDS LÄN</t>
        </is>
      </c>
      <c r="E719" t="inlineStr">
        <is>
          <t>KROKOM</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45929-2025</t>
        </is>
      </c>
      <c r="B720" s="1" t="n">
        <v>45923.8644212963</v>
      </c>
      <c r="C720" s="1" t="n">
        <v>46012</v>
      </c>
      <c r="D720" t="inlineStr">
        <is>
          <t>JÄMTLANDS LÄN</t>
        </is>
      </c>
      <c r="E720" t="inlineStr">
        <is>
          <t>KROKOM</t>
        </is>
      </c>
      <c r="G720" t="n">
        <v>7.3</v>
      </c>
      <c r="H720" t="n">
        <v>0</v>
      </c>
      <c r="I720" t="n">
        <v>0</v>
      </c>
      <c r="J720" t="n">
        <v>0</v>
      </c>
      <c r="K720" t="n">
        <v>0</v>
      </c>
      <c r="L720" t="n">
        <v>0</v>
      </c>
      <c r="M720" t="n">
        <v>0</v>
      </c>
      <c r="N720" t="n">
        <v>0</v>
      </c>
      <c r="O720" t="n">
        <v>0</v>
      </c>
      <c r="P720" t="n">
        <v>0</v>
      </c>
      <c r="Q720" t="n">
        <v>0</v>
      </c>
      <c r="R720" s="2" t="inlineStr"/>
    </row>
    <row r="721" ht="15" customHeight="1">
      <c r="A721" t="inlineStr">
        <is>
          <t>A 49534-2025</t>
        </is>
      </c>
      <c r="B721" s="1" t="n">
        <v>45939.41162037037</v>
      </c>
      <c r="C721" s="1" t="n">
        <v>46012</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58128-2025</t>
        </is>
      </c>
      <c r="B722" s="1" t="n">
        <v>45982.61541666667</v>
      </c>
      <c r="C722" s="1" t="n">
        <v>46012</v>
      </c>
      <c r="D722" t="inlineStr">
        <is>
          <t>JÄMTLANDS LÄN</t>
        </is>
      </c>
      <c r="E722" t="inlineStr">
        <is>
          <t>KROKOM</t>
        </is>
      </c>
      <c r="G722" t="n">
        <v>0.8</v>
      </c>
      <c r="H722" t="n">
        <v>0</v>
      </c>
      <c r="I722" t="n">
        <v>0</v>
      </c>
      <c r="J722" t="n">
        <v>0</v>
      </c>
      <c r="K722" t="n">
        <v>0</v>
      </c>
      <c r="L722" t="n">
        <v>0</v>
      </c>
      <c r="M722" t="n">
        <v>0</v>
      </c>
      <c r="N722" t="n">
        <v>0</v>
      </c>
      <c r="O722" t="n">
        <v>0</v>
      </c>
      <c r="P722" t="n">
        <v>0</v>
      </c>
      <c r="Q722" t="n">
        <v>0</v>
      </c>
      <c r="R722" s="2" t="inlineStr"/>
    </row>
    <row r="723" ht="15" customHeight="1">
      <c r="A723" t="inlineStr">
        <is>
          <t>A 58129-2025</t>
        </is>
      </c>
      <c r="B723" s="1" t="n">
        <v>45982.61546296296</v>
      </c>
      <c r="C723" s="1" t="n">
        <v>46012</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58130-2025</t>
        </is>
      </c>
      <c r="B724" s="1" t="n">
        <v>45982.61550925926</v>
      </c>
      <c r="C724" s="1" t="n">
        <v>46012</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58482-2024</t>
        </is>
      </c>
      <c r="B725" s="1" t="n">
        <v>45635</v>
      </c>
      <c r="C725" s="1" t="n">
        <v>46012</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38024-2025</t>
        </is>
      </c>
      <c r="B726" s="1" t="n">
        <v>45882.34510416666</v>
      </c>
      <c r="C726" s="1" t="n">
        <v>46012</v>
      </c>
      <c r="D726" t="inlineStr">
        <is>
          <t>JÄMTLANDS LÄN</t>
        </is>
      </c>
      <c r="E726" t="inlineStr">
        <is>
          <t>KROKOM</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58013-2025</t>
        </is>
      </c>
      <c r="B727" s="1" t="n">
        <v>45982.46936342592</v>
      </c>
      <c r="C727" s="1" t="n">
        <v>46012</v>
      </c>
      <c r="D727" t="inlineStr">
        <is>
          <t>JÄMTLANDS LÄN</t>
        </is>
      </c>
      <c r="E727" t="inlineStr">
        <is>
          <t>KROKOM</t>
        </is>
      </c>
      <c r="G727" t="n">
        <v>1</v>
      </c>
      <c r="H727" t="n">
        <v>0</v>
      </c>
      <c r="I727" t="n">
        <v>0</v>
      </c>
      <c r="J727" t="n">
        <v>0</v>
      </c>
      <c r="K727" t="n">
        <v>0</v>
      </c>
      <c r="L727" t="n">
        <v>0</v>
      </c>
      <c r="M727" t="n">
        <v>0</v>
      </c>
      <c r="N727" t="n">
        <v>0</v>
      </c>
      <c r="O727" t="n">
        <v>0</v>
      </c>
      <c r="P727" t="n">
        <v>0</v>
      </c>
      <c r="Q727" t="n">
        <v>0</v>
      </c>
      <c r="R727" s="2" t="inlineStr"/>
    </row>
    <row r="728" ht="15" customHeight="1">
      <c r="A728" t="inlineStr">
        <is>
          <t>A 37821-2025</t>
        </is>
      </c>
      <c r="B728" s="1" t="n">
        <v>45881.40521990741</v>
      </c>
      <c r="C728" s="1" t="n">
        <v>46012</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57857-2025</t>
        </is>
      </c>
      <c r="B729" s="1" t="n">
        <v>45981.63960648148</v>
      </c>
      <c r="C729" s="1" t="n">
        <v>46012</v>
      </c>
      <c r="D729" t="inlineStr">
        <is>
          <t>JÄMTLANDS LÄN</t>
        </is>
      </c>
      <c r="E729" t="inlineStr">
        <is>
          <t>KROKOM</t>
        </is>
      </c>
      <c r="G729" t="n">
        <v>7.9</v>
      </c>
      <c r="H729" t="n">
        <v>0</v>
      </c>
      <c r="I729" t="n">
        <v>0</v>
      </c>
      <c r="J729" t="n">
        <v>0</v>
      </c>
      <c r="K729" t="n">
        <v>0</v>
      </c>
      <c r="L729" t="n">
        <v>0</v>
      </c>
      <c r="M729" t="n">
        <v>0</v>
      </c>
      <c r="N729" t="n">
        <v>0</v>
      </c>
      <c r="O729" t="n">
        <v>0</v>
      </c>
      <c r="P729" t="n">
        <v>0</v>
      </c>
      <c r="Q729" t="n">
        <v>0</v>
      </c>
      <c r="R729" s="2" t="inlineStr"/>
    </row>
    <row r="730" ht="15" customHeight="1">
      <c r="A730" t="inlineStr">
        <is>
          <t>A 33802-2021</t>
        </is>
      </c>
      <c r="B730" s="1" t="n">
        <v>44377</v>
      </c>
      <c r="C730" s="1" t="n">
        <v>46012</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58131-2025</t>
        </is>
      </c>
      <c r="B731" s="1" t="n">
        <v>45982.61557870371</v>
      </c>
      <c r="C731" s="1" t="n">
        <v>46012</v>
      </c>
      <c r="D731" t="inlineStr">
        <is>
          <t>JÄMTLANDS LÄN</t>
        </is>
      </c>
      <c r="E731" t="inlineStr">
        <is>
          <t>KROKOM</t>
        </is>
      </c>
      <c r="G731" t="n">
        <v>1.1</v>
      </c>
      <c r="H731" t="n">
        <v>0</v>
      </c>
      <c r="I731" t="n">
        <v>0</v>
      </c>
      <c r="J731" t="n">
        <v>0</v>
      </c>
      <c r="K731" t="n">
        <v>0</v>
      </c>
      <c r="L731" t="n">
        <v>0</v>
      </c>
      <c r="M731" t="n">
        <v>0</v>
      </c>
      <c r="N731" t="n">
        <v>0</v>
      </c>
      <c r="O731" t="n">
        <v>0</v>
      </c>
      <c r="P731" t="n">
        <v>0</v>
      </c>
      <c r="Q731" t="n">
        <v>0</v>
      </c>
      <c r="R731" s="2" t="inlineStr"/>
    </row>
    <row r="732" ht="15" customHeight="1">
      <c r="A732" t="inlineStr">
        <is>
          <t>A 9016-2025</t>
        </is>
      </c>
      <c r="B732" s="1" t="n">
        <v>45713.59163194444</v>
      </c>
      <c r="C732" s="1" t="n">
        <v>46012</v>
      </c>
      <c r="D732" t="inlineStr">
        <is>
          <t>JÄMTLANDS LÄN</t>
        </is>
      </c>
      <c r="E732" t="inlineStr">
        <is>
          <t>KROKOM</t>
        </is>
      </c>
      <c r="F732" t="inlineStr">
        <is>
          <t>Övriga Aktiebolag</t>
        </is>
      </c>
      <c r="G732" t="n">
        <v>19.3</v>
      </c>
      <c r="H732" t="n">
        <v>0</v>
      </c>
      <c r="I732" t="n">
        <v>0</v>
      </c>
      <c r="J732" t="n">
        <v>0</v>
      </c>
      <c r="K732" t="n">
        <v>0</v>
      </c>
      <c r="L732" t="n">
        <v>0</v>
      </c>
      <c r="M732" t="n">
        <v>0</v>
      </c>
      <c r="N732" t="n">
        <v>0</v>
      </c>
      <c r="O732" t="n">
        <v>0</v>
      </c>
      <c r="P732" t="n">
        <v>0</v>
      </c>
      <c r="Q732" t="n">
        <v>0</v>
      </c>
      <c r="R732" s="2" t="inlineStr"/>
    </row>
    <row r="733" ht="15" customHeight="1">
      <c r="A733" t="inlineStr">
        <is>
          <t>A 49557-2025</t>
        </is>
      </c>
      <c r="B733" s="1" t="n">
        <v>45939.45077546296</v>
      </c>
      <c r="C733" s="1" t="n">
        <v>46012</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49644-2025</t>
        </is>
      </c>
      <c r="B734" s="1" t="n">
        <v>45939.61568287037</v>
      </c>
      <c r="C734" s="1" t="n">
        <v>46012</v>
      </c>
      <c r="D734" t="inlineStr">
        <is>
          <t>JÄMTLANDS LÄN</t>
        </is>
      </c>
      <c r="E734" t="inlineStr">
        <is>
          <t>KROKOM</t>
        </is>
      </c>
      <c r="G734" t="n">
        <v>2.4</v>
      </c>
      <c r="H734" t="n">
        <v>0</v>
      </c>
      <c r="I734" t="n">
        <v>0</v>
      </c>
      <c r="J734" t="n">
        <v>0</v>
      </c>
      <c r="K734" t="n">
        <v>0</v>
      </c>
      <c r="L734" t="n">
        <v>0</v>
      </c>
      <c r="M734" t="n">
        <v>0</v>
      </c>
      <c r="N734" t="n">
        <v>0</v>
      </c>
      <c r="O734" t="n">
        <v>0</v>
      </c>
      <c r="P734" t="n">
        <v>0</v>
      </c>
      <c r="Q734" t="n">
        <v>0</v>
      </c>
      <c r="R734" s="2" t="inlineStr"/>
    </row>
    <row r="735" ht="15" customHeight="1">
      <c r="A735" t="inlineStr">
        <is>
          <t>A 31905-2021</t>
        </is>
      </c>
      <c r="B735" s="1" t="n">
        <v>44370</v>
      </c>
      <c r="C735" s="1" t="n">
        <v>46012</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46012</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41142-2023</t>
        </is>
      </c>
      <c r="B737" s="1" t="n">
        <v>45173</v>
      </c>
      <c r="C737" s="1" t="n">
        <v>46012</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49514-2025</t>
        </is>
      </c>
      <c r="B738" s="1" t="n">
        <v>45939.38530092593</v>
      </c>
      <c r="C738" s="1" t="n">
        <v>46012</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58186-2025</t>
        </is>
      </c>
      <c r="B739" s="1" t="n">
        <v>45983.47826388889</v>
      </c>
      <c r="C739" s="1" t="n">
        <v>46012</v>
      </c>
      <c r="D739" t="inlineStr">
        <is>
          <t>JÄMTLANDS LÄN</t>
        </is>
      </c>
      <c r="E739" t="inlineStr">
        <is>
          <t>KROKOM</t>
        </is>
      </c>
      <c r="G739" t="n">
        <v>7.9</v>
      </c>
      <c r="H739" t="n">
        <v>0</v>
      </c>
      <c r="I739" t="n">
        <v>0</v>
      </c>
      <c r="J739" t="n">
        <v>0</v>
      </c>
      <c r="K739" t="n">
        <v>0</v>
      </c>
      <c r="L739" t="n">
        <v>0</v>
      </c>
      <c r="M739" t="n">
        <v>0</v>
      </c>
      <c r="N739" t="n">
        <v>0</v>
      </c>
      <c r="O739" t="n">
        <v>0</v>
      </c>
      <c r="P739" t="n">
        <v>0</v>
      </c>
      <c r="Q739" t="n">
        <v>0</v>
      </c>
      <c r="R739" s="2" t="inlineStr"/>
    </row>
    <row r="740" ht="15" customHeight="1">
      <c r="A740" t="inlineStr">
        <is>
          <t>A 5798-2025</t>
        </is>
      </c>
      <c r="B740" s="1" t="n">
        <v>45694.65905092593</v>
      </c>
      <c r="C740" s="1" t="n">
        <v>46012</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58589-2025</t>
        </is>
      </c>
      <c r="B741" s="1" t="n">
        <v>45986.40680555555</v>
      </c>
      <c r="C741" s="1" t="n">
        <v>46012</v>
      </c>
      <c r="D741" t="inlineStr">
        <is>
          <t>JÄMTLANDS LÄN</t>
        </is>
      </c>
      <c r="E741" t="inlineStr">
        <is>
          <t>KROKOM</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58591-2025</t>
        </is>
      </c>
      <c r="B742" s="1" t="n">
        <v>45986.40993055556</v>
      </c>
      <c r="C742" s="1" t="n">
        <v>46012</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50011-2025</t>
        </is>
      </c>
      <c r="B743" s="1" t="n">
        <v>45943.34561342592</v>
      </c>
      <c r="C743" s="1" t="n">
        <v>46012</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9025-2025</t>
        </is>
      </c>
      <c r="B744" s="1" t="n">
        <v>45713.59952546296</v>
      </c>
      <c r="C744" s="1" t="n">
        <v>46012</v>
      </c>
      <c r="D744" t="inlineStr">
        <is>
          <t>JÄMTLANDS LÄN</t>
        </is>
      </c>
      <c r="E744" t="inlineStr">
        <is>
          <t>KROKOM</t>
        </is>
      </c>
      <c r="F744" t="inlineStr">
        <is>
          <t>Övriga Aktiebolag</t>
        </is>
      </c>
      <c r="G744" t="n">
        <v>28.4</v>
      </c>
      <c r="H744" t="n">
        <v>0</v>
      </c>
      <c r="I744" t="n">
        <v>0</v>
      </c>
      <c r="J744" t="n">
        <v>0</v>
      </c>
      <c r="K744" t="n">
        <v>0</v>
      </c>
      <c r="L744" t="n">
        <v>0</v>
      </c>
      <c r="M744" t="n">
        <v>0</v>
      </c>
      <c r="N744" t="n">
        <v>0</v>
      </c>
      <c r="O744" t="n">
        <v>0</v>
      </c>
      <c r="P744" t="n">
        <v>0</v>
      </c>
      <c r="Q744" t="n">
        <v>0</v>
      </c>
      <c r="R744" s="2" t="inlineStr"/>
    </row>
    <row r="745" ht="15" customHeight="1">
      <c r="A745" t="inlineStr">
        <is>
          <t>A 50010-2025</t>
        </is>
      </c>
      <c r="B745" s="1" t="n">
        <v>45943.34546296296</v>
      </c>
      <c r="C745" s="1" t="n">
        <v>46012</v>
      </c>
      <c r="D745" t="inlineStr">
        <is>
          <t>JÄMTLANDS LÄN</t>
        </is>
      </c>
      <c r="E745" t="inlineStr">
        <is>
          <t>KROKOM</t>
        </is>
      </c>
      <c r="F745" t="inlineStr">
        <is>
          <t>SCA</t>
        </is>
      </c>
      <c r="G745" t="n">
        <v>35.8</v>
      </c>
      <c r="H745" t="n">
        <v>0</v>
      </c>
      <c r="I745" t="n">
        <v>0</v>
      </c>
      <c r="J745" t="n">
        <v>0</v>
      </c>
      <c r="K745" t="n">
        <v>0</v>
      </c>
      <c r="L745" t="n">
        <v>0</v>
      </c>
      <c r="M745" t="n">
        <v>0</v>
      </c>
      <c r="N745" t="n">
        <v>0</v>
      </c>
      <c r="O745" t="n">
        <v>0</v>
      </c>
      <c r="P745" t="n">
        <v>0</v>
      </c>
      <c r="Q745" t="n">
        <v>0</v>
      </c>
      <c r="R745" s="2" t="inlineStr"/>
    </row>
    <row r="746" ht="15" customHeight="1">
      <c r="A746" t="inlineStr">
        <is>
          <t>A 50002-2025</t>
        </is>
      </c>
      <c r="B746" s="1" t="n">
        <v>45943.34451388889</v>
      </c>
      <c r="C746" s="1" t="n">
        <v>46012</v>
      </c>
      <c r="D746" t="inlineStr">
        <is>
          <t>JÄMTLANDS LÄN</t>
        </is>
      </c>
      <c r="E746" t="inlineStr">
        <is>
          <t>KROKOM</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50003-2025</t>
        </is>
      </c>
      <c r="B747" s="1" t="n">
        <v>45943.34457175926</v>
      </c>
      <c r="C747" s="1" t="n">
        <v>46012</v>
      </c>
      <c r="D747" t="inlineStr">
        <is>
          <t>JÄMTLANDS LÄN</t>
        </is>
      </c>
      <c r="E747" t="inlineStr">
        <is>
          <t>KROKOM</t>
        </is>
      </c>
      <c r="F747" t="inlineStr">
        <is>
          <t>SCA</t>
        </is>
      </c>
      <c r="G747" t="n">
        <v>10.4</v>
      </c>
      <c r="H747" t="n">
        <v>0</v>
      </c>
      <c r="I747" t="n">
        <v>0</v>
      </c>
      <c r="J747" t="n">
        <v>0</v>
      </c>
      <c r="K747" t="n">
        <v>0</v>
      </c>
      <c r="L747" t="n">
        <v>0</v>
      </c>
      <c r="M747" t="n">
        <v>0</v>
      </c>
      <c r="N747" t="n">
        <v>0</v>
      </c>
      <c r="O747" t="n">
        <v>0</v>
      </c>
      <c r="P747" t="n">
        <v>0</v>
      </c>
      <c r="Q747" t="n">
        <v>0</v>
      </c>
      <c r="R747" s="2" t="inlineStr"/>
    </row>
    <row r="748" ht="15" customHeight="1">
      <c r="A748" t="inlineStr">
        <is>
          <t>A 50004-2025</t>
        </is>
      </c>
      <c r="B748" s="1" t="n">
        <v>45943.34472222222</v>
      </c>
      <c r="C748" s="1" t="n">
        <v>46012</v>
      </c>
      <c r="D748" t="inlineStr">
        <is>
          <t>JÄMTLANDS LÄN</t>
        </is>
      </c>
      <c r="E748" t="inlineStr">
        <is>
          <t>KROKOM</t>
        </is>
      </c>
      <c r="F748" t="inlineStr">
        <is>
          <t>SCA</t>
        </is>
      </c>
      <c r="G748" t="n">
        <v>13.9</v>
      </c>
      <c r="H748" t="n">
        <v>0</v>
      </c>
      <c r="I748" t="n">
        <v>0</v>
      </c>
      <c r="J748" t="n">
        <v>0</v>
      </c>
      <c r="K748" t="n">
        <v>0</v>
      </c>
      <c r="L748" t="n">
        <v>0</v>
      </c>
      <c r="M748" t="n">
        <v>0</v>
      </c>
      <c r="N748" t="n">
        <v>0</v>
      </c>
      <c r="O748" t="n">
        <v>0</v>
      </c>
      <c r="P748" t="n">
        <v>0</v>
      </c>
      <c r="Q748" t="n">
        <v>0</v>
      </c>
      <c r="R748" s="2" t="inlineStr"/>
    </row>
    <row r="749" ht="15" customHeight="1">
      <c r="A749" t="inlineStr">
        <is>
          <t>A 61966-2024</t>
        </is>
      </c>
      <c r="B749" s="1" t="n">
        <v>45653.57240740741</v>
      </c>
      <c r="C749" s="1" t="n">
        <v>46012</v>
      </c>
      <c r="D749" t="inlineStr">
        <is>
          <t>JÄMTLANDS LÄN</t>
        </is>
      </c>
      <c r="E749" t="inlineStr">
        <is>
          <t>KROKOM</t>
        </is>
      </c>
      <c r="F749" t="inlineStr">
        <is>
          <t>Övriga Aktiebolag</t>
        </is>
      </c>
      <c r="G749" t="n">
        <v>15.7</v>
      </c>
      <c r="H749" t="n">
        <v>0</v>
      </c>
      <c r="I749" t="n">
        <v>0</v>
      </c>
      <c r="J749" t="n">
        <v>0</v>
      </c>
      <c r="K749" t="n">
        <v>0</v>
      </c>
      <c r="L749" t="n">
        <v>0</v>
      </c>
      <c r="M749" t="n">
        <v>0</v>
      </c>
      <c r="N749" t="n">
        <v>0</v>
      </c>
      <c r="O749" t="n">
        <v>0</v>
      </c>
      <c r="P749" t="n">
        <v>0</v>
      </c>
      <c r="Q749" t="n">
        <v>0</v>
      </c>
      <c r="R749" s="2" t="inlineStr"/>
    </row>
    <row r="750" ht="15" customHeight="1">
      <c r="A750" t="inlineStr">
        <is>
          <t>A 58596-2025</t>
        </is>
      </c>
      <c r="B750" s="1" t="n">
        <v>45986.42089120371</v>
      </c>
      <c r="C750" s="1" t="n">
        <v>46012</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23539-2024</t>
        </is>
      </c>
      <c r="B751" s="1" t="n">
        <v>45453.95237268518</v>
      </c>
      <c r="C751" s="1" t="n">
        <v>46012</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50006-2025</t>
        </is>
      </c>
      <c r="B752" s="1" t="n">
        <v>45943.34502314815</v>
      </c>
      <c r="C752" s="1" t="n">
        <v>46012</v>
      </c>
      <c r="D752" t="inlineStr">
        <is>
          <t>JÄMTLANDS LÄN</t>
        </is>
      </c>
      <c r="E752" t="inlineStr">
        <is>
          <t>KROKOM</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5378-2025</t>
        </is>
      </c>
      <c r="B753" s="1" t="n">
        <v>45692.60364583333</v>
      </c>
      <c r="C753" s="1" t="n">
        <v>46012</v>
      </c>
      <c r="D753" t="inlineStr">
        <is>
          <t>JÄMTLANDS LÄN</t>
        </is>
      </c>
      <c r="E753" t="inlineStr">
        <is>
          <t>KROKOM</t>
        </is>
      </c>
      <c r="G753" t="n">
        <v>11</v>
      </c>
      <c r="H753" t="n">
        <v>0</v>
      </c>
      <c r="I753" t="n">
        <v>0</v>
      </c>
      <c r="J753" t="n">
        <v>0</v>
      </c>
      <c r="K753" t="n">
        <v>0</v>
      </c>
      <c r="L753" t="n">
        <v>0</v>
      </c>
      <c r="M753" t="n">
        <v>0</v>
      </c>
      <c r="N753" t="n">
        <v>0</v>
      </c>
      <c r="O753" t="n">
        <v>0</v>
      </c>
      <c r="P753" t="n">
        <v>0</v>
      </c>
      <c r="Q753" t="n">
        <v>0</v>
      </c>
      <c r="R753" s="2" t="inlineStr"/>
    </row>
    <row r="754" ht="15" customHeight="1">
      <c r="A754" t="inlineStr">
        <is>
          <t>A 9023-2025</t>
        </is>
      </c>
      <c r="B754" s="1" t="n">
        <v>45713.59741898148</v>
      </c>
      <c r="C754" s="1" t="n">
        <v>46012</v>
      </c>
      <c r="D754" t="inlineStr">
        <is>
          <t>JÄMTLANDS LÄN</t>
        </is>
      </c>
      <c r="E754" t="inlineStr">
        <is>
          <t>KROKOM</t>
        </is>
      </c>
      <c r="F754" t="inlineStr">
        <is>
          <t>Övriga Aktiebolag</t>
        </is>
      </c>
      <c r="G754" t="n">
        <v>16.8</v>
      </c>
      <c r="H754" t="n">
        <v>0</v>
      </c>
      <c r="I754" t="n">
        <v>0</v>
      </c>
      <c r="J754" t="n">
        <v>0</v>
      </c>
      <c r="K754" t="n">
        <v>0</v>
      </c>
      <c r="L754" t="n">
        <v>0</v>
      </c>
      <c r="M754" t="n">
        <v>0</v>
      </c>
      <c r="N754" t="n">
        <v>0</v>
      </c>
      <c r="O754" t="n">
        <v>0</v>
      </c>
      <c r="P754" t="n">
        <v>0</v>
      </c>
      <c r="Q754" t="n">
        <v>0</v>
      </c>
      <c r="R754" s="2" t="inlineStr"/>
    </row>
    <row r="755" ht="15" customHeight="1">
      <c r="A755" t="inlineStr">
        <is>
          <t>A 58617-2025</t>
        </is>
      </c>
      <c r="B755" s="1" t="n">
        <v>45986.46921296296</v>
      </c>
      <c r="C755" s="1" t="n">
        <v>46012</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59152-2025</t>
        </is>
      </c>
      <c r="B756" s="1" t="n">
        <v>45988.53221064815</v>
      </c>
      <c r="C756" s="1" t="n">
        <v>46012</v>
      </c>
      <c r="D756" t="inlineStr">
        <is>
          <t>JÄMTLANDS LÄN</t>
        </is>
      </c>
      <c r="E756" t="inlineStr">
        <is>
          <t>KROKOM</t>
        </is>
      </c>
      <c r="G756" t="n">
        <v>3.8</v>
      </c>
      <c r="H756" t="n">
        <v>0</v>
      </c>
      <c r="I756" t="n">
        <v>0</v>
      </c>
      <c r="J756" t="n">
        <v>0</v>
      </c>
      <c r="K756" t="n">
        <v>0</v>
      </c>
      <c r="L756" t="n">
        <v>0</v>
      </c>
      <c r="M756" t="n">
        <v>0</v>
      </c>
      <c r="N756" t="n">
        <v>0</v>
      </c>
      <c r="O756" t="n">
        <v>0</v>
      </c>
      <c r="P756" t="n">
        <v>0</v>
      </c>
      <c r="Q756" t="n">
        <v>0</v>
      </c>
      <c r="R756" s="2" t="inlineStr"/>
    </row>
    <row r="757" ht="15" customHeight="1">
      <c r="A757" t="inlineStr">
        <is>
          <t>A 59087-2025</t>
        </is>
      </c>
      <c r="B757" s="1" t="n">
        <v>45988.44469907408</v>
      </c>
      <c r="C757" s="1" t="n">
        <v>46012</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50806-2025</t>
        </is>
      </c>
      <c r="B758" s="1" t="n">
        <v>45946.50797453704</v>
      </c>
      <c r="C758" s="1" t="n">
        <v>46012</v>
      </c>
      <c r="D758" t="inlineStr">
        <is>
          <t>JÄMTLANDS LÄN</t>
        </is>
      </c>
      <c r="E758" t="inlineStr">
        <is>
          <t>KROKOM</t>
        </is>
      </c>
      <c r="F758" t="inlineStr">
        <is>
          <t>Övriga Aktiebolag</t>
        </is>
      </c>
      <c r="G758" t="n">
        <v>1.5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46012</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23507-2024</t>
        </is>
      </c>
      <c r="B760" s="1" t="n">
        <v>45453</v>
      </c>
      <c r="C760" s="1" t="n">
        <v>46012</v>
      </c>
      <c r="D760" t="inlineStr">
        <is>
          <t>JÄMTLANDS LÄN</t>
        </is>
      </c>
      <c r="E760" t="inlineStr">
        <is>
          <t>KROKOM</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50455-2025</t>
        </is>
      </c>
      <c r="B761" s="1" t="n">
        <v>45945.33297453704</v>
      </c>
      <c r="C761" s="1" t="n">
        <v>46012</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30979-2024</t>
        </is>
      </c>
      <c r="B762" s="1" t="n">
        <v>45499.48672453704</v>
      </c>
      <c r="C762" s="1" t="n">
        <v>46012</v>
      </c>
      <c r="D762" t="inlineStr">
        <is>
          <t>JÄMTLANDS LÄN</t>
        </is>
      </c>
      <c r="E762" t="inlineStr">
        <is>
          <t>KROKOM</t>
        </is>
      </c>
      <c r="G762" t="n">
        <v>18.2</v>
      </c>
      <c r="H762" t="n">
        <v>0</v>
      </c>
      <c r="I762" t="n">
        <v>0</v>
      </c>
      <c r="J762" t="n">
        <v>0</v>
      </c>
      <c r="K762" t="n">
        <v>0</v>
      </c>
      <c r="L762" t="n">
        <v>0</v>
      </c>
      <c r="M762" t="n">
        <v>0</v>
      </c>
      <c r="N762" t="n">
        <v>0</v>
      </c>
      <c r="O762" t="n">
        <v>0</v>
      </c>
      <c r="P762" t="n">
        <v>0</v>
      </c>
      <c r="Q762" t="n">
        <v>0</v>
      </c>
      <c r="R762" s="2" t="inlineStr"/>
    </row>
    <row r="763" ht="15" customHeight="1">
      <c r="A763" t="inlineStr">
        <is>
          <t>A 59151-2025</t>
        </is>
      </c>
      <c r="B763" s="1" t="n">
        <v>45988.53212962963</v>
      </c>
      <c r="C763" s="1" t="n">
        <v>46012</v>
      </c>
      <c r="D763" t="inlineStr">
        <is>
          <t>JÄMTLANDS LÄN</t>
        </is>
      </c>
      <c r="E763" t="inlineStr">
        <is>
          <t>KROKOM</t>
        </is>
      </c>
      <c r="G763" t="n">
        <v>1.7</v>
      </c>
      <c r="H763" t="n">
        <v>0</v>
      </c>
      <c r="I763" t="n">
        <v>0</v>
      </c>
      <c r="J763" t="n">
        <v>0</v>
      </c>
      <c r="K763" t="n">
        <v>0</v>
      </c>
      <c r="L763" t="n">
        <v>0</v>
      </c>
      <c r="M763" t="n">
        <v>0</v>
      </c>
      <c r="N763" t="n">
        <v>0</v>
      </c>
      <c r="O763" t="n">
        <v>0</v>
      </c>
      <c r="P763" t="n">
        <v>0</v>
      </c>
      <c r="Q763" t="n">
        <v>0</v>
      </c>
      <c r="R763" s="2" t="inlineStr"/>
    </row>
    <row r="764" ht="15" customHeight="1">
      <c r="A764" t="inlineStr">
        <is>
          <t>A 59334-2025</t>
        </is>
      </c>
      <c r="B764" s="1" t="n">
        <v>45989.36503472222</v>
      </c>
      <c r="C764" s="1" t="n">
        <v>46012</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46012</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32318-2025</t>
        </is>
      </c>
      <c r="B766" s="1" t="n">
        <v>45836.34413194445</v>
      </c>
      <c r="C766" s="1" t="n">
        <v>46012</v>
      </c>
      <c r="D766" t="inlineStr">
        <is>
          <t>JÄMTLANDS LÄN</t>
        </is>
      </c>
      <c r="E766" t="inlineStr">
        <is>
          <t>KROKOM</t>
        </is>
      </c>
      <c r="F766" t="inlineStr">
        <is>
          <t>SCA</t>
        </is>
      </c>
      <c r="G766" t="n">
        <v>13.8</v>
      </c>
      <c r="H766" t="n">
        <v>0</v>
      </c>
      <c r="I766" t="n">
        <v>0</v>
      </c>
      <c r="J766" t="n">
        <v>0</v>
      </c>
      <c r="K766" t="n">
        <v>0</v>
      </c>
      <c r="L766" t="n">
        <v>0</v>
      </c>
      <c r="M766" t="n">
        <v>0</v>
      </c>
      <c r="N766" t="n">
        <v>0</v>
      </c>
      <c r="O766" t="n">
        <v>0</v>
      </c>
      <c r="P766" t="n">
        <v>0</v>
      </c>
      <c r="Q766" t="n">
        <v>0</v>
      </c>
      <c r="R766" s="2" t="inlineStr"/>
    </row>
    <row r="767" ht="15" customHeight="1">
      <c r="A767" t="inlineStr">
        <is>
          <t>A 52086-2024</t>
        </is>
      </c>
      <c r="B767" s="1" t="n">
        <v>45608</v>
      </c>
      <c r="C767" s="1" t="n">
        <v>46012</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4570-2025</t>
        </is>
      </c>
      <c r="B768" s="1" t="n">
        <v>45687</v>
      </c>
      <c r="C768" s="1" t="n">
        <v>46012</v>
      </c>
      <c r="D768" t="inlineStr">
        <is>
          <t>JÄMTLANDS LÄN</t>
        </is>
      </c>
      <c r="E768" t="inlineStr">
        <is>
          <t>KROKOM</t>
        </is>
      </c>
      <c r="G768" t="n">
        <v>4.6</v>
      </c>
      <c r="H768" t="n">
        <v>0</v>
      </c>
      <c r="I768" t="n">
        <v>0</v>
      </c>
      <c r="J768" t="n">
        <v>0</v>
      </c>
      <c r="K768" t="n">
        <v>0</v>
      </c>
      <c r="L768" t="n">
        <v>0</v>
      </c>
      <c r="M768" t="n">
        <v>0</v>
      </c>
      <c r="N768" t="n">
        <v>0</v>
      </c>
      <c r="O768" t="n">
        <v>0</v>
      </c>
      <c r="P768" t="n">
        <v>0</v>
      </c>
      <c r="Q768" t="n">
        <v>0</v>
      </c>
      <c r="R768" s="2" t="inlineStr"/>
    </row>
    <row r="769" ht="15" customHeight="1">
      <c r="A769" t="inlineStr">
        <is>
          <t>A 15761-2025</t>
        </is>
      </c>
      <c r="B769" s="1" t="n">
        <v>45748.57269675926</v>
      </c>
      <c r="C769" s="1" t="n">
        <v>46012</v>
      </c>
      <c r="D769" t="inlineStr">
        <is>
          <t>JÄMTLANDS LÄN</t>
        </is>
      </c>
      <c r="E769" t="inlineStr">
        <is>
          <t>KROKOM</t>
        </is>
      </c>
      <c r="G769" t="n">
        <v>48.1</v>
      </c>
      <c r="H769" t="n">
        <v>0</v>
      </c>
      <c r="I769" t="n">
        <v>0</v>
      </c>
      <c r="J769" t="n">
        <v>0</v>
      </c>
      <c r="K769" t="n">
        <v>0</v>
      </c>
      <c r="L769" t="n">
        <v>0</v>
      </c>
      <c r="M769" t="n">
        <v>0</v>
      </c>
      <c r="N769" t="n">
        <v>0</v>
      </c>
      <c r="O769" t="n">
        <v>0</v>
      </c>
      <c r="P769" t="n">
        <v>0</v>
      </c>
      <c r="Q769" t="n">
        <v>0</v>
      </c>
      <c r="R769" s="2" t="inlineStr"/>
    </row>
    <row r="770" ht="15" customHeight="1">
      <c r="A770" t="inlineStr">
        <is>
          <t>A 59705-2025</t>
        </is>
      </c>
      <c r="B770" s="1" t="n">
        <v>45992.50228009259</v>
      </c>
      <c r="C770" s="1" t="n">
        <v>46012</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59335-2025</t>
        </is>
      </c>
      <c r="B771" s="1" t="n">
        <v>45989.36508101852</v>
      </c>
      <c r="C771" s="1" t="n">
        <v>46012</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61742-2024</t>
        </is>
      </c>
      <c r="B772" s="1" t="n">
        <v>45649.38149305555</v>
      </c>
      <c r="C772" s="1" t="n">
        <v>46012</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59417-2025</t>
        </is>
      </c>
      <c r="B773" s="1" t="n">
        <v>45989.51085648148</v>
      </c>
      <c r="C773" s="1" t="n">
        <v>46012</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33451-2025</t>
        </is>
      </c>
      <c r="B774" s="1" t="n">
        <v>45841.46925925926</v>
      </c>
      <c r="C774" s="1" t="n">
        <v>46012</v>
      </c>
      <c r="D774" t="inlineStr">
        <is>
          <t>JÄMTLANDS LÄN</t>
        </is>
      </c>
      <c r="E774" t="inlineStr">
        <is>
          <t>KROKOM</t>
        </is>
      </c>
      <c r="F774" t="inlineStr">
        <is>
          <t>SCA</t>
        </is>
      </c>
      <c r="G774" t="n">
        <v>17.5</v>
      </c>
      <c r="H774" t="n">
        <v>0</v>
      </c>
      <c r="I774" t="n">
        <v>0</v>
      </c>
      <c r="J774" t="n">
        <v>0</v>
      </c>
      <c r="K774" t="n">
        <v>0</v>
      </c>
      <c r="L774" t="n">
        <v>0</v>
      </c>
      <c r="M774" t="n">
        <v>0</v>
      </c>
      <c r="N774" t="n">
        <v>0</v>
      </c>
      <c r="O774" t="n">
        <v>0</v>
      </c>
      <c r="P774" t="n">
        <v>0</v>
      </c>
      <c r="Q774" t="n">
        <v>0</v>
      </c>
      <c r="R774" s="2" t="inlineStr"/>
    </row>
    <row r="775" ht="15" customHeight="1">
      <c r="A775" t="inlineStr">
        <is>
          <t>A 18841-2025</t>
        </is>
      </c>
      <c r="B775" s="1" t="n">
        <v>45764.40834490741</v>
      </c>
      <c r="C775" s="1" t="n">
        <v>46012</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31277-2025</t>
        </is>
      </c>
      <c r="B776" s="1" t="n">
        <v>45833.34490740741</v>
      </c>
      <c r="C776" s="1" t="n">
        <v>46012</v>
      </c>
      <c r="D776" t="inlineStr">
        <is>
          <t>JÄMTLANDS LÄN</t>
        </is>
      </c>
      <c r="E776" t="inlineStr">
        <is>
          <t>KROKOM</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9963-2025</t>
        </is>
      </c>
      <c r="B777" s="1" t="n">
        <v>45719.37307870371</v>
      </c>
      <c r="C777" s="1" t="n">
        <v>46012</v>
      </c>
      <c r="D777" t="inlineStr">
        <is>
          <t>JÄMTLANDS LÄN</t>
        </is>
      </c>
      <c r="E777" t="inlineStr">
        <is>
          <t>KROKOM</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59359-2025</t>
        </is>
      </c>
      <c r="B778" s="1" t="n">
        <v>45989.4278125</v>
      </c>
      <c r="C778" s="1" t="n">
        <v>46012</v>
      </c>
      <c r="D778" t="inlineStr">
        <is>
          <t>JÄMTLANDS LÄN</t>
        </is>
      </c>
      <c r="E778" t="inlineStr">
        <is>
          <t>KROKOM</t>
        </is>
      </c>
      <c r="G778" t="n">
        <v>31.6</v>
      </c>
      <c r="H778" t="n">
        <v>0</v>
      </c>
      <c r="I778" t="n">
        <v>0</v>
      </c>
      <c r="J778" t="n">
        <v>0</v>
      </c>
      <c r="K778" t="n">
        <v>0</v>
      </c>
      <c r="L778" t="n">
        <v>0</v>
      </c>
      <c r="M778" t="n">
        <v>0</v>
      </c>
      <c r="N778" t="n">
        <v>0</v>
      </c>
      <c r="O778" t="n">
        <v>0</v>
      </c>
      <c r="P778" t="n">
        <v>0</v>
      </c>
      <c r="Q778" t="n">
        <v>0</v>
      </c>
      <c r="R778" s="2" t="inlineStr"/>
    </row>
    <row r="779" ht="15" customHeight="1">
      <c r="A779" t="inlineStr">
        <is>
          <t>A 59845-2025</t>
        </is>
      </c>
      <c r="B779" s="1" t="n">
        <v>45992.68405092593</v>
      </c>
      <c r="C779" s="1" t="n">
        <v>46012</v>
      </c>
      <c r="D779" t="inlineStr">
        <is>
          <t>JÄMTLANDS LÄN</t>
        </is>
      </c>
      <c r="E779" t="inlineStr">
        <is>
          <t>KROKOM</t>
        </is>
      </c>
      <c r="G779" t="n">
        <v>6.1</v>
      </c>
      <c r="H779" t="n">
        <v>0</v>
      </c>
      <c r="I779" t="n">
        <v>0</v>
      </c>
      <c r="J779" t="n">
        <v>0</v>
      </c>
      <c r="K779" t="n">
        <v>0</v>
      </c>
      <c r="L779" t="n">
        <v>0</v>
      </c>
      <c r="M779" t="n">
        <v>0</v>
      </c>
      <c r="N779" t="n">
        <v>0</v>
      </c>
      <c r="O779" t="n">
        <v>0</v>
      </c>
      <c r="P779" t="n">
        <v>0</v>
      </c>
      <c r="Q779" t="n">
        <v>0</v>
      </c>
      <c r="R779" s="2" t="inlineStr"/>
    </row>
    <row r="780" ht="15" customHeight="1">
      <c r="A780" t="inlineStr">
        <is>
          <t>A 59369-2025</t>
        </is>
      </c>
      <c r="B780" s="1" t="n">
        <v>45989.44903935185</v>
      </c>
      <c r="C780" s="1" t="n">
        <v>46012</v>
      </c>
      <c r="D780" t="inlineStr">
        <is>
          <t>JÄMTLANDS LÄN</t>
        </is>
      </c>
      <c r="E780" t="inlineStr">
        <is>
          <t>KROKOM</t>
        </is>
      </c>
      <c r="G780" t="n">
        <v>25.2</v>
      </c>
      <c r="H780" t="n">
        <v>0</v>
      </c>
      <c r="I780" t="n">
        <v>0</v>
      </c>
      <c r="J780" t="n">
        <v>0</v>
      </c>
      <c r="K780" t="n">
        <v>0</v>
      </c>
      <c r="L780" t="n">
        <v>0</v>
      </c>
      <c r="M780" t="n">
        <v>0</v>
      </c>
      <c r="N780" t="n">
        <v>0</v>
      </c>
      <c r="O780" t="n">
        <v>0</v>
      </c>
      <c r="P780" t="n">
        <v>0</v>
      </c>
      <c r="Q780" t="n">
        <v>0</v>
      </c>
      <c r="R780" s="2" t="inlineStr"/>
    </row>
    <row r="781" ht="15" customHeight="1">
      <c r="A781" t="inlineStr">
        <is>
          <t>A 51470-2025</t>
        </is>
      </c>
      <c r="B781" s="1" t="n">
        <v>45950.61659722222</v>
      </c>
      <c r="C781" s="1" t="n">
        <v>46012</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51471-2025</t>
        </is>
      </c>
      <c r="B782" s="1" t="n">
        <v>45950.61703703704</v>
      </c>
      <c r="C782" s="1" t="n">
        <v>46012</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51472-2025</t>
        </is>
      </c>
      <c r="B783" s="1" t="n">
        <v>45950.61744212963</v>
      </c>
      <c r="C783" s="1" t="n">
        <v>46012</v>
      </c>
      <c r="D783" t="inlineStr">
        <is>
          <t>JÄMTLANDS LÄN</t>
        </is>
      </c>
      <c r="E783" t="inlineStr">
        <is>
          <t>KROKOM</t>
        </is>
      </c>
      <c r="G783" t="n">
        <v>1.4</v>
      </c>
      <c r="H783" t="n">
        <v>0</v>
      </c>
      <c r="I783" t="n">
        <v>0</v>
      </c>
      <c r="J783" t="n">
        <v>0</v>
      </c>
      <c r="K783" t="n">
        <v>0</v>
      </c>
      <c r="L783" t="n">
        <v>0</v>
      </c>
      <c r="M783" t="n">
        <v>0</v>
      </c>
      <c r="N783" t="n">
        <v>0</v>
      </c>
      <c r="O783" t="n">
        <v>0</v>
      </c>
      <c r="P783" t="n">
        <v>0</v>
      </c>
      <c r="Q783" t="n">
        <v>0</v>
      </c>
      <c r="R783" s="2" t="inlineStr"/>
    </row>
    <row r="784" ht="15" customHeight="1">
      <c r="A784" t="inlineStr">
        <is>
          <t>A 59371-2025</t>
        </is>
      </c>
      <c r="B784" s="1" t="n">
        <v>45989.44918981481</v>
      </c>
      <c r="C784" s="1" t="n">
        <v>46012</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34289-2021</t>
        </is>
      </c>
      <c r="B785" s="1" t="n">
        <v>44379.59675925926</v>
      </c>
      <c r="C785" s="1" t="n">
        <v>46012</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37615-2025</t>
        </is>
      </c>
      <c r="B786" s="1" t="n">
        <v>45880</v>
      </c>
      <c r="C786" s="1" t="n">
        <v>46012</v>
      </c>
      <c r="D786" t="inlineStr">
        <is>
          <t>JÄMTLANDS LÄN</t>
        </is>
      </c>
      <c r="E786" t="inlineStr">
        <is>
          <t>KROKOM</t>
        </is>
      </c>
      <c r="G786" t="n">
        <v>33.6</v>
      </c>
      <c r="H786" t="n">
        <v>0</v>
      </c>
      <c r="I786" t="n">
        <v>0</v>
      </c>
      <c r="J786" t="n">
        <v>0</v>
      </c>
      <c r="K786" t="n">
        <v>0</v>
      </c>
      <c r="L786" t="n">
        <v>0</v>
      </c>
      <c r="M786" t="n">
        <v>0</v>
      </c>
      <c r="N786" t="n">
        <v>0</v>
      </c>
      <c r="O786" t="n">
        <v>0</v>
      </c>
      <c r="P786" t="n">
        <v>0</v>
      </c>
      <c r="Q786" t="n">
        <v>0</v>
      </c>
      <c r="R786" s="2" t="inlineStr"/>
    </row>
    <row r="787" ht="15" customHeight="1">
      <c r="A787" t="inlineStr">
        <is>
          <t>A 30175-2025</t>
        </is>
      </c>
      <c r="B787" s="1" t="n">
        <v>45827.34488425926</v>
      </c>
      <c r="C787" s="1" t="n">
        <v>46012</v>
      </c>
      <c r="D787" t="inlineStr">
        <is>
          <t>JÄMTLANDS LÄN</t>
        </is>
      </c>
      <c r="E787" t="inlineStr">
        <is>
          <t>KROKOM</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50990-2025</t>
        </is>
      </c>
      <c r="B788" s="1" t="n">
        <v>45947.34591435185</v>
      </c>
      <c r="C788" s="1" t="n">
        <v>46012</v>
      </c>
      <c r="D788" t="inlineStr">
        <is>
          <t>JÄMTLANDS LÄN</t>
        </is>
      </c>
      <c r="E788" t="inlineStr">
        <is>
          <t>KROKOM</t>
        </is>
      </c>
      <c r="G788" t="n">
        <v>5.3</v>
      </c>
      <c r="H788" t="n">
        <v>0</v>
      </c>
      <c r="I788" t="n">
        <v>0</v>
      </c>
      <c r="J788" t="n">
        <v>0</v>
      </c>
      <c r="K788" t="n">
        <v>0</v>
      </c>
      <c r="L788" t="n">
        <v>0</v>
      </c>
      <c r="M788" t="n">
        <v>0</v>
      </c>
      <c r="N788" t="n">
        <v>0</v>
      </c>
      <c r="O788" t="n">
        <v>0</v>
      </c>
      <c r="P788" t="n">
        <v>0</v>
      </c>
      <c r="Q788" t="n">
        <v>0</v>
      </c>
      <c r="R788" s="2" t="inlineStr"/>
    </row>
    <row r="789" ht="15" customHeight="1">
      <c r="A789" t="inlineStr">
        <is>
          <t>A 60222-2025</t>
        </is>
      </c>
      <c r="B789" s="1" t="n">
        <v>45994</v>
      </c>
      <c r="C789" s="1" t="n">
        <v>46012</v>
      </c>
      <c r="D789" t="inlineStr">
        <is>
          <t>JÄMTLANDS LÄN</t>
        </is>
      </c>
      <c r="E789" t="inlineStr">
        <is>
          <t>KROKOM</t>
        </is>
      </c>
      <c r="G789" t="n">
        <v>4.2</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46012</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58992-2025</t>
        </is>
      </c>
      <c r="B791" s="1" t="n">
        <v>45987</v>
      </c>
      <c r="C791" s="1" t="n">
        <v>46012</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17840-2025</t>
        </is>
      </c>
      <c r="B792" s="1" t="n">
        <v>45758.58943287037</v>
      </c>
      <c r="C792" s="1" t="n">
        <v>46012</v>
      </c>
      <c r="D792" t="inlineStr">
        <is>
          <t>JÄMTLANDS LÄN</t>
        </is>
      </c>
      <c r="E792" t="inlineStr">
        <is>
          <t>KROKOM</t>
        </is>
      </c>
      <c r="F792" t="inlineStr">
        <is>
          <t>Övriga Aktiebolag</t>
        </is>
      </c>
      <c r="G792" t="n">
        <v>6.7</v>
      </c>
      <c r="H792" t="n">
        <v>0</v>
      </c>
      <c r="I792" t="n">
        <v>0</v>
      </c>
      <c r="J792" t="n">
        <v>0</v>
      </c>
      <c r="K792" t="n">
        <v>0</v>
      </c>
      <c r="L792" t="n">
        <v>0</v>
      </c>
      <c r="M792" t="n">
        <v>0</v>
      </c>
      <c r="N792" t="n">
        <v>0</v>
      </c>
      <c r="O792" t="n">
        <v>0</v>
      </c>
      <c r="P792" t="n">
        <v>0</v>
      </c>
      <c r="Q792" t="n">
        <v>0</v>
      </c>
      <c r="R792" s="2" t="inlineStr"/>
    </row>
    <row r="793" ht="15" customHeight="1">
      <c r="A793" t="inlineStr">
        <is>
          <t>A 60176-2025</t>
        </is>
      </c>
      <c r="B793" s="1" t="n">
        <v>45994.45447916666</v>
      </c>
      <c r="C793" s="1" t="n">
        <v>46012</v>
      </c>
      <c r="D793" t="inlineStr">
        <is>
          <t>JÄMTLANDS LÄN</t>
        </is>
      </c>
      <c r="E793" t="inlineStr">
        <is>
          <t>KROKOM</t>
        </is>
      </c>
      <c r="G793" t="n">
        <v>9.4</v>
      </c>
      <c r="H793" t="n">
        <v>0</v>
      </c>
      <c r="I793" t="n">
        <v>0</v>
      </c>
      <c r="J793" t="n">
        <v>0</v>
      </c>
      <c r="K793" t="n">
        <v>0</v>
      </c>
      <c r="L793" t="n">
        <v>0</v>
      </c>
      <c r="M793" t="n">
        <v>0</v>
      </c>
      <c r="N793" t="n">
        <v>0</v>
      </c>
      <c r="O793" t="n">
        <v>0</v>
      </c>
      <c r="P793" t="n">
        <v>0</v>
      </c>
      <c r="Q793" t="n">
        <v>0</v>
      </c>
      <c r="R793" s="2" t="inlineStr"/>
    </row>
    <row r="794" ht="15" customHeight="1">
      <c r="A794" t="inlineStr">
        <is>
          <t>A 50919-2024</t>
        </is>
      </c>
      <c r="B794" s="1" t="n">
        <v>45602</v>
      </c>
      <c r="C794" s="1" t="n">
        <v>46012</v>
      </c>
      <c r="D794" t="inlineStr">
        <is>
          <t>JÄMTLANDS LÄN</t>
        </is>
      </c>
      <c r="E794" t="inlineStr">
        <is>
          <t>KROKOM</t>
        </is>
      </c>
      <c r="G794" t="n">
        <v>33.7</v>
      </c>
      <c r="H794" t="n">
        <v>0</v>
      </c>
      <c r="I794" t="n">
        <v>0</v>
      </c>
      <c r="J794" t="n">
        <v>0</v>
      </c>
      <c r="K794" t="n">
        <v>0</v>
      </c>
      <c r="L794" t="n">
        <v>0</v>
      </c>
      <c r="M794" t="n">
        <v>0</v>
      </c>
      <c r="N794" t="n">
        <v>0</v>
      </c>
      <c r="O794" t="n">
        <v>0</v>
      </c>
      <c r="P794" t="n">
        <v>0</v>
      </c>
      <c r="Q794" t="n">
        <v>0</v>
      </c>
      <c r="R794" s="2" t="inlineStr"/>
    </row>
    <row r="795" ht="15" customHeight="1">
      <c r="A795" t="inlineStr">
        <is>
          <t>A 1473-2025</t>
        </is>
      </c>
      <c r="B795" s="1" t="n">
        <v>45670</v>
      </c>
      <c r="C795" s="1" t="n">
        <v>46012</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2480-2025</t>
        </is>
      </c>
      <c r="B796" s="1" t="n">
        <v>45674</v>
      </c>
      <c r="C796" s="1" t="n">
        <v>46012</v>
      </c>
      <c r="D796" t="inlineStr">
        <is>
          <t>JÄMTLANDS LÄN</t>
        </is>
      </c>
      <c r="E796" t="inlineStr">
        <is>
          <t>KROKOM</t>
        </is>
      </c>
      <c r="G796" t="n">
        <v>4</v>
      </c>
      <c r="H796" t="n">
        <v>0</v>
      </c>
      <c r="I796" t="n">
        <v>0</v>
      </c>
      <c r="J796" t="n">
        <v>0</v>
      </c>
      <c r="K796" t="n">
        <v>0</v>
      </c>
      <c r="L796" t="n">
        <v>0</v>
      </c>
      <c r="M796" t="n">
        <v>0</v>
      </c>
      <c r="N796" t="n">
        <v>0</v>
      </c>
      <c r="O796" t="n">
        <v>0</v>
      </c>
      <c r="P796" t="n">
        <v>0</v>
      </c>
      <c r="Q796" t="n">
        <v>0</v>
      </c>
      <c r="R796" s="2" t="inlineStr"/>
    </row>
    <row r="797" ht="15" customHeight="1">
      <c r="A797" t="inlineStr">
        <is>
          <t>A 51735-2025</t>
        </is>
      </c>
      <c r="B797" s="1" t="n">
        <v>45951.59516203704</v>
      </c>
      <c r="C797" s="1" t="n">
        <v>46012</v>
      </c>
      <c r="D797" t="inlineStr">
        <is>
          <t>JÄMTLANDS LÄN</t>
        </is>
      </c>
      <c r="E797" t="inlineStr">
        <is>
          <t>KROKOM</t>
        </is>
      </c>
      <c r="G797" t="n">
        <v>2.8</v>
      </c>
      <c r="H797" t="n">
        <v>0</v>
      </c>
      <c r="I797" t="n">
        <v>0</v>
      </c>
      <c r="J797" t="n">
        <v>0</v>
      </c>
      <c r="K797" t="n">
        <v>0</v>
      </c>
      <c r="L797" t="n">
        <v>0</v>
      </c>
      <c r="M797" t="n">
        <v>0</v>
      </c>
      <c r="N797" t="n">
        <v>0</v>
      </c>
      <c r="O797" t="n">
        <v>0</v>
      </c>
      <c r="P797" t="n">
        <v>0</v>
      </c>
      <c r="Q797" t="n">
        <v>0</v>
      </c>
      <c r="R797" s="2" t="inlineStr"/>
    </row>
    <row r="798" ht="15" customHeight="1">
      <c r="A798" t="inlineStr">
        <is>
          <t>A 1477-2025</t>
        </is>
      </c>
      <c r="B798" s="1" t="n">
        <v>45670</v>
      </c>
      <c r="C798" s="1" t="n">
        <v>46012</v>
      </c>
      <c r="D798" t="inlineStr">
        <is>
          <t>JÄMTLANDS LÄN</t>
        </is>
      </c>
      <c r="E798" t="inlineStr">
        <is>
          <t>KROKOM</t>
        </is>
      </c>
      <c r="G798" t="n">
        <v>7.3</v>
      </c>
      <c r="H798" t="n">
        <v>0</v>
      </c>
      <c r="I798" t="n">
        <v>0</v>
      </c>
      <c r="J798" t="n">
        <v>0</v>
      </c>
      <c r="K798" t="n">
        <v>0</v>
      </c>
      <c r="L798" t="n">
        <v>0</v>
      </c>
      <c r="M798" t="n">
        <v>0</v>
      </c>
      <c r="N798" t="n">
        <v>0</v>
      </c>
      <c r="O798" t="n">
        <v>0</v>
      </c>
      <c r="P798" t="n">
        <v>0</v>
      </c>
      <c r="Q798" t="n">
        <v>0</v>
      </c>
      <c r="R798" s="2" t="inlineStr"/>
    </row>
    <row r="799" ht="15" customHeight="1">
      <c r="A799" t="inlineStr">
        <is>
          <t>A 52014-2025</t>
        </is>
      </c>
      <c r="B799" s="1" t="n">
        <v>45952</v>
      </c>
      <c r="C799" s="1" t="n">
        <v>46012</v>
      </c>
      <c r="D799" t="inlineStr">
        <is>
          <t>JÄMTLANDS LÄN</t>
        </is>
      </c>
      <c r="E799" t="inlineStr">
        <is>
          <t>KROKOM</t>
        </is>
      </c>
      <c r="G799" t="n">
        <v>39</v>
      </c>
      <c r="H799" t="n">
        <v>0</v>
      </c>
      <c r="I799" t="n">
        <v>0</v>
      </c>
      <c r="J799" t="n">
        <v>0</v>
      </c>
      <c r="K799" t="n">
        <v>0</v>
      </c>
      <c r="L799" t="n">
        <v>0</v>
      </c>
      <c r="M799" t="n">
        <v>0</v>
      </c>
      <c r="N799" t="n">
        <v>0</v>
      </c>
      <c r="O799" t="n">
        <v>0</v>
      </c>
      <c r="P799" t="n">
        <v>0</v>
      </c>
      <c r="Q799" t="n">
        <v>0</v>
      </c>
      <c r="R799" s="2" t="inlineStr"/>
    </row>
    <row r="800" ht="15" customHeight="1">
      <c r="A800" t="inlineStr">
        <is>
          <t>A 8167-2025</t>
        </is>
      </c>
      <c r="B800" s="1" t="n">
        <v>45708</v>
      </c>
      <c r="C800" s="1" t="n">
        <v>46012</v>
      </c>
      <c r="D800" t="inlineStr">
        <is>
          <t>JÄMTLANDS LÄN</t>
        </is>
      </c>
      <c r="E800" t="inlineStr">
        <is>
          <t>KROKOM</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50433-2024</t>
        </is>
      </c>
      <c r="B801" s="1" t="n">
        <v>45601</v>
      </c>
      <c r="C801" s="1" t="n">
        <v>46012</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52032-2025</t>
        </is>
      </c>
      <c r="B802" s="1" t="n">
        <v>45952.61193287037</v>
      </c>
      <c r="C802" s="1" t="n">
        <v>46012</v>
      </c>
      <c r="D802" t="inlineStr">
        <is>
          <t>JÄMTLANDS LÄN</t>
        </is>
      </c>
      <c r="E802" t="inlineStr">
        <is>
          <t>KROKOM</t>
        </is>
      </c>
      <c r="G802" t="n">
        <v>3.5</v>
      </c>
      <c r="H802" t="n">
        <v>0</v>
      </c>
      <c r="I802" t="n">
        <v>0</v>
      </c>
      <c r="J802" t="n">
        <v>0</v>
      </c>
      <c r="K802" t="n">
        <v>0</v>
      </c>
      <c r="L802" t="n">
        <v>0</v>
      </c>
      <c r="M802" t="n">
        <v>0</v>
      </c>
      <c r="N802" t="n">
        <v>0</v>
      </c>
      <c r="O802" t="n">
        <v>0</v>
      </c>
      <c r="P802" t="n">
        <v>0</v>
      </c>
      <c r="Q802" t="n">
        <v>0</v>
      </c>
      <c r="R802" s="2" t="inlineStr"/>
    </row>
    <row r="803" ht="15" customHeight="1">
      <c r="A803" t="inlineStr">
        <is>
          <t>A 57149-2023</t>
        </is>
      </c>
      <c r="B803" s="1" t="n">
        <v>45245</v>
      </c>
      <c r="C803" s="1" t="n">
        <v>46012</v>
      </c>
      <c r="D803" t="inlineStr">
        <is>
          <t>JÄMTLANDS LÄN</t>
        </is>
      </c>
      <c r="E803" t="inlineStr">
        <is>
          <t>KROKOM</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6185-2025</t>
        </is>
      </c>
      <c r="B804" s="1" t="n">
        <v>45698.45653935185</v>
      </c>
      <c r="C804" s="1" t="n">
        <v>46012</v>
      </c>
      <c r="D804" t="inlineStr">
        <is>
          <t>JÄMTLANDS LÄN</t>
        </is>
      </c>
      <c r="E804" t="inlineStr">
        <is>
          <t>KROKOM</t>
        </is>
      </c>
      <c r="G804" t="n">
        <v>14.7</v>
      </c>
      <c r="H804" t="n">
        <v>0</v>
      </c>
      <c r="I804" t="n">
        <v>0</v>
      </c>
      <c r="J804" t="n">
        <v>0</v>
      </c>
      <c r="K804" t="n">
        <v>0</v>
      </c>
      <c r="L804" t="n">
        <v>0</v>
      </c>
      <c r="M804" t="n">
        <v>0</v>
      </c>
      <c r="N804" t="n">
        <v>0</v>
      </c>
      <c r="O804" t="n">
        <v>0</v>
      </c>
      <c r="P804" t="n">
        <v>0</v>
      </c>
      <c r="Q804" t="n">
        <v>0</v>
      </c>
      <c r="R804" s="2" t="inlineStr"/>
    </row>
    <row r="805" ht="15" customHeight="1">
      <c r="A805" t="inlineStr">
        <is>
          <t>A 7079-2025</t>
        </is>
      </c>
      <c r="B805" s="1" t="n">
        <v>45701</v>
      </c>
      <c r="C805" s="1" t="n">
        <v>46012</v>
      </c>
      <c r="D805" t="inlineStr">
        <is>
          <t>JÄMTLANDS LÄN</t>
        </is>
      </c>
      <c r="E805" t="inlineStr">
        <is>
          <t>KROKOM</t>
        </is>
      </c>
      <c r="F805" t="inlineStr">
        <is>
          <t>SCA</t>
        </is>
      </c>
      <c r="G805" t="n">
        <v>7.4</v>
      </c>
      <c r="H805" t="n">
        <v>0</v>
      </c>
      <c r="I805" t="n">
        <v>0</v>
      </c>
      <c r="J805" t="n">
        <v>0</v>
      </c>
      <c r="K805" t="n">
        <v>0</v>
      </c>
      <c r="L805" t="n">
        <v>0</v>
      </c>
      <c r="M805" t="n">
        <v>0</v>
      </c>
      <c r="N805" t="n">
        <v>0</v>
      </c>
      <c r="O805" t="n">
        <v>0</v>
      </c>
      <c r="P805" t="n">
        <v>0</v>
      </c>
      <c r="Q805" t="n">
        <v>0</v>
      </c>
      <c r="R805" s="2" t="inlineStr"/>
    </row>
    <row r="806" ht="15" customHeight="1">
      <c r="A806" t="inlineStr">
        <is>
          <t>A 8168-2025</t>
        </is>
      </c>
      <c r="B806" s="1" t="n">
        <v>45708</v>
      </c>
      <c r="C806" s="1" t="n">
        <v>46012</v>
      </c>
      <c r="D806" t="inlineStr">
        <is>
          <t>JÄMTLANDS LÄN</t>
        </is>
      </c>
      <c r="E806" t="inlineStr">
        <is>
          <t>KROKOM</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59922-2025</t>
        </is>
      </c>
      <c r="B807" s="1" t="n">
        <v>45993.38613425926</v>
      </c>
      <c r="C807" s="1" t="n">
        <v>46012</v>
      </c>
      <c r="D807" t="inlineStr">
        <is>
          <t>JÄMTLANDS LÄN</t>
        </is>
      </c>
      <c r="E807" t="inlineStr">
        <is>
          <t>KROKOM</t>
        </is>
      </c>
      <c r="G807" t="n">
        <v>7.8</v>
      </c>
      <c r="H807" t="n">
        <v>0</v>
      </c>
      <c r="I807" t="n">
        <v>0</v>
      </c>
      <c r="J807" t="n">
        <v>0</v>
      </c>
      <c r="K807" t="n">
        <v>0</v>
      </c>
      <c r="L807" t="n">
        <v>0</v>
      </c>
      <c r="M807" t="n">
        <v>0</v>
      </c>
      <c r="N807" t="n">
        <v>0</v>
      </c>
      <c r="O807" t="n">
        <v>0</v>
      </c>
      <c r="P807" t="n">
        <v>0</v>
      </c>
      <c r="Q807" t="n">
        <v>0</v>
      </c>
      <c r="R807" s="2" t="inlineStr"/>
    </row>
    <row r="808" ht="15" customHeight="1">
      <c r="A808" t="inlineStr">
        <is>
          <t>A 6042-2025</t>
        </is>
      </c>
      <c r="B808" s="1" t="n">
        <v>45695</v>
      </c>
      <c r="C808" s="1" t="n">
        <v>46012</v>
      </c>
      <c r="D808" t="inlineStr">
        <is>
          <t>JÄMTLANDS LÄN</t>
        </is>
      </c>
      <c r="E808" t="inlineStr">
        <is>
          <t>KROKOM</t>
        </is>
      </c>
      <c r="F808" t="inlineStr">
        <is>
          <t>Övriga Aktiebolag</t>
        </is>
      </c>
      <c r="G808" t="n">
        <v>8.9</v>
      </c>
      <c r="H808" t="n">
        <v>0</v>
      </c>
      <c r="I808" t="n">
        <v>0</v>
      </c>
      <c r="J808" t="n">
        <v>0</v>
      </c>
      <c r="K808" t="n">
        <v>0</v>
      </c>
      <c r="L808" t="n">
        <v>0</v>
      </c>
      <c r="M808" t="n">
        <v>0</v>
      </c>
      <c r="N808" t="n">
        <v>0</v>
      </c>
      <c r="O808" t="n">
        <v>0</v>
      </c>
      <c r="P808" t="n">
        <v>0</v>
      </c>
      <c r="Q808" t="n">
        <v>0</v>
      </c>
      <c r="R808" s="2" t="inlineStr"/>
    </row>
    <row r="809" ht="15" customHeight="1">
      <c r="A809" t="inlineStr">
        <is>
          <t>A 57459-2024</t>
        </is>
      </c>
      <c r="B809" s="1" t="n">
        <v>45630</v>
      </c>
      <c r="C809" s="1" t="n">
        <v>46012</v>
      </c>
      <c r="D809" t="inlineStr">
        <is>
          <t>JÄMTLANDS LÄN</t>
        </is>
      </c>
      <c r="E809" t="inlineStr">
        <is>
          <t>KROKOM</t>
        </is>
      </c>
      <c r="G809" t="n">
        <v>19.2</v>
      </c>
      <c r="H809" t="n">
        <v>0</v>
      </c>
      <c r="I809" t="n">
        <v>0</v>
      </c>
      <c r="J809" t="n">
        <v>0</v>
      </c>
      <c r="K809" t="n">
        <v>0</v>
      </c>
      <c r="L809" t="n">
        <v>0</v>
      </c>
      <c r="M809" t="n">
        <v>0</v>
      </c>
      <c r="N809" t="n">
        <v>0</v>
      </c>
      <c r="O809" t="n">
        <v>0</v>
      </c>
      <c r="P809" t="n">
        <v>0</v>
      </c>
      <c r="Q809" t="n">
        <v>0</v>
      </c>
      <c r="R809" s="2" t="inlineStr"/>
    </row>
    <row r="810" ht="15" customHeight="1">
      <c r="A810" t="inlineStr">
        <is>
          <t>A 26207-2024</t>
        </is>
      </c>
      <c r="B810" s="1" t="n">
        <v>45467</v>
      </c>
      <c r="C810" s="1" t="n">
        <v>46012</v>
      </c>
      <c r="D810" t="inlineStr">
        <is>
          <t>JÄMTLANDS LÄN</t>
        </is>
      </c>
      <c r="E810" t="inlineStr">
        <is>
          <t>KROKOM</t>
        </is>
      </c>
      <c r="G810" t="n">
        <v>14.4</v>
      </c>
      <c r="H810" t="n">
        <v>0</v>
      </c>
      <c r="I810" t="n">
        <v>0</v>
      </c>
      <c r="J810" t="n">
        <v>0</v>
      </c>
      <c r="K810" t="n">
        <v>0</v>
      </c>
      <c r="L810" t="n">
        <v>0</v>
      </c>
      <c r="M810" t="n">
        <v>0</v>
      </c>
      <c r="N810" t="n">
        <v>0</v>
      </c>
      <c r="O810" t="n">
        <v>0</v>
      </c>
      <c r="P810" t="n">
        <v>0</v>
      </c>
      <c r="Q810" t="n">
        <v>0</v>
      </c>
      <c r="R810" s="2" t="inlineStr"/>
    </row>
    <row r="811" ht="15" customHeight="1">
      <c r="A811" t="inlineStr">
        <is>
          <t>A 52528-2025</t>
        </is>
      </c>
      <c r="B811" s="1" t="n">
        <v>45954.53189814815</v>
      </c>
      <c r="C811" s="1" t="n">
        <v>46012</v>
      </c>
      <c r="D811" t="inlineStr">
        <is>
          <t>JÄMTLANDS LÄN</t>
        </is>
      </c>
      <c r="E811" t="inlineStr">
        <is>
          <t>KROKOM</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52315-2025</t>
        </is>
      </c>
      <c r="B812" s="1" t="n">
        <v>45953.65322916667</v>
      </c>
      <c r="C812" s="1" t="n">
        <v>46012</v>
      </c>
      <c r="D812" t="inlineStr">
        <is>
          <t>JÄMTLANDS LÄN</t>
        </is>
      </c>
      <c r="E812" t="inlineStr">
        <is>
          <t>KROKOM</t>
        </is>
      </c>
      <c r="G812" t="n">
        <v>6.6</v>
      </c>
      <c r="H812" t="n">
        <v>0</v>
      </c>
      <c r="I812" t="n">
        <v>0</v>
      </c>
      <c r="J812" t="n">
        <v>0</v>
      </c>
      <c r="K812" t="n">
        <v>0</v>
      </c>
      <c r="L812" t="n">
        <v>0</v>
      </c>
      <c r="M812" t="n">
        <v>0</v>
      </c>
      <c r="N812" t="n">
        <v>0</v>
      </c>
      <c r="O812" t="n">
        <v>0</v>
      </c>
      <c r="P812" t="n">
        <v>0</v>
      </c>
      <c r="Q812" t="n">
        <v>0</v>
      </c>
      <c r="R812" s="2" t="inlineStr"/>
    </row>
    <row r="813" ht="15" customHeight="1">
      <c r="A813" t="inlineStr">
        <is>
          <t>A 60610-2025</t>
        </is>
      </c>
      <c r="B813" s="1" t="n">
        <v>45996.36520833334</v>
      </c>
      <c r="C813" s="1" t="n">
        <v>46012</v>
      </c>
      <c r="D813" t="inlineStr">
        <is>
          <t>JÄMTLANDS LÄN</t>
        </is>
      </c>
      <c r="E813" t="inlineStr">
        <is>
          <t>KROKOM</t>
        </is>
      </c>
      <c r="G813" t="n">
        <v>5</v>
      </c>
      <c r="H813" t="n">
        <v>0</v>
      </c>
      <c r="I813" t="n">
        <v>0</v>
      </c>
      <c r="J813" t="n">
        <v>0</v>
      </c>
      <c r="K813" t="n">
        <v>0</v>
      </c>
      <c r="L813" t="n">
        <v>0</v>
      </c>
      <c r="M813" t="n">
        <v>0</v>
      </c>
      <c r="N813" t="n">
        <v>0</v>
      </c>
      <c r="O813" t="n">
        <v>0</v>
      </c>
      <c r="P813" t="n">
        <v>0</v>
      </c>
      <c r="Q813" t="n">
        <v>0</v>
      </c>
      <c r="R813" s="2" t="inlineStr"/>
    </row>
    <row r="814" ht="15" customHeight="1">
      <c r="A814" t="inlineStr">
        <is>
          <t>A 10581-2025</t>
        </is>
      </c>
      <c r="B814" s="1" t="n">
        <v>45721.54896990741</v>
      </c>
      <c r="C814" s="1" t="n">
        <v>46012</v>
      </c>
      <c r="D814" t="inlineStr">
        <is>
          <t>JÄMTLANDS LÄN</t>
        </is>
      </c>
      <c r="E814" t="inlineStr">
        <is>
          <t>KROKOM</t>
        </is>
      </c>
      <c r="G814" t="n">
        <v>2</v>
      </c>
      <c r="H814" t="n">
        <v>0</v>
      </c>
      <c r="I814" t="n">
        <v>0</v>
      </c>
      <c r="J814" t="n">
        <v>0</v>
      </c>
      <c r="K814" t="n">
        <v>0</v>
      </c>
      <c r="L814" t="n">
        <v>0</v>
      </c>
      <c r="M814" t="n">
        <v>0</v>
      </c>
      <c r="N814" t="n">
        <v>0</v>
      </c>
      <c r="O814" t="n">
        <v>0</v>
      </c>
      <c r="P814" t="n">
        <v>0</v>
      </c>
      <c r="Q814" t="n">
        <v>0</v>
      </c>
      <c r="R814" s="2" t="inlineStr"/>
    </row>
    <row r="815" ht="15" customHeight="1">
      <c r="A815" t="inlineStr">
        <is>
          <t>A 52302-2025</t>
        </is>
      </c>
      <c r="B815" s="1" t="n">
        <v>45953.62150462963</v>
      </c>
      <c r="C815" s="1" t="n">
        <v>46012</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52304-2025</t>
        </is>
      </c>
      <c r="B816" s="1" t="n">
        <v>45953.62553240741</v>
      </c>
      <c r="C816" s="1" t="n">
        <v>46012</v>
      </c>
      <c r="D816" t="inlineStr">
        <is>
          <t>JÄMTLANDS LÄN</t>
        </is>
      </c>
      <c r="E816" t="inlineStr">
        <is>
          <t>KROKOM</t>
        </is>
      </c>
      <c r="G816" t="n">
        <v>3.4</v>
      </c>
      <c r="H816" t="n">
        <v>0</v>
      </c>
      <c r="I816" t="n">
        <v>0</v>
      </c>
      <c r="J816" t="n">
        <v>0</v>
      </c>
      <c r="K816" t="n">
        <v>0</v>
      </c>
      <c r="L816" t="n">
        <v>0</v>
      </c>
      <c r="M816" t="n">
        <v>0</v>
      </c>
      <c r="N816" t="n">
        <v>0</v>
      </c>
      <c r="O816" t="n">
        <v>0</v>
      </c>
      <c r="P816" t="n">
        <v>0</v>
      </c>
      <c r="Q816" t="n">
        <v>0</v>
      </c>
      <c r="R816" s="2" t="inlineStr"/>
    </row>
    <row r="817" ht="15" customHeight="1">
      <c r="A817" t="inlineStr">
        <is>
          <t>A 47625-2023</t>
        </is>
      </c>
      <c r="B817" s="1" t="n">
        <v>45203</v>
      </c>
      <c r="C817" s="1" t="n">
        <v>46012</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52431-2025</t>
        </is>
      </c>
      <c r="B818" s="1" t="n">
        <v>45954.38606481482</v>
      </c>
      <c r="C818" s="1" t="n">
        <v>46012</v>
      </c>
      <c r="D818" t="inlineStr">
        <is>
          <t>JÄMTLANDS LÄN</t>
        </is>
      </c>
      <c r="E818" t="inlineStr">
        <is>
          <t>KROKOM</t>
        </is>
      </c>
      <c r="G818" t="n">
        <v>7.8</v>
      </c>
      <c r="H818" t="n">
        <v>0</v>
      </c>
      <c r="I818" t="n">
        <v>0</v>
      </c>
      <c r="J818" t="n">
        <v>0</v>
      </c>
      <c r="K818" t="n">
        <v>0</v>
      </c>
      <c r="L818" t="n">
        <v>0</v>
      </c>
      <c r="M818" t="n">
        <v>0</v>
      </c>
      <c r="N818" t="n">
        <v>0</v>
      </c>
      <c r="O818" t="n">
        <v>0</v>
      </c>
      <c r="P818" t="n">
        <v>0</v>
      </c>
      <c r="Q818" t="n">
        <v>0</v>
      </c>
      <c r="R818" s="2" t="inlineStr"/>
    </row>
    <row r="819" ht="15" customHeight="1">
      <c r="A819" t="inlineStr">
        <is>
          <t>A 60385-2025</t>
        </is>
      </c>
      <c r="B819" s="1" t="n">
        <v>45995.38047453704</v>
      </c>
      <c r="C819" s="1" t="n">
        <v>46012</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60462-2025</t>
        </is>
      </c>
      <c r="B820" s="1" t="n">
        <v>45995.55258101852</v>
      </c>
      <c r="C820" s="1" t="n">
        <v>46012</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60609-2025</t>
        </is>
      </c>
      <c r="B821" s="1" t="n">
        <v>45996.36501157407</v>
      </c>
      <c r="C821" s="1" t="n">
        <v>46012</v>
      </c>
      <c r="D821" t="inlineStr">
        <is>
          <t>JÄMTLANDS LÄN</t>
        </is>
      </c>
      <c r="E821" t="inlineStr">
        <is>
          <t>KROKOM</t>
        </is>
      </c>
      <c r="G821" t="n">
        <v>2.3</v>
      </c>
      <c r="H821" t="n">
        <v>0</v>
      </c>
      <c r="I821" t="n">
        <v>0</v>
      </c>
      <c r="J821" t="n">
        <v>0</v>
      </c>
      <c r="K821" t="n">
        <v>0</v>
      </c>
      <c r="L821" t="n">
        <v>0</v>
      </c>
      <c r="M821" t="n">
        <v>0</v>
      </c>
      <c r="N821" t="n">
        <v>0</v>
      </c>
      <c r="O821" t="n">
        <v>0</v>
      </c>
      <c r="P821" t="n">
        <v>0</v>
      </c>
      <c r="Q821" t="n">
        <v>0</v>
      </c>
      <c r="R821" s="2" t="inlineStr"/>
    </row>
    <row r="822" ht="15" customHeight="1">
      <c r="A822" t="inlineStr">
        <is>
          <t>A 60611-2025</t>
        </is>
      </c>
      <c r="B822" s="1" t="n">
        <v>45996.36534722222</v>
      </c>
      <c r="C822" s="1" t="n">
        <v>46012</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52527-2025</t>
        </is>
      </c>
      <c r="B823" s="1" t="n">
        <v>45954.53168981482</v>
      </c>
      <c r="C823" s="1" t="n">
        <v>46012</v>
      </c>
      <c r="D823" t="inlineStr">
        <is>
          <t>JÄMTLANDS LÄN</t>
        </is>
      </c>
      <c r="E823" t="inlineStr">
        <is>
          <t>KROKOM</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60425-2025</t>
        </is>
      </c>
      <c r="B824" s="1" t="n">
        <v>45995.46976851852</v>
      </c>
      <c r="C824" s="1" t="n">
        <v>46012</v>
      </c>
      <c r="D824" t="inlineStr">
        <is>
          <t>JÄMTLANDS LÄN</t>
        </is>
      </c>
      <c r="E824" t="inlineStr">
        <is>
          <t>KROKOM</t>
        </is>
      </c>
      <c r="G824" t="n">
        <v>5.2</v>
      </c>
      <c r="H824" t="n">
        <v>0</v>
      </c>
      <c r="I824" t="n">
        <v>0</v>
      </c>
      <c r="J824" t="n">
        <v>0</v>
      </c>
      <c r="K824" t="n">
        <v>0</v>
      </c>
      <c r="L824" t="n">
        <v>0</v>
      </c>
      <c r="M824" t="n">
        <v>0</v>
      </c>
      <c r="N824" t="n">
        <v>0</v>
      </c>
      <c r="O824" t="n">
        <v>0</v>
      </c>
      <c r="P824" t="n">
        <v>0</v>
      </c>
      <c r="Q824" t="n">
        <v>0</v>
      </c>
      <c r="R824" s="2" t="inlineStr"/>
    </row>
    <row r="825" ht="15" customHeight="1">
      <c r="A825" t="inlineStr">
        <is>
          <t>A 52300-2025</t>
        </is>
      </c>
      <c r="B825" s="1" t="n">
        <v>45953.61458333334</v>
      </c>
      <c r="C825" s="1" t="n">
        <v>46012</v>
      </c>
      <c r="D825" t="inlineStr">
        <is>
          <t>JÄMTLANDS LÄN</t>
        </is>
      </c>
      <c r="E825" t="inlineStr">
        <is>
          <t>KROKOM</t>
        </is>
      </c>
      <c r="G825" t="n">
        <v>0.5</v>
      </c>
      <c r="H825" t="n">
        <v>0</v>
      </c>
      <c r="I825" t="n">
        <v>0</v>
      </c>
      <c r="J825" t="n">
        <v>0</v>
      </c>
      <c r="K825" t="n">
        <v>0</v>
      </c>
      <c r="L825" t="n">
        <v>0</v>
      </c>
      <c r="M825" t="n">
        <v>0</v>
      </c>
      <c r="N825" t="n">
        <v>0</v>
      </c>
      <c r="O825" t="n">
        <v>0</v>
      </c>
      <c r="P825" t="n">
        <v>0</v>
      </c>
      <c r="Q825" t="n">
        <v>0</v>
      </c>
      <c r="R825" s="2" t="inlineStr"/>
    </row>
    <row r="826" ht="15" customHeight="1">
      <c r="A826" t="inlineStr">
        <is>
          <t>A 41628-2024</t>
        </is>
      </c>
      <c r="B826" s="1" t="n">
        <v>45560</v>
      </c>
      <c r="C826" s="1" t="n">
        <v>46012</v>
      </c>
      <c r="D826" t="inlineStr">
        <is>
          <t>JÄMTLANDS LÄN</t>
        </is>
      </c>
      <c r="E826" t="inlineStr">
        <is>
          <t>KROKOM</t>
        </is>
      </c>
      <c r="F826" t="inlineStr">
        <is>
          <t>Övriga Aktiebolag</t>
        </is>
      </c>
      <c r="G826" t="n">
        <v>7.3</v>
      </c>
      <c r="H826" t="n">
        <v>0</v>
      </c>
      <c r="I826" t="n">
        <v>0</v>
      </c>
      <c r="J826" t="n">
        <v>0</v>
      </c>
      <c r="K826" t="n">
        <v>0</v>
      </c>
      <c r="L826" t="n">
        <v>0</v>
      </c>
      <c r="M826" t="n">
        <v>0</v>
      </c>
      <c r="N826" t="n">
        <v>0</v>
      </c>
      <c r="O826" t="n">
        <v>0</v>
      </c>
      <c r="P826" t="n">
        <v>0</v>
      </c>
      <c r="Q826" t="n">
        <v>0</v>
      </c>
      <c r="R826" s="2" t="inlineStr"/>
    </row>
    <row r="827" ht="15" customHeight="1">
      <c r="A827" t="inlineStr">
        <is>
          <t>A 61248-2025</t>
        </is>
      </c>
      <c r="B827" s="1" t="n">
        <v>46000.66444444445</v>
      </c>
      <c r="C827" s="1" t="n">
        <v>46012</v>
      </c>
      <c r="D827" t="inlineStr">
        <is>
          <t>JÄMTLANDS LÄN</t>
        </is>
      </c>
      <c r="E827" t="inlineStr">
        <is>
          <t>KROKOM</t>
        </is>
      </c>
      <c r="F827" t="inlineStr">
        <is>
          <t>Övriga Aktiebolag</t>
        </is>
      </c>
      <c r="G827" t="n">
        <v>5.7</v>
      </c>
      <c r="H827" t="n">
        <v>0</v>
      </c>
      <c r="I827" t="n">
        <v>0</v>
      </c>
      <c r="J827" t="n">
        <v>0</v>
      </c>
      <c r="K827" t="n">
        <v>0</v>
      </c>
      <c r="L827" t="n">
        <v>0</v>
      </c>
      <c r="M827" t="n">
        <v>0</v>
      </c>
      <c r="N827" t="n">
        <v>0</v>
      </c>
      <c r="O827" t="n">
        <v>0</v>
      </c>
      <c r="P827" t="n">
        <v>0</v>
      </c>
      <c r="Q827" t="n">
        <v>0</v>
      </c>
      <c r="R827" s="2" t="inlineStr"/>
    </row>
    <row r="828" ht="15" customHeight="1">
      <c r="A828" t="inlineStr">
        <is>
          <t>A 60967-2025</t>
        </is>
      </c>
      <c r="B828" s="1" t="n">
        <v>45999.67776620371</v>
      </c>
      <c r="C828" s="1" t="n">
        <v>46012</v>
      </c>
      <c r="D828" t="inlineStr">
        <is>
          <t>JÄMTLANDS LÄN</t>
        </is>
      </c>
      <c r="E828" t="inlineStr">
        <is>
          <t>KROKOM</t>
        </is>
      </c>
      <c r="G828" t="n">
        <v>13.8</v>
      </c>
      <c r="H828" t="n">
        <v>0</v>
      </c>
      <c r="I828" t="n">
        <v>0</v>
      </c>
      <c r="J828" t="n">
        <v>0</v>
      </c>
      <c r="K828" t="n">
        <v>0</v>
      </c>
      <c r="L828" t="n">
        <v>0</v>
      </c>
      <c r="M828" t="n">
        <v>0</v>
      </c>
      <c r="N828" t="n">
        <v>0</v>
      </c>
      <c r="O828" t="n">
        <v>0</v>
      </c>
      <c r="P828" t="n">
        <v>0</v>
      </c>
      <c r="Q828" t="n">
        <v>0</v>
      </c>
      <c r="R828" s="2" t="inlineStr"/>
    </row>
    <row r="829" ht="15" customHeight="1">
      <c r="A829" t="inlineStr">
        <is>
          <t>A 61198-2025</t>
        </is>
      </c>
      <c r="B829" s="1" t="n">
        <v>46000.60819444444</v>
      </c>
      <c r="C829" s="1" t="n">
        <v>46012</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61201-2025</t>
        </is>
      </c>
      <c r="B830" s="1" t="n">
        <v>46000.61008101852</v>
      </c>
      <c r="C830" s="1" t="n">
        <v>46012</v>
      </c>
      <c r="D830" t="inlineStr">
        <is>
          <t>JÄMTLANDS LÄN</t>
        </is>
      </c>
      <c r="E830" t="inlineStr">
        <is>
          <t>KROKOM</t>
        </is>
      </c>
      <c r="F830" t="inlineStr">
        <is>
          <t>Övriga Aktiebolag</t>
        </is>
      </c>
      <c r="G830" t="n">
        <v>3.2</v>
      </c>
      <c r="H830" t="n">
        <v>0</v>
      </c>
      <c r="I830" t="n">
        <v>0</v>
      </c>
      <c r="J830" t="n">
        <v>0</v>
      </c>
      <c r="K830" t="n">
        <v>0</v>
      </c>
      <c r="L830" t="n">
        <v>0</v>
      </c>
      <c r="M830" t="n">
        <v>0</v>
      </c>
      <c r="N830" t="n">
        <v>0</v>
      </c>
      <c r="O830" t="n">
        <v>0</v>
      </c>
      <c r="P830" t="n">
        <v>0</v>
      </c>
      <c r="Q830" t="n">
        <v>0</v>
      </c>
      <c r="R830" s="2" t="inlineStr"/>
    </row>
    <row r="831" ht="15" customHeight="1">
      <c r="A831" t="inlineStr">
        <is>
          <t>A 61219-2025</t>
        </is>
      </c>
      <c r="B831" s="1" t="n">
        <v>46000.62464120371</v>
      </c>
      <c r="C831" s="1" t="n">
        <v>46012</v>
      </c>
      <c r="D831" t="inlineStr">
        <is>
          <t>JÄMTLANDS LÄN</t>
        </is>
      </c>
      <c r="E831" t="inlineStr">
        <is>
          <t>KROKOM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52619-2025</t>
        </is>
      </c>
      <c r="B832" s="1" t="n">
        <v>45954.68111111111</v>
      </c>
      <c r="C832" s="1" t="n">
        <v>46012</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20742-2023</t>
        </is>
      </c>
      <c r="B833" s="1" t="n">
        <v>45055</v>
      </c>
      <c r="C833" s="1" t="n">
        <v>46012</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60977-2025</t>
        </is>
      </c>
      <c r="B834" s="1" t="n">
        <v>45999.69837962963</v>
      </c>
      <c r="C834" s="1" t="n">
        <v>46012</v>
      </c>
      <c r="D834" t="inlineStr">
        <is>
          <t>JÄMTLANDS LÄN</t>
        </is>
      </c>
      <c r="E834" t="inlineStr">
        <is>
          <t>KROKOM</t>
        </is>
      </c>
      <c r="G834" t="n">
        <v>36.4</v>
      </c>
      <c r="H834" t="n">
        <v>0</v>
      </c>
      <c r="I834" t="n">
        <v>0</v>
      </c>
      <c r="J834" t="n">
        <v>0</v>
      </c>
      <c r="K834" t="n">
        <v>0</v>
      </c>
      <c r="L834" t="n">
        <v>0</v>
      </c>
      <c r="M834" t="n">
        <v>0</v>
      </c>
      <c r="N834" t="n">
        <v>0</v>
      </c>
      <c r="O834" t="n">
        <v>0</v>
      </c>
      <c r="P834" t="n">
        <v>0</v>
      </c>
      <c r="Q834" t="n">
        <v>0</v>
      </c>
      <c r="R834" s="2" t="inlineStr"/>
    </row>
    <row r="835" ht="15" customHeight="1">
      <c r="A835" t="inlineStr">
        <is>
          <t>A 61161-2025</t>
        </is>
      </c>
      <c r="B835" s="1" t="n">
        <v>46000.55484953704</v>
      </c>
      <c r="C835" s="1" t="n">
        <v>46012</v>
      </c>
      <c r="D835" t="inlineStr">
        <is>
          <t>JÄMTLANDS LÄN</t>
        </is>
      </c>
      <c r="E835" t="inlineStr">
        <is>
          <t>KROKOM</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61244-2025</t>
        </is>
      </c>
      <c r="B836" s="1" t="n">
        <v>46000.65929398148</v>
      </c>
      <c r="C836" s="1" t="n">
        <v>46012</v>
      </c>
      <c r="D836" t="inlineStr">
        <is>
          <t>JÄMTLANDS LÄN</t>
        </is>
      </c>
      <c r="E836" t="inlineStr">
        <is>
          <t>KROKOM</t>
        </is>
      </c>
      <c r="G836" t="n">
        <v>0.7</v>
      </c>
      <c r="H836" t="n">
        <v>0</v>
      </c>
      <c r="I836" t="n">
        <v>0</v>
      </c>
      <c r="J836" t="n">
        <v>0</v>
      </c>
      <c r="K836" t="n">
        <v>0</v>
      </c>
      <c r="L836" t="n">
        <v>0</v>
      </c>
      <c r="M836" t="n">
        <v>0</v>
      </c>
      <c r="N836" t="n">
        <v>0</v>
      </c>
      <c r="O836" t="n">
        <v>0</v>
      </c>
      <c r="P836" t="n">
        <v>0</v>
      </c>
      <c r="Q836" t="n">
        <v>0</v>
      </c>
      <c r="R836" s="2" t="inlineStr"/>
    </row>
    <row r="837" ht="15" customHeight="1">
      <c r="A837" t="inlineStr">
        <is>
          <t>A 61044-2025</t>
        </is>
      </c>
      <c r="B837" s="1" t="n">
        <v>46000.28030092592</v>
      </c>
      <c r="C837" s="1" t="n">
        <v>46012</v>
      </c>
      <c r="D837" t="inlineStr">
        <is>
          <t>JÄMTLANDS LÄN</t>
        </is>
      </c>
      <c r="E837" t="inlineStr">
        <is>
          <t>KROKOM</t>
        </is>
      </c>
      <c r="F837" t="inlineStr">
        <is>
          <t>Övriga Aktiebolag</t>
        </is>
      </c>
      <c r="G837" t="n">
        <v>15.8</v>
      </c>
      <c r="H837" t="n">
        <v>0</v>
      </c>
      <c r="I837" t="n">
        <v>0</v>
      </c>
      <c r="J837" t="n">
        <v>0</v>
      </c>
      <c r="K837" t="n">
        <v>0</v>
      </c>
      <c r="L837" t="n">
        <v>0</v>
      </c>
      <c r="M837" t="n">
        <v>0</v>
      </c>
      <c r="N837" t="n">
        <v>0</v>
      </c>
      <c r="O837" t="n">
        <v>0</v>
      </c>
      <c r="P837" t="n">
        <v>0</v>
      </c>
      <c r="Q837" t="n">
        <v>0</v>
      </c>
      <c r="R837" s="2" t="inlineStr"/>
    </row>
    <row r="838" ht="15" customHeight="1">
      <c r="A838" t="inlineStr">
        <is>
          <t>A 61256-2025</t>
        </is>
      </c>
      <c r="B838" s="1" t="n">
        <v>46000</v>
      </c>
      <c r="C838" s="1" t="n">
        <v>46012</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18583-2025</t>
        </is>
      </c>
      <c r="B839" s="1" t="n">
        <v>45763.46918981482</v>
      </c>
      <c r="C839" s="1" t="n">
        <v>46012</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61294-2025</t>
        </is>
      </c>
      <c r="B840" s="1" t="n">
        <v>46000</v>
      </c>
      <c r="C840" s="1" t="n">
        <v>46012</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46000.32486111111</v>
      </c>
      <c r="C841" s="1" t="n">
        <v>46012</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61206-2025</t>
        </is>
      </c>
      <c r="B842" s="1" t="n">
        <v>46000.6144212963</v>
      </c>
      <c r="C842" s="1" t="n">
        <v>46012</v>
      </c>
      <c r="D842" t="inlineStr">
        <is>
          <t>JÄMTLANDS LÄN</t>
        </is>
      </c>
      <c r="E842" t="inlineStr">
        <is>
          <t>KROKOM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61194-2025</t>
        </is>
      </c>
      <c r="B843" s="1" t="n">
        <v>46000.60290509259</v>
      </c>
      <c r="C843" s="1" t="n">
        <v>46012</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53227-2025</t>
        </is>
      </c>
      <c r="B844" s="1" t="n">
        <v>45958.61497685185</v>
      </c>
      <c r="C844" s="1" t="n">
        <v>46012</v>
      </c>
      <c r="D844" t="inlineStr">
        <is>
          <t>JÄMTLANDS LÄN</t>
        </is>
      </c>
      <c r="E844" t="inlineStr">
        <is>
          <t>KROKOM</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7391-2025</t>
        </is>
      </c>
      <c r="B845" s="1" t="n">
        <v>45705.33446759259</v>
      </c>
      <c r="C845" s="1" t="n">
        <v>46012</v>
      </c>
      <c r="D845" t="inlineStr">
        <is>
          <t>JÄMTLANDS LÄN</t>
        </is>
      </c>
      <c r="E845" t="inlineStr">
        <is>
          <t>KROKOM</t>
        </is>
      </c>
      <c r="F845" t="inlineStr">
        <is>
          <t>Övriga Aktiebolag</t>
        </is>
      </c>
      <c r="G845" t="n">
        <v>7.9</v>
      </c>
      <c r="H845" t="n">
        <v>0</v>
      </c>
      <c r="I845" t="n">
        <v>0</v>
      </c>
      <c r="J845" t="n">
        <v>0</v>
      </c>
      <c r="K845" t="n">
        <v>0</v>
      </c>
      <c r="L845" t="n">
        <v>0</v>
      </c>
      <c r="M845" t="n">
        <v>0</v>
      </c>
      <c r="N845" t="n">
        <v>0</v>
      </c>
      <c r="O845" t="n">
        <v>0</v>
      </c>
      <c r="P845" t="n">
        <v>0</v>
      </c>
      <c r="Q845" t="n">
        <v>0</v>
      </c>
      <c r="R845" s="2" t="inlineStr"/>
    </row>
    <row r="846" ht="15" customHeight="1">
      <c r="A846" t="inlineStr">
        <is>
          <t>A 55455-2022</t>
        </is>
      </c>
      <c r="B846" s="1" t="n">
        <v>44887</v>
      </c>
      <c r="C846" s="1" t="n">
        <v>46012</v>
      </c>
      <c r="D846" t="inlineStr">
        <is>
          <t>JÄMTLANDS LÄN</t>
        </is>
      </c>
      <c r="E846" t="inlineStr">
        <is>
          <t>KROKOM</t>
        </is>
      </c>
      <c r="F846" t="inlineStr">
        <is>
          <t>Övriga Aktiebolag</t>
        </is>
      </c>
      <c r="G846" t="n">
        <v>5.2</v>
      </c>
      <c r="H846" t="n">
        <v>0</v>
      </c>
      <c r="I846" t="n">
        <v>0</v>
      </c>
      <c r="J846" t="n">
        <v>0</v>
      </c>
      <c r="K846" t="n">
        <v>0</v>
      </c>
      <c r="L846" t="n">
        <v>0</v>
      </c>
      <c r="M846" t="n">
        <v>0</v>
      </c>
      <c r="N846" t="n">
        <v>0</v>
      </c>
      <c r="O846" t="n">
        <v>0</v>
      </c>
      <c r="P846" t="n">
        <v>0</v>
      </c>
      <c r="Q846" t="n">
        <v>0</v>
      </c>
      <c r="R846" s="2" t="inlineStr"/>
    </row>
    <row r="847" ht="15" customHeight="1">
      <c r="A847" t="inlineStr">
        <is>
          <t>A 60818-2025</t>
        </is>
      </c>
      <c r="B847" s="1" t="n">
        <v>45999.45039351852</v>
      </c>
      <c r="C847" s="1" t="n">
        <v>46012</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61045-2025</t>
        </is>
      </c>
      <c r="B848" s="1" t="n">
        <v>46000.28285879629</v>
      </c>
      <c r="C848" s="1" t="n">
        <v>46012</v>
      </c>
      <c r="D848" t="inlineStr">
        <is>
          <t>JÄMTLANDS LÄN</t>
        </is>
      </c>
      <c r="E848" t="inlineStr">
        <is>
          <t>KROKOM</t>
        </is>
      </c>
      <c r="F848" t="inlineStr">
        <is>
          <t>Övriga Aktiebolag</t>
        </is>
      </c>
      <c r="G848" t="n">
        <v>8.1</v>
      </c>
      <c r="H848" t="n">
        <v>0</v>
      </c>
      <c r="I848" t="n">
        <v>0</v>
      </c>
      <c r="J848" t="n">
        <v>0</v>
      </c>
      <c r="K848" t="n">
        <v>0</v>
      </c>
      <c r="L848" t="n">
        <v>0</v>
      </c>
      <c r="M848" t="n">
        <v>0</v>
      </c>
      <c r="N848" t="n">
        <v>0</v>
      </c>
      <c r="O848" t="n">
        <v>0</v>
      </c>
      <c r="P848" t="n">
        <v>0</v>
      </c>
      <c r="Q848" t="n">
        <v>0</v>
      </c>
      <c r="R848" s="2" t="inlineStr"/>
    </row>
    <row r="849" ht="15" customHeight="1">
      <c r="A849" t="inlineStr">
        <is>
          <t>A 61382-2025</t>
        </is>
      </c>
      <c r="B849" s="1" t="n">
        <v>46001.44696759259</v>
      </c>
      <c r="C849" s="1" t="n">
        <v>46012</v>
      </c>
      <c r="D849" t="inlineStr">
        <is>
          <t>JÄMTLANDS LÄN</t>
        </is>
      </c>
      <c r="E849" t="inlineStr">
        <is>
          <t>KROKOM</t>
        </is>
      </c>
      <c r="G849" t="n">
        <v>36</v>
      </c>
      <c r="H849" t="n">
        <v>0</v>
      </c>
      <c r="I849" t="n">
        <v>0</v>
      </c>
      <c r="J849" t="n">
        <v>0</v>
      </c>
      <c r="K849" t="n">
        <v>0</v>
      </c>
      <c r="L849" t="n">
        <v>0</v>
      </c>
      <c r="M849" t="n">
        <v>0</v>
      </c>
      <c r="N849" t="n">
        <v>0</v>
      </c>
      <c r="O849" t="n">
        <v>0</v>
      </c>
      <c r="P849" t="n">
        <v>0</v>
      </c>
      <c r="Q849" t="n">
        <v>0</v>
      </c>
      <c r="R849" s="2" t="inlineStr"/>
    </row>
    <row r="850" ht="15" customHeight="1">
      <c r="A850" t="inlineStr">
        <is>
          <t>A 53505-2025</t>
        </is>
      </c>
      <c r="B850" s="1" t="n">
        <v>45960.34436342592</v>
      </c>
      <c r="C850" s="1" t="n">
        <v>46012</v>
      </c>
      <c r="D850" t="inlineStr">
        <is>
          <t>JÄMTLANDS LÄN</t>
        </is>
      </c>
      <c r="E850" t="inlineStr">
        <is>
          <t>KROKOM</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61654-2025</t>
        </is>
      </c>
      <c r="B851" s="1" t="n">
        <v>46002.44827546296</v>
      </c>
      <c r="C851" s="1" t="n">
        <v>46012</v>
      </c>
      <c r="D851" t="inlineStr">
        <is>
          <t>JÄMTLANDS LÄN</t>
        </is>
      </c>
      <c r="E851" t="inlineStr">
        <is>
          <t>KROKOM</t>
        </is>
      </c>
      <c r="G851" t="n">
        <v>7</v>
      </c>
      <c r="H851" t="n">
        <v>0</v>
      </c>
      <c r="I851" t="n">
        <v>0</v>
      </c>
      <c r="J851" t="n">
        <v>0</v>
      </c>
      <c r="K851" t="n">
        <v>0</v>
      </c>
      <c r="L851" t="n">
        <v>0</v>
      </c>
      <c r="M851" t="n">
        <v>0</v>
      </c>
      <c r="N851" t="n">
        <v>0</v>
      </c>
      <c r="O851" t="n">
        <v>0</v>
      </c>
      <c r="P851" t="n">
        <v>0</v>
      </c>
      <c r="Q851" t="n">
        <v>0</v>
      </c>
      <c r="R851" s="2" t="inlineStr"/>
    </row>
    <row r="852" ht="15" customHeight="1">
      <c r="A852" t="inlineStr">
        <is>
          <t>A 61575-2025</t>
        </is>
      </c>
      <c r="B852" s="1" t="n">
        <v>46002.32048611111</v>
      </c>
      <c r="C852" s="1" t="n">
        <v>46012</v>
      </c>
      <c r="D852" t="inlineStr">
        <is>
          <t>JÄMTLANDS LÄN</t>
        </is>
      </c>
      <c r="E852" t="inlineStr">
        <is>
          <t>KROKOM</t>
        </is>
      </c>
      <c r="F852" t="inlineStr">
        <is>
          <t>Övriga Aktiebolag</t>
        </is>
      </c>
      <c r="G852" t="n">
        <v>11.1</v>
      </c>
      <c r="H852" t="n">
        <v>0</v>
      </c>
      <c r="I852" t="n">
        <v>0</v>
      </c>
      <c r="J852" t="n">
        <v>0</v>
      </c>
      <c r="K852" t="n">
        <v>0</v>
      </c>
      <c r="L852" t="n">
        <v>0</v>
      </c>
      <c r="M852" t="n">
        <v>0</v>
      </c>
      <c r="N852" t="n">
        <v>0</v>
      </c>
      <c r="O852" t="n">
        <v>0</v>
      </c>
      <c r="P852" t="n">
        <v>0</v>
      </c>
      <c r="Q852" t="n">
        <v>0</v>
      </c>
      <c r="R852" s="2" t="inlineStr"/>
    </row>
    <row r="853" ht="15" customHeight="1">
      <c r="A853" t="inlineStr">
        <is>
          <t>A 53507-2025</t>
        </is>
      </c>
      <c r="B853" s="1" t="n">
        <v>45960.34476851852</v>
      </c>
      <c r="C853" s="1" t="n">
        <v>46012</v>
      </c>
      <c r="D853" t="inlineStr">
        <is>
          <t>JÄMTLANDS LÄN</t>
        </is>
      </c>
      <c r="E853" t="inlineStr">
        <is>
          <t>KROKOM</t>
        </is>
      </c>
      <c r="F853" t="inlineStr">
        <is>
          <t>SCA</t>
        </is>
      </c>
      <c r="G853" t="n">
        <v>10.6</v>
      </c>
      <c r="H853" t="n">
        <v>0</v>
      </c>
      <c r="I853" t="n">
        <v>0</v>
      </c>
      <c r="J853" t="n">
        <v>0</v>
      </c>
      <c r="K853" t="n">
        <v>0</v>
      </c>
      <c r="L853" t="n">
        <v>0</v>
      </c>
      <c r="M853" t="n">
        <v>0</v>
      </c>
      <c r="N853" t="n">
        <v>0</v>
      </c>
      <c r="O853" t="n">
        <v>0</v>
      </c>
      <c r="P853" t="n">
        <v>0</v>
      </c>
      <c r="Q853" t="n">
        <v>0</v>
      </c>
      <c r="R853" s="2" t="inlineStr"/>
    </row>
    <row r="854" ht="15" customHeight="1">
      <c r="A854" t="inlineStr">
        <is>
          <t>A 20735-2023</t>
        </is>
      </c>
      <c r="B854" s="1" t="n">
        <v>45055</v>
      </c>
      <c r="C854" s="1" t="n">
        <v>46012</v>
      </c>
      <c r="D854" t="inlineStr">
        <is>
          <t>JÄMTLANDS LÄN</t>
        </is>
      </c>
      <c r="E854" t="inlineStr">
        <is>
          <t>KROKOM</t>
        </is>
      </c>
      <c r="G854" t="n">
        <v>1.3</v>
      </c>
      <c r="H854" t="n">
        <v>0</v>
      </c>
      <c r="I854" t="n">
        <v>0</v>
      </c>
      <c r="J854" t="n">
        <v>0</v>
      </c>
      <c r="K854" t="n">
        <v>0</v>
      </c>
      <c r="L854" t="n">
        <v>0</v>
      </c>
      <c r="M854" t="n">
        <v>0</v>
      </c>
      <c r="N854" t="n">
        <v>0</v>
      </c>
      <c r="O854" t="n">
        <v>0</v>
      </c>
      <c r="P854" t="n">
        <v>0</v>
      </c>
      <c r="Q854" t="n">
        <v>0</v>
      </c>
      <c r="R854" s="2" t="inlineStr"/>
    </row>
    <row r="855" ht="15" customHeight="1">
      <c r="A855" t="inlineStr">
        <is>
          <t>A 49643-2025</t>
        </is>
      </c>
      <c r="B855" s="1" t="n">
        <v>45939</v>
      </c>
      <c r="C855" s="1" t="n">
        <v>46012</v>
      </c>
      <c r="D855" t="inlineStr">
        <is>
          <t>JÄMTLANDS LÄN</t>
        </is>
      </c>
      <c r="E855" t="inlineStr">
        <is>
          <t>KROKOM</t>
        </is>
      </c>
      <c r="G855" t="n">
        <v>3</v>
      </c>
      <c r="H855" t="n">
        <v>0</v>
      </c>
      <c r="I855" t="n">
        <v>0</v>
      </c>
      <c r="J855" t="n">
        <v>0</v>
      </c>
      <c r="K855" t="n">
        <v>0</v>
      </c>
      <c r="L855" t="n">
        <v>0</v>
      </c>
      <c r="M855" t="n">
        <v>0</v>
      </c>
      <c r="N855" t="n">
        <v>0</v>
      </c>
      <c r="O855" t="n">
        <v>0</v>
      </c>
      <c r="P855" t="n">
        <v>0</v>
      </c>
      <c r="Q855" t="n">
        <v>0</v>
      </c>
      <c r="R855" s="2" t="inlineStr"/>
    </row>
    <row r="856" ht="15" customHeight="1">
      <c r="A856" t="inlineStr">
        <is>
          <t>A 61377-2025</t>
        </is>
      </c>
      <c r="B856" s="1" t="n">
        <v>46001.44233796297</v>
      </c>
      <c r="C856" s="1" t="n">
        <v>46012</v>
      </c>
      <c r="D856" t="inlineStr">
        <is>
          <t>JÄMTLANDS LÄN</t>
        </is>
      </c>
      <c r="E856" t="inlineStr">
        <is>
          <t>KROKOM</t>
        </is>
      </c>
      <c r="G856" t="n">
        <v>11.8</v>
      </c>
      <c r="H856" t="n">
        <v>0</v>
      </c>
      <c r="I856" t="n">
        <v>0</v>
      </c>
      <c r="J856" t="n">
        <v>0</v>
      </c>
      <c r="K856" t="n">
        <v>0</v>
      </c>
      <c r="L856" t="n">
        <v>0</v>
      </c>
      <c r="M856" t="n">
        <v>0</v>
      </c>
      <c r="N856" t="n">
        <v>0</v>
      </c>
      <c r="O856" t="n">
        <v>0</v>
      </c>
      <c r="P856" t="n">
        <v>0</v>
      </c>
      <c r="Q856" t="n">
        <v>0</v>
      </c>
      <c r="R856" s="2" t="inlineStr"/>
    </row>
    <row r="857" ht="15" customHeight="1">
      <c r="A857" t="inlineStr">
        <is>
          <t>A 61378-2025</t>
        </is>
      </c>
      <c r="B857" s="1" t="n">
        <v>46001.44364583334</v>
      </c>
      <c r="C857" s="1" t="n">
        <v>46012</v>
      </c>
      <c r="D857" t="inlineStr">
        <is>
          <t>JÄMTLANDS LÄN</t>
        </is>
      </c>
      <c r="E857" t="inlineStr">
        <is>
          <t>KROKOM</t>
        </is>
      </c>
      <c r="G857" t="n">
        <v>20.6</v>
      </c>
      <c r="H857" t="n">
        <v>0</v>
      </c>
      <c r="I857" t="n">
        <v>0</v>
      </c>
      <c r="J857" t="n">
        <v>0</v>
      </c>
      <c r="K857" t="n">
        <v>0</v>
      </c>
      <c r="L857" t="n">
        <v>0</v>
      </c>
      <c r="M857" t="n">
        <v>0</v>
      </c>
      <c r="N857" t="n">
        <v>0</v>
      </c>
      <c r="O857" t="n">
        <v>0</v>
      </c>
      <c r="P857" t="n">
        <v>0</v>
      </c>
      <c r="Q857" t="n">
        <v>0</v>
      </c>
      <c r="R857" s="2" t="inlineStr"/>
    </row>
    <row r="858" ht="15" customHeight="1">
      <c r="A858" t="inlineStr">
        <is>
          <t>A 61767-2024</t>
        </is>
      </c>
      <c r="B858" s="1" t="n">
        <v>45649.45143518518</v>
      </c>
      <c r="C858" s="1" t="n">
        <v>46012</v>
      </c>
      <c r="D858" t="inlineStr">
        <is>
          <t>JÄMTLANDS LÄN</t>
        </is>
      </c>
      <c r="E858" t="inlineStr">
        <is>
          <t>KROKOM</t>
        </is>
      </c>
      <c r="G858" t="n">
        <v>3.1</v>
      </c>
      <c r="H858" t="n">
        <v>0</v>
      </c>
      <c r="I858" t="n">
        <v>0</v>
      </c>
      <c r="J858" t="n">
        <v>0</v>
      </c>
      <c r="K858" t="n">
        <v>0</v>
      </c>
      <c r="L858" t="n">
        <v>0</v>
      </c>
      <c r="M858" t="n">
        <v>0</v>
      </c>
      <c r="N858" t="n">
        <v>0</v>
      </c>
      <c r="O858" t="n">
        <v>0</v>
      </c>
      <c r="P858" t="n">
        <v>0</v>
      </c>
      <c r="Q858" t="n">
        <v>0</v>
      </c>
      <c r="R858" s="2" t="inlineStr"/>
    </row>
    <row r="859" ht="15" customHeight="1">
      <c r="A859" t="inlineStr">
        <is>
          <t>A 61478-2025</t>
        </is>
      </c>
      <c r="B859" s="1" t="n">
        <v>46001.62261574074</v>
      </c>
      <c r="C859" s="1" t="n">
        <v>46012</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23214-2024</t>
        </is>
      </c>
      <c r="B860" s="1" t="n">
        <v>45452.55271990741</v>
      </c>
      <c r="C860" s="1" t="n">
        <v>46012</v>
      </c>
      <c r="D860" t="inlineStr">
        <is>
          <t>JÄMTLANDS LÄN</t>
        </is>
      </c>
      <c r="E860" t="inlineStr">
        <is>
          <t>KROKOM</t>
        </is>
      </c>
      <c r="F860" t="inlineStr">
        <is>
          <t>Övriga Aktiebolag</t>
        </is>
      </c>
      <c r="G860" t="n">
        <v>0.4</v>
      </c>
      <c r="H860" t="n">
        <v>0</v>
      </c>
      <c r="I860" t="n">
        <v>0</v>
      </c>
      <c r="J860" t="n">
        <v>0</v>
      </c>
      <c r="K860" t="n">
        <v>0</v>
      </c>
      <c r="L860" t="n">
        <v>0</v>
      </c>
      <c r="M860" t="n">
        <v>0</v>
      </c>
      <c r="N860" t="n">
        <v>0</v>
      </c>
      <c r="O860" t="n">
        <v>0</v>
      </c>
      <c r="P860" t="n">
        <v>0</v>
      </c>
      <c r="Q860" t="n">
        <v>0</v>
      </c>
      <c r="R860" s="2" t="inlineStr"/>
    </row>
    <row r="861" ht="15" customHeight="1">
      <c r="A861" t="inlineStr">
        <is>
          <t>A 50177-2021</t>
        </is>
      </c>
      <c r="B861" s="1" t="n">
        <v>44456</v>
      </c>
      <c r="C861" s="1" t="n">
        <v>46012</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61661-2025</t>
        </is>
      </c>
      <c r="B862" s="1" t="n">
        <v>46002.46351851852</v>
      </c>
      <c r="C862" s="1" t="n">
        <v>46012</v>
      </c>
      <c r="D862" t="inlineStr">
        <is>
          <t>JÄMTLANDS LÄN</t>
        </is>
      </c>
      <c r="E862" t="inlineStr">
        <is>
          <t>KROKOM</t>
        </is>
      </c>
      <c r="G862" t="n">
        <v>3.9</v>
      </c>
      <c r="H862" t="n">
        <v>0</v>
      </c>
      <c r="I862" t="n">
        <v>0</v>
      </c>
      <c r="J862" t="n">
        <v>0</v>
      </c>
      <c r="K862" t="n">
        <v>0</v>
      </c>
      <c r="L862" t="n">
        <v>0</v>
      </c>
      <c r="M862" t="n">
        <v>0</v>
      </c>
      <c r="N862" t="n">
        <v>0</v>
      </c>
      <c r="O862" t="n">
        <v>0</v>
      </c>
      <c r="P862" t="n">
        <v>0</v>
      </c>
      <c r="Q862" t="n">
        <v>0</v>
      </c>
      <c r="R862" s="2" t="inlineStr"/>
    </row>
    <row r="863" ht="15" customHeight="1">
      <c r="A863" t="inlineStr">
        <is>
          <t>A 61453-2025</t>
        </is>
      </c>
      <c r="B863" s="1" t="n">
        <v>46001.58243055556</v>
      </c>
      <c r="C863" s="1" t="n">
        <v>46012</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61454-2025</t>
        </is>
      </c>
      <c r="B864" s="1" t="n">
        <v>46001.58518518518</v>
      </c>
      <c r="C864" s="1" t="n">
        <v>46012</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15209-2025</t>
        </is>
      </c>
      <c r="B865" s="1" t="n">
        <v>45744</v>
      </c>
      <c r="C865" s="1" t="n">
        <v>46012</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61399-2025</t>
        </is>
      </c>
      <c r="B866" s="1" t="n">
        <v>46001</v>
      </c>
      <c r="C866" s="1" t="n">
        <v>46012</v>
      </c>
      <c r="D866" t="inlineStr">
        <is>
          <t>JÄMTLANDS LÄN</t>
        </is>
      </c>
      <c r="E866" t="inlineStr">
        <is>
          <t>KROKOM</t>
        </is>
      </c>
      <c r="G866" t="n">
        <v>6.2</v>
      </c>
      <c r="H866" t="n">
        <v>0</v>
      </c>
      <c r="I866" t="n">
        <v>0</v>
      </c>
      <c r="J866" t="n">
        <v>0</v>
      </c>
      <c r="K866" t="n">
        <v>0</v>
      </c>
      <c r="L866" t="n">
        <v>0</v>
      </c>
      <c r="M866" t="n">
        <v>0</v>
      </c>
      <c r="N866" t="n">
        <v>0</v>
      </c>
      <c r="O866" t="n">
        <v>0</v>
      </c>
      <c r="P866" t="n">
        <v>0</v>
      </c>
      <c r="Q866" t="n">
        <v>0</v>
      </c>
      <c r="R866" s="2" t="inlineStr"/>
    </row>
    <row r="867" ht="15" customHeight="1">
      <c r="A867" t="inlineStr">
        <is>
          <t>A 61402-2025</t>
        </is>
      </c>
      <c r="B867" s="1" t="n">
        <v>46001.48325231481</v>
      </c>
      <c r="C867" s="1" t="n">
        <v>46012</v>
      </c>
      <c r="D867" t="inlineStr">
        <is>
          <t>JÄMTLANDS LÄN</t>
        </is>
      </c>
      <c r="E867" t="inlineStr">
        <is>
          <t>KROKOM</t>
        </is>
      </c>
      <c r="G867" t="n">
        <v>11.5</v>
      </c>
      <c r="H867" t="n">
        <v>0</v>
      </c>
      <c r="I867" t="n">
        <v>0</v>
      </c>
      <c r="J867" t="n">
        <v>0</v>
      </c>
      <c r="K867" t="n">
        <v>0</v>
      </c>
      <c r="L867" t="n">
        <v>0</v>
      </c>
      <c r="M867" t="n">
        <v>0</v>
      </c>
      <c r="N867" t="n">
        <v>0</v>
      </c>
      <c r="O867" t="n">
        <v>0</v>
      </c>
      <c r="P867" t="n">
        <v>0</v>
      </c>
      <c r="Q867" t="n">
        <v>0</v>
      </c>
      <c r="R867" s="2" t="inlineStr"/>
    </row>
    <row r="868" ht="15" customHeight="1">
      <c r="A868" t="inlineStr">
        <is>
          <t>A 61443-2025</t>
        </is>
      </c>
      <c r="B868" s="1" t="n">
        <v>46001.57354166666</v>
      </c>
      <c r="C868" s="1" t="n">
        <v>46012</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61476-2025</t>
        </is>
      </c>
      <c r="B869" s="1" t="n">
        <v>46001.62010416666</v>
      </c>
      <c r="C869" s="1" t="n">
        <v>46012</v>
      </c>
      <c r="D869" t="inlineStr">
        <is>
          <t>JÄMTLANDS LÄN</t>
        </is>
      </c>
      <c r="E869" t="inlineStr">
        <is>
          <t>KROKOM</t>
        </is>
      </c>
      <c r="G869" t="n">
        <v>1.8</v>
      </c>
      <c r="H869" t="n">
        <v>0</v>
      </c>
      <c r="I869" t="n">
        <v>0</v>
      </c>
      <c r="J869" t="n">
        <v>0</v>
      </c>
      <c r="K869" t="n">
        <v>0</v>
      </c>
      <c r="L869" t="n">
        <v>0</v>
      </c>
      <c r="M869" t="n">
        <v>0</v>
      </c>
      <c r="N869" t="n">
        <v>0</v>
      </c>
      <c r="O869" t="n">
        <v>0</v>
      </c>
      <c r="P869" t="n">
        <v>0</v>
      </c>
      <c r="Q869" t="n">
        <v>0</v>
      </c>
      <c r="R869" s="2" t="inlineStr"/>
    </row>
    <row r="870" ht="15" customHeight="1">
      <c r="A870" t="inlineStr">
        <is>
          <t>A 53699-2025</t>
        </is>
      </c>
      <c r="B870" s="1" t="n">
        <v>45960.59421296296</v>
      </c>
      <c r="C870" s="1" t="n">
        <v>46012</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16548-2025</t>
        </is>
      </c>
      <c r="B871" s="1" t="n">
        <v>45751.6877662037</v>
      </c>
      <c r="C871" s="1" t="n">
        <v>46012</v>
      </c>
      <c r="D871" t="inlineStr">
        <is>
          <t>JÄMTLANDS LÄN</t>
        </is>
      </c>
      <c r="E871" t="inlineStr">
        <is>
          <t>KROKOM</t>
        </is>
      </c>
      <c r="F871" t="inlineStr">
        <is>
          <t>Övriga Aktiebolag</t>
        </is>
      </c>
      <c r="G871" t="n">
        <v>10.9</v>
      </c>
      <c r="H871" t="n">
        <v>0</v>
      </c>
      <c r="I871" t="n">
        <v>0</v>
      </c>
      <c r="J871" t="n">
        <v>0</v>
      </c>
      <c r="K871" t="n">
        <v>0</v>
      </c>
      <c r="L871" t="n">
        <v>0</v>
      </c>
      <c r="M871" t="n">
        <v>0</v>
      </c>
      <c r="N871" t="n">
        <v>0</v>
      </c>
      <c r="O871" t="n">
        <v>0</v>
      </c>
      <c r="P871" t="n">
        <v>0</v>
      </c>
      <c r="Q871" t="n">
        <v>0</v>
      </c>
      <c r="R871" s="2" t="inlineStr"/>
    </row>
    <row r="872" ht="15" customHeight="1">
      <c r="A872" t="inlineStr">
        <is>
          <t>A 16278-2025</t>
        </is>
      </c>
      <c r="B872" s="1" t="n">
        <v>45751.28243055556</v>
      </c>
      <c r="C872" s="1" t="n">
        <v>46012</v>
      </c>
      <c r="D872" t="inlineStr">
        <is>
          <t>JÄMTLANDS LÄN</t>
        </is>
      </c>
      <c r="E872" t="inlineStr">
        <is>
          <t>KROKOM</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53506-2025</t>
        </is>
      </c>
      <c r="B873" s="1" t="n">
        <v>45960.34460648148</v>
      </c>
      <c r="C873" s="1" t="n">
        <v>46012</v>
      </c>
      <c r="D873" t="inlineStr">
        <is>
          <t>JÄMTLANDS LÄN</t>
        </is>
      </c>
      <c r="E873" t="inlineStr">
        <is>
          <t>KROKOM</t>
        </is>
      </c>
      <c r="F873" t="inlineStr">
        <is>
          <t>SCA</t>
        </is>
      </c>
      <c r="G873" t="n">
        <v>13.9</v>
      </c>
      <c r="H873" t="n">
        <v>0</v>
      </c>
      <c r="I873" t="n">
        <v>0</v>
      </c>
      <c r="J873" t="n">
        <v>0</v>
      </c>
      <c r="K873" t="n">
        <v>0</v>
      </c>
      <c r="L873" t="n">
        <v>0</v>
      </c>
      <c r="M873" t="n">
        <v>0</v>
      </c>
      <c r="N873" t="n">
        <v>0</v>
      </c>
      <c r="O873" t="n">
        <v>0</v>
      </c>
      <c r="P873" t="n">
        <v>0</v>
      </c>
      <c r="Q873" t="n">
        <v>0</v>
      </c>
      <c r="R873" s="2" t="inlineStr"/>
    </row>
    <row r="874" ht="15" customHeight="1">
      <c r="A874" t="inlineStr">
        <is>
          <t>A 53467-2025</t>
        </is>
      </c>
      <c r="B874" s="1" t="n">
        <v>45959.69841435185</v>
      </c>
      <c r="C874" s="1" t="n">
        <v>46012</v>
      </c>
      <c r="D874" t="inlineStr">
        <is>
          <t>JÄMTLANDS LÄN</t>
        </is>
      </c>
      <c r="E874" t="inlineStr">
        <is>
          <t>KROKOM</t>
        </is>
      </c>
      <c r="F874" t="inlineStr">
        <is>
          <t>SCA</t>
        </is>
      </c>
      <c r="G874" t="n">
        <v>22.7</v>
      </c>
      <c r="H874" t="n">
        <v>0</v>
      </c>
      <c r="I874" t="n">
        <v>0</v>
      </c>
      <c r="J874" t="n">
        <v>0</v>
      </c>
      <c r="K874" t="n">
        <v>0</v>
      </c>
      <c r="L874" t="n">
        <v>0</v>
      </c>
      <c r="M874" t="n">
        <v>0</v>
      </c>
      <c r="N874" t="n">
        <v>0</v>
      </c>
      <c r="O874" t="n">
        <v>0</v>
      </c>
      <c r="P874" t="n">
        <v>0</v>
      </c>
      <c r="Q874" t="n">
        <v>0</v>
      </c>
      <c r="R874" s="2" t="inlineStr"/>
    </row>
    <row r="875" ht="15" customHeight="1">
      <c r="A875" t="inlineStr">
        <is>
          <t>A 61956-2025</t>
        </is>
      </c>
      <c r="B875" s="1" t="n">
        <v>46003.57759259259</v>
      </c>
      <c r="C875" s="1" t="n">
        <v>46012</v>
      </c>
      <c r="D875" t="inlineStr">
        <is>
          <t>JÄMTLANDS LÄN</t>
        </is>
      </c>
      <c r="E875" t="inlineStr">
        <is>
          <t>KROKOM</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12188-2024</t>
        </is>
      </c>
      <c r="B876" s="1" t="n">
        <v>45377</v>
      </c>
      <c r="C876" s="1" t="n">
        <v>46012</v>
      </c>
      <c r="D876" t="inlineStr">
        <is>
          <t>JÄMTLANDS LÄN</t>
        </is>
      </c>
      <c r="E876" t="inlineStr">
        <is>
          <t>KROKOM</t>
        </is>
      </c>
      <c r="G876" t="n">
        <v>7.9</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46012</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61990-2025</t>
        </is>
      </c>
      <c r="B878" s="1" t="n">
        <v>46003</v>
      </c>
      <c r="C878" s="1" t="n">
        <v>46012</v>
      </c>
      <c r="D878" t="inlineStr">
        <is>
          <t>JÄMTLANDS LÄN</t>
        </is>
      </c>
      <c r="E878" t="inlineStr">
        <is>
          <t>KROKOM</t>
        </is>
      </c>
      <c r="G878" t="n">
        <v>7.9</v>
      </c>
      <c r="H878" t="n">
        <v>0</v>
      </c>
      <c r="I878" t="n">
        <v>0</v>
      </c>
      <c r="J878" t="n">
        <v>0</v>
      </c>
      <c r="K878" t="n">
        <v>0</v>
      </c>
      <c r="L878" t="n">
        <v>0</v>
      </c>
      <c r="M878" t="n">
        <v>0</v>
      </c>
      <c r="N878" t="n">
        <v>0</v>
      </c>
      <c r="O878" t="n">
        <v>0</v>
      </c>
      <c r="P878" t="n">
        <v>0</v>
      </c>
      <c r="Q878" t="n">
        <v>0</v>
      </c>
      <c r="R878" s="2" t="inlineStr"/>
    </row>
    <row r="879" ht="15" customHeight="1">
      <c r="A879" t="inlineStr">
        <is>
          <t>A 60680-2023</t>
        </is>
      </c>
      <c r="B879" s="1" t="n">
        <v>45260</v>
      </c>
      <c r="C879" s="1" t="n">
        <v>46012</v>
      </c>
      <c r="D879" t="inlineStr">
        <is>
          <t>JÄMTLANDS LÄN</t>
        </is>
      </c>
      <c r="E879" t="inlineStr">
        <is>
          <t>KROKOM</t>
        </is>
      </c>
      <c r="G879" t="n">
        <v>1</v>
      </c>
      <c r="H879" t="n">
        <v>0</v>
      </c>
      <c r="I879" t="n">
        <v>0</v>
      </c>
      <c r="J879" t="n">
        <v>0</v>
      </c>
      <c r="K879" t="n">
        <v>0</v>
      </c>
      <c r="L879" t="n">
        <v>0</v>
      </c>
      <c r="M879" t="n">
        <v>0</v>
      </c>
      <c r="N879" t="n">
        <v>0</v>
      </c>
      <c r="O879" t="n">
        <v>0</v>
      </c>
      <c r="P879" t="n">
        <v>0</v>
      </c>
      <c r="Q879" t="n">
        <v>0</v>
      </c>
      <c r="R879" s="2" t="inlineStr"/>
    </row>
    <row r="880" ht="15" customHeight="1">
      <c r="A880" t="inlineStr">
        <is>
          <t>A 71572-2021</t>
        </is>
      </c>
      <c r="B880" s="1" t="n">
        <v>44540</v>
      </c>
      <c r="C880" s="1" t="n">
        <v>46012</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4369-2025</t>
        </is>
      </c>
      <c r="B881" s="1" t="n">
        <v>45686.35247685185</v>
      </c>
      <c r="C881" s="1" t="n">
        <v>46012</v>
      </c>
      <c r="D881" t="inlineStr">
        <is>
          <t>JÄMTLANDS LÄN</t>
        </is>
      </c>
      <c r="E881" t="inlineStr">
        <is>
          <t>KROKOM</t>
        </is>
      </c>
      <c r="F881" t="inlineStr">
        <is>
          <t>SCA</t>
        </is>
      </c>
      <c r="G881" t="n">
        <v>45.4</v>
      </c>
      <c r="H881" t="n">
        <v>0</v>
      </c>
      <c r="I881" t="n">
        <v>0</v>
      </c>
      <c r="J881" t="n">
        <v>0</v>
      </c>
      <c r="K881" t="n">
        <v>0</v>
      </c>
      <c r="L881" t="n">
        <v>0</v>
      </c>
      <c r="M881" t="n">
        <v>0</v>
      </c>
      <c r="N881" t="n">
        <v>0</v>
      </c>
      <c r="O881" t="n">
        <v>0</v>
      </c>
      <c r="P881" t="n">
        <v>0</v>
      </c>
      <c r="Q881" t="n">
        <v>0</v>
      </c>
      <c r="R881" s="2" t="inlineStr"/>
    </row>
    <row r="882" ht="15" customHeight="1">
      <c r="A882" t="inlineStr">
        <is>
          <t>A 61875-2025</t>
        </is>
      </c>
      <c r="B882" s="1" t="n">
        <v>46003.4094675926</v>
      </c>
      <c r="C882" s="1" t="n">
        <v>46012</v>
      </c>
      <c r="D882" t="inlineStr">
        <is>
          <t>JÄMTLANDS LÄN</t>
        </is>
      </c>
      <c r="E882" t="inlineStr">
        <is>
          <t>KROKOM</t>
        </is>
      </c>
      <c r="G882" t="n">
        <v>3.8</v>
      </c>
      <c r="H882" t="n">
        <v>0</v>
      </c>
      <c r="I882" t="n">
        <v>0</v>
      </c>
      <c r="J882" t="n">
        <v>0</v>
      </c>
      <c r="K882" t="n">
        <v>0</v>
      </c>
      <c r="L882" t="n">
        <v>0</v>
      </c>
      <c r="M882" t="n">
        <v>0</v>
      </c>
      <c r="N882" t="n">
        <v>0</v>
      </c>
      <c r="O882" t="n">
        <v>0</v>
      </c>
      <c r="P882" t="n">
        <v>0</v>
      </c>
      <c r="Q882" t="n">
        <v>0</v>
      </c>
      <c r="R882" s="2" t="inlineStr"/>
    </row>
    <row r="883" ht="15" customHeight="1">
      <c r="A883" t="inlineStr">
        <is>
          <t>A 62000-2025</t>
        </is>
      </c>
      <c r="B883" s="1" t="n">
        <v>46003</v>
      </c>
      <c r="C883" s="1" t="n">
        <v>46012</v>
      </c>
      <c r="D883" t="inlineStr">
        <is>
          <t>JÄMTLANDS LÄN</t>
        </is>
      </c>
      <c r="E883" t="inlineStr">
        <is>
          <t>KROKOM</t>
        </is>
      </c>
      <c r="G883" t="n">
        <v>11.2</v>
      </c>
      <c r="H883" t="n">
        <v>0</v>
      </c>
      <c r="I883" t="n">
        <v>0</v>
      </c>
      <c r="J883" t="n">
        <v>0</v>
      </c>
      <c r="K883" t="n">
        <v>0</v>
      </c>
      <c r="L883" t="n">
        <v>0</v>
      </c>
      <c r="M883" t="n">
        <v>0</v>
      </c>
      <c r="N883" t="n">
        <v>0</v>
      </c>
      <c r="O883" t="n">
        <v>0</v>
      </c>
      <c r="P883" t="n">
        <v>0</v>
      </c>
      <c r="Q883" t="n">
        <v>0</v>
      </c>
      <c r="R883" s="2" t="inlineStr"/>
    </row>
    <row r="884" ht="15" customHeight="1">
      <c r="A884" t="inlineStr">
        <is>
          <t>A 62041-2025</t>
        </is>
      </c>
      <c r="B884" s="1" t="n">
        <v>46005.62857638889</v>
      </c>
      <c r="C884" s="1" t="n">
        <v>46012</v>
      </c>
      <c r="D884" t="inlineStr">
        <is>
          <t>JÄMTLANDS LÄN</t>
        </is>
      </c>
      <c r="E884" t="inlineStr">
        <is>
          <t>KROKOM</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18826-2023</t>
        </is>
      </c>
      <c r="B885" s="1" t="n">
        <v>45042</v>
      </c>
      <c r="C885" s="1" t="n">
        <v>46012</v>
      </c>
      <c r="D885" t="inlineStr">
        <is>
          <t>JÄMTLANDS LÄN</t>
        </is>
      </c>
      <c r="E885" t="inlineStr">
        <is>
          <t>KROKOM</t>
        </is>
      </c>
      <c r="G885" t="n">
        <v>17.1</v>
      </c>
      <c r="H885" t="n">
        <v>0</v>
      </c>
      <c r="I885" t="n">
        <v>0</v>
      </c>
      <c r="J885" t="n">
        <v>0</v>
      </c>
      <c r="K885" t="n">
        <v>0</v>
      </c>
      <c r="L885" t="n">
        <v>0</v>
      </c>
      <c r="M885" t="n">
        <v>0</v>
      </c>
      <c r="N885" t="n">
        <v>0</v>
      </c>
      <c r="O885" t="n">
        <v>0</v>
      </c>
      <c r="P885" t="n">
        <v>0</v>
      </c>
      <c r="Q885" t="n">
        <v>0</v>
      </c>
      <c r="R885" s="2" t="inlineStr"/>
    </row>
    <row r="886" ht="15" customHeight="1">
      <c r="A886" t="inlineStr">
        <is>
          <t>A 62372-2025</t>
        </is>
      </c>
      <c r="B886" s="1" t="n">
        <v>46007.34444444445</v>
      </c>
      <c r="C886" s="1" t="n">
        <v>46012</v>
      </c>
      <c r="D886" t="inlineStr">
        <is>
          <t>JÄMTLANDS LÄN</t>
        </is>
      </c>
      <c r="E886" t="inlineStr">
        <is>
          <t>KROKOM</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59668-2023</t>
        </is>
      </c>
      <c r="B887" s="1" t="n">
        <v>45254</v>
      </c>
      <c r="C887" s="1" t="n">
        <v>46012</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54021-2025</t>
        </is>
      </c>
      <c r="B888" s="1" t="n">
        <v>45961</v>
      </c>
      <c r="C888" s="1" t="n">
        <v>46012</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54740-2025</t>
        </is>
      </c>
      <c r="B889" s="1" t="n">
        <v>45966.57206018519</v>
      </c>
      <c r="C889" s="1" t="n">
        <v>46012</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62205-2025</t>
        </is>
      </c>
      <c r="B890" s="1" t="n">
        <v>46006.56194444445</v>
      </c>
      <c r="C890" s="1" t="n">
        <v>46012</v>
      </c>
      <c r="D890" t="inlineStr">
        <is>
          <t>JÄMTLANDS LÄN</t>
        </is>
      </c>
      <c r="E890" t="inlineStr">
        <is>
          <t>KROKOM</t>
        </is>
      </c>
      <c r="G890" t="n">
        <v>34.7</v>
      </c>
      <c r="H890" t="n">
        <v>0</v>
      </c>
      <c r="I890" t="n">
        <v>0</v>
      </c>
      <c r="J890" t="n">
        <v>0</v>
      </c>
      <c r="K890" t="n">
        <v>0</v>
      </c>
      <c r="L890" t="n">
        <v>0</v>
      </c>
      <c r="M890" t="n">
        <v>0</v>
      </c>
      <c r="N890" t="n">
        <v>0</v>
      </c>
      <c r="O890" t="n">
        <v>0</v>
      </c>
      <c r="P890" t="n">
        <v>0</v>
      </c>
      <c r="Q890" t="n">
        <v>0</v>
      </c>
      <c r="R890" s="2" t="inlineStr"/>
    </row>
    <row r="891" ht="15" customHeight="1">
      <c r="A891" t="inlineStr">
        <is>
          <t>A 54806-2025</t>
        </is>
      </c>
      <c r="B891" s="1" t="n">
        <v>45966.6437037037</v>
      </c>
      <c r="C891" s="1" t="n">
        <v>46012</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62716-2025</t>
        </is>
      </c>
      <c r="B892" s="1" t="n">
        <v>46008.53166666667</v>
      </c>
      <c r="C892" s="1" t="n">
        <v>46012</v>
      </c>
      <c r="D892" t="inlineStr">
        <is>
          <t>JÄMTLANDS LÄN</t>
        </is>
      </c>
      <c r="E892" t="inlineStr">
        <is>
          <t>KROKOM</t>
        </is>
      </c>
      <c r="G892" t="n">
        <v>9.1</v>
      </c>
      <c r="H892" t="n">
        <v>0</v>
      </c>
      <c r="I892" t="n">
        <v>0</v>
      </c>
      <c r="J892" t="n">
        <v>0</v>
      </c>
      <c r="K892" t="n">
        <v>0</v>
      </c>
      <c r="L892" t="n">
        <v>0</v>
      </c>
      <c r="M892" t="n">
        <v>0</v>
      </c>
      <c r="N892" t="n">
        <v>0</v>
      </c>
      <c r="O892" t="n">
        <v>0</v>
      </c>
      <c r="P892" t="n">
        <v>0</v>
      </c>
      <c r="Q892" t="n">
        <v>0</v>
      </c>
      <c r="R892" s="2" t="inlineStr"/>
    </row>
    <row r="893" ht="15" customHeight="1">
      <c r="A893" t="inlineStr">
        <is>
          <t>A 34502-2023</t>
        </is>
      </c>
      <c r="B893" s="1" t="n">
        <v>45133</v>
      </c>
      <c r="C893" s="1" t="n">
        <v>46012</v>
      </c>
      <c r="D893" t="inlineStr">
        <is>
          <t>JÄMTLANDS LÄN</t>
        </is>
      </c>
      <c r="E893" t="inlineStr">
        <is>
          <t>KROKOM</t>
        </is>
      </c>
      <c r="G893" t="n">
        <v>6.9</v>
      </c>
      <c r="H893" t="n">
        <v>0</v>
      </c>
      <c r="I893" t="n">
        <v>0</v>
      </c>
      <c r="J893" t="n">
        <v>0</v>
      </c>
      <c r="K893" t="n">
        <v>0</v>
      </c>
      <c r="L893" t="n">
        <v>0</v>
      </c>
      <c r="M893" t="n">
        <v>0</v>
      </c>
      <c r="N893" t="n">
        <v>0</v>
      </c>
      <c r="O893" t="n">
        <v>0</v>
      </c>
      <c r="P893" t="n">
        <v>0</v>
      </c>
      <c r="Q893" t="n">
        <v>0</v>
      </c>
      <c r="R893" s="2" t="inlineStr"/>
    </row>
    <row r="894" ht="15" customHeight="1">
      <c r="A894" t="inlineStr">
        <is>
          <t>A 62392-2025</t>
        </is>
      </c>
      <c r="B894" s="1" t="n">
        <v>46007.39261574074</v>
      </c>
      <c r="C894" s="1" t="n">
        <v>46012</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71307-2021</t>
        </is>
      </c>
      <c r="B895" s="1" t="n">
        <v>44539</v>
      </c>
      <c r="C895" s="1" t="n">
        <v>46012</v>
      </c>
      <c r="D895" t="inlineStr">
        <is>
          <t>JÄMTLANDS LÄN</t>
        </is>
      </c>
      <c r="E895" t="inlineStr">
        <is>
          <t>KROKOM</t>
        </is>
      </c>
      <c r="G895" t="n">
        <v>21.5</v>
      </c>
      <c r="H895" t="n">
        <v>0</v>
      </c>
      <c r="I895" t="n">
        <v>0</v>
      </c>
      <c r="J895" t="n">
        <v>0</v>
      </c>
      <c r="K895" t="n">
        <v>0</v>
      </c>
      <c r="L895" t="n">
        <v>0</v>
      </c>
      <c r="M895" t="n">
        <v>0</v>
      </c>
      <c r="N895" t="n">
        <v>0</v>
      </c>
      <c r="O895" t="n">
        <v>0</v>
      </c>
      <c r="P895" t="n">
        <v>0</v>
      </c>
      <c r="Q895" t="n">
        <v>0</v>
      </c>
      <c r="R895" s="2" t="inlineStr"/>
    </row>
    <row r="896" ht="15" customHeight="1">
      <c r="A896" t="inlineStr">
        <is>
          <t>A 62709-2025</t>
        </is>
      </c>
      <c r="B896" s="1" t="n">
        <v>46008.51083333333</v>
      </c>
      <c r="C896" s="1" t="n">
        <v>46012</v>
      </c>
      <c r="D896" t="inlineStr">
        <is>
          <t>JÄMTLANDS LÄN</t>
        </is>
      </c>
      <c r="E896" t="inlineStr">
        <is>
          <t>KROKOM</t>
        </is>
      </c>
      <c r="G896" t="n">
        <v>1.6</v>
      </c>
      <c r="H896" t="n">
        <v>0</v>
      </c>
      <c r="I896" t="n">
        <v>0</v>
      </c>
      <c r="J896" t="n">
        <v>0</v>
      </c>
      <c r="K896" t="n">
        <v>0</v>
      </c>
      <c r="L896" t="n">
        <v>0</v>
      </c>
      <c r="M896" t="n">
        <v>0</v>
      </c>
      <c r="N896" t="n">
        <v>0</v>
      </c>
      <c r="O896" t="n">
        <v>0</v>
      </c>
      <c r="P896" t="n">
        <v>0</v>
      </c>
      <c r="Q896" t="n">
        <v>0</v>
      </c>
      <c r="R896" s="2" t="inlineStr"/>
    </row>
    <row r="897" ht="15" customHeight="1">
      <c r="A897" t="inlineStr">
        <is>
          <t>A 62710-2025</t>
        </is>
      </c>
      <c r="B897" s="1" t="n">
        <v>46008.51097222222</v>
      </c>
      <c r="C897" s="1" t="n">
        <v>46012</v>
      </c>
      <c r="D897" t="inlineStr">
        <is>
          <t>JÄMTLANDS LÄN</t>
        </is>
      </c>
      <c r="E897" t="inlineStr">
        <is>
          <t>KROKOM</t>
        </is>
      </c>
      <c r="G897" t="n">
        <v>3.3</v>
      </c>
      <c r="H897" t="n">
        <v>0</v>
      </c>
      <c r="I897" t="n">
        <v>0</v>
      </c>
      <c r="J897" t="n">
        <v>0</v>
      </c>
      <c r="K897" t="n">
        <v>0</v>
      </c>
      <c r="L897" t="n">
        <v>0</v>
      </c>
      <c r="M897" t="n">
        <v>0</v>
      </c>
      <c r="N897" t="n">
        <v>0</v>
      </c>
      <c r="O897" t="n">
        <v>0</v>
      </c>
      <c r="P897" t="n">
        <v>0</v>
      </c>
      <c r="Q897" t="n">
        <v>0</v>
      </c>
      <c r="R897" s="2" t="inlineStr"/>
    </row>
    <row r="898" ht="15" customHeight="1">
      <c r="A898" t="inlineStr">
        <is>
          <t>A 54714-2025</t>
        </is>
      </c>
      <c r="B898" s="1" t="n">
        <v>45966.50523148148</v>
      </c>
      <c r="C898" s="1" t="n">
        <v>46012</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54639-2025</t>
        </is>
      </c>
      <c r="B899" s="1" t="n">
        <v>45966</v>
      </c>
      <c r="C899" s="1" t="n">
        <v>46012</v>
      </c>
      <c r="D899" t="inlineStr">
        <is>
          <t>JÄMTLANDS LÄN</t>
        </is>
      </c>
      <c r="E899" t="inlineStr">
        <is>
          <t>KROKOM</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57239-2023</t>
        </is>
      </c>
      <c r="B900" s="1" t="n">
        <v>45245.5478125</v>
      </c>
      <c r="C900" s="1" t="n">
        <v>46012</v>
      </c>
      <c r="D900" t="inlineStr">
        <is>
          <t>JÄMTLANDS LÄN</t>
        </is>
      </c>
      <c r="E900" t="inlineStr">
        <is>
          <t>KROKOM</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62505-2025</t>
        </is>
      </c>
      <c r="B901" s="1" t="n">
        <v>46007.59438657408</v>
      </c>
      <c r="C901" s="1" t="n">
        <v>46012</v>
      </c>
      <c r="D901" t="inlineStr">
        <is>
          <t>JÄMTLANDS LÄN</t>
        </is>
      </c>
      <c r="E901" t="inlineStr">
        <is>
          <t>KROKOM</t>
        </is>
      </c>
      <c r="G901" t="n">
        <v>5</v>
      </c>
      <c r="H901" t="n">
        <v>0</v>
      </c>
      <c r="I901" t="n">
        <v>0</v>
      </c>
      <c r="J901" t="n">
        <v>0</v>
      </c>
      <c r="K901" t="n">
        <v>0</v>
      </c>
      <c r="L901" t="n">
        <v>0</v>
      </c>
      <c r="M901" t="n">
        <v>0</v>
      </c>
      <c r="N901" t="n">
        <v>0</v>
      </c>
      <c r="O901" t="n">
        <v>0</v>
      </c>
      <c r="P901" t="n">
        <v>0</v>
      </c>
      <c r="Q901" t="n">
        <v>0</v>
      </c>
      <c r="R901" s="2" t="inlineStr"/>
    </row>
    <row r="902" ht="15" customHeight="1">
      <c r="A902" t="inlineStr">
        <is>
          <t>A 62508-2025</t>
        </is>
      </c>
      <c r="B902" s="1" t="n">
        <v>46007.59456018519</v>
      </c>
      <c r="C902" s="1" t="n">
        <v>46012</v>
      </c>
      <c r="D902" t="inlineStr">
        <is>
          <t>JÄMTLANDS LÄN</t>
        </is>
      </c>
      <c r="E902" t="inlineStr">
        <is>
          <t>KROKOM</t>
        </is>
      </c>
      <c r="G902" t="n">
        <v>44.9</v>
      </c>
      <c r="H902" t="n">
        <v>0</v>
      </c>
      <c r="I902" t="n">
        <v>0</v>
      </c>
      <c r="J902" t="n">
        <v>0</v>
      </c>
      <c r="K902" t="n">
        <v>0</v>
      </c>
      <c r="L902" t="n">
        <v>0</v>
      </c>
      <c r="M902" t="n">
        <v>0</v>
      </c>
      <c r="N902" t="n">
        <v>0</v>
      </c>
      <c r="O902" t="n">
        <v>0</v>
      </c>
      <c r="P902" t="n">
        <v>0</v>
      </c>
      <c r="Q902" t="n">
        <v>0</v>
      </c>
      <c r="R902" s="2" t="inlineStr"/>
    </row>
    <row r="903" ht="15" customHeight="1">
      <c r="A903" t="inlineStr">
        <is>
          <t>A 54706-2025</t>
        </is>
      </c>
      <c r="B903" s="1" t="n">
        <v>45966.48873842593</v>
      </c>
      <c r="C903" s="1" t="n">
        <v>46012</v>
      </c>
      <c r="D903" t="inlineStr">
        <is>
          <t>JÄMTLANDS LÄN</t>
        </is>
      </c>
      <c r="E903" t="inlineStr">
        <is>
          <t>KROKOM</t>
        </is>
      </c>
      <c r="G903" t="n">
        <v>2.5</v>
      </c>
      <c r="H903" t="n">
        <v>0</v>
      </c>
      <c r="I903" t="n">
        <v>0</v>
      </c>
      <c r="J903" t="n">
        <v>0</v>
      </c>
      <c r="K903" t="n">
        <v>0</v>
      </c>
      <c r="L903" t="n">
        <v>0</v>
      </c>
      <c r="M903" t="n">
        <v>0</v>
      </c>
      <c r="N903" t="n">
        <v>0</v>
      </c>
      <c r="O903" t="n">
        <v>0</v>
      </c>
      <c r="P903" t="n">
        <v>0</v>
      </c>
      <c r="Q903" t="n">
        <v>0</v>
      </c>
      <c r="R903" s="2" t="inlineStr"/>
    </row>
    <row r="904" ht="15" customHeight="1">
      <c r="A904" t="inlineStr">
        <is>
          <t>A 54787-2025</t>
        </is>
      </c>
      <c r="B904" s="1" t="n">
        <v>45966.62802083333</v>
      </c>
      <c r="C904" s="1" t="n">
        <v>46012</v>
      </c>
      <c r="D904" t="inlineStr">
        <is>
          <t>JÄMTLANDS LÄN</t>
        </is>
      </c>
      <c r="E904" t="inlineStr">
        <is>
          <t>KROKOM</t>
        </is>
      </c>
      <c r="G904" t="n">
        <v>8.9</v>
      </c>
      <c r="H904" t="n">
        <v>0</v>
      </c>
      <c r="I904" t="n">
        <v>0</v>
      </c>
      <c r="J904" t="n">
        <v>0</v>
      </c>
      <c r="K904" t="n">
        <v>0</v>
      </c>
      <c r="L904" t="n">
        <v>0</v>
      </c>
      <c r="M904" t="n">
        <v>0</v>
      </c>
      <c r="N904" t="n">
        <v>0</v>
      </c>
      <c r="O904" t="n">
        <v>0</v>
      </c>
      <c r="P904" t="n">
        <v>0</v>
      </c>
      <c r="Q904" t="n">
        <v>0</v>
      </c>
      <c r="R904" s="2" t="inlineStr"/>
    </row>
    <row r="905" ht="15" customHeight="1">
      <c r="A905" t="inlineStr">
        <is>
          <t>A 11639-2024</t>
        </is>
      </c>
      <c r="B905" s="1" t="n">
        <v>45373</v>
      </c>
      <c r="C905" s="1" t="n">
        <v>46012</v>
      </c>
      <c r="D905" t="inlineStr">
        <is>
          <t>JÄMTLANDS LÄN</t>
        </is>
      </c>
      <c r="E905" t="inlineStr">
        <is>
          <t>KROKOM</t>
        </is>
      </c>
      <c r="G905" t="n">
        <v>22.2</v>
      </c>
      <c r="H905" t="n">
        <v>0</v>
      </c>
      <c r="I905" t="n">
        <v>0</v>
      </c>
      <c r="J905" t="n">
        <v>0</v>
      </c>
      <c r="K905" t="n">
        <v>0</v>
      </c>
      <c r="L905" t="n">
        <v>0</v>
      </c>
      <c r="M905" t="n">
        <v>0</v>
      </c>
      <c r="N905" t="n">
        <v>0</v>
      </c>
      <c r="O905" t="n">
        <v>0</v>
      </c>
      <c r="P905" t="n">
        <v>0</v>
      </c>
      <c r="Q905" t="n">
        <v>0</v>
      </c>
      <c r="R905" s="2" t="inlineStr"/>
    </row>
    <row r="906" ht="15" customHeight="1">
      <c r="A906" t="inlineStr">
        <is>
          <t>A 54772-2025</t>
        </is>
      </c>
      <c r="B906" s="1" t="n">
        <v>45966.60880787037</v>
      </c>
      <c r="C906" s="1" t="n">
        <v>46012</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54791-2025</t>
        </is>
      </c>
      <c r="B907" s="1" t="n">
        <v>45966.63326388889</v>
      </c>
      <c r="C907" s="1" t="n">
        <v>46012</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54641-2025</t>
        </is>
      </c>
      <c r="B908" s="1" t="n">
        <v>45966.36547453704</v>
      </c>
      <c r="C908" s="1" t="n">
        <v>46012</v>
      </c>
      <c r="D908" t="inlineStr">
        <is>
          <t>JÄMTLANDS LÄN</t>
        </is>
      </c>
      <c r="E908" t="inlineStr">
        <is>
          <t>KROKOM</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54821-2025</t>
        </is>
      </c>
      <c r="B909" s="1" t="n">
        <v>45966.6591087963</v>
      </c>
      <c r="C909" s="1" t="n">
        <v>46012</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42828-2023</t>
        </is>
      </c>
      <c r="B910" s="1" t="n">
        <v>45182</v>
      </c>
      <c r="C910" s="1" t="n">
        <v>46012</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62177-2025</t>
        </is>
      </c>
      <c r="B911" s="1" t="n">
        <v>46006.51480324074</v>
      </c>
      <c r="C911" s="1" t="n">
        <v>46012</v>
      </c>
      <c r="D911" t="inlineStr">
        <is>
          <t>JÄMTLANDS LÄN</t>
        </is>
      </c>
      <c r="E911" t="inlineStr">
        <is>
          <t>KROKOM</t>
        </is>
      </c>
      <c r="G911" t="n">
        <v>20.9</v>
      </c>
      <c r="H911" t="n">
        <v>0</v>
      </c>
      <c r="I911" t="n">
        <v>0</v>
      </c>
      <c r="J911" t="n">
        <v>0</v>
      </c>
      <c r="K911" t="n">
        <v>0</v>
      </c>
      <c r="L911" t="n">
        <v>0</v>
      </c>
      <c r="M911" t="n">
        <v>0</v>
      </c>
      <c r="N911" t="n">
        <v>0</v>
      </c>
      <c r="O911" t="n">
        <v>0</v>
      </c>
      <c r="P911" t="n">
        <v>0</v>
      </c>
      <c r="Q911" t="n">
        <v>0</v>
      </c>
      <c r="R911" s="2" t="inlineStr"/>
    </row>
    <row r="912" ht="15" customHeight="1">
      <c r="A912" t="inlineStr">
        <is>
          <t>A 62506-2025</t>
        </is>
      </c>
      <c r="B912" s="1" t="n">
        <v>46007.59445601852</v>
      </c>
      <c r="C912" s="1" t="n">
        <v>46012</v>
      </c>
      <c r="D912" t="inlineStr">
        <is>
          <t>JÄMTLANDS LÄN</t>
        </is>
      </c>
      <c r="E912" t="inlineStr">
        <is>
          <t>KROKOM</t>
        </is>
      </c>
      <c r="G912" t="n">
        <v>1.6</v>
      </c>
      <c r="H912" t="n">
        <v>0</v>
      </c>
      <c r="I912" t="n">
        <v>0</v>
      </c>
      <c r="J912" t="n">
        <v>0</v>
      </c>
      <c r="K912" t="n">
        <v>0</v>
      </c>
      <c r="L912" t="n">
        <v>0</v>
      </c>
      <c r="M912" t="n">
        <v>0</v>
      </c>
      <c r="N912" t="n">
        <v>0</v>
      </c>
      <c r="O912" t="n">
        <v>0</v>
      </c>
      <c r="P912" t="n">
        <v>0</v>
      </c>
      <c r="Q912" t="n">
        <v>0</v>
      </c>
      <c r="R912" s="2" t="inlineStr"/>
    </row>
    <row r="913" ht="15" customHeight="1">
      <c r="A913" t="inlineStr">
        <is>
          <t>A 62507-2025</t>
        </is>
      </c>
      <c r="B913" s="1" t="n">
        <v>46007.59450231482</v>
      </c>
      <c r="C913" s="1" t="n">
        <v>46012</v>
      </c>
      <c r="D913" t="inlineStr">
        <is>
          <t>JÄMTLANDS LÄN</t>
        </is>
      </c>
      <c r="E913" t="inlineStr">
        <is>
          <t>KROKOM</t>
        </is>
      </c>
      <c r="G913" t="n">
        <v>3.5</v>
      </c>
      <c r="H913" t="n">
        <v>0</v>
      </c>
      <c r="I913" t="n">
        <v>0</v>
      </c>
      <c r="J913" t="n">
        <v>0</v>
      </c>
      <c r="K913" t="n">
        <v>0</v>
      </c>
      <c r="L913" t="n">
        <v>0</v>
      </c>
      <c r="M913" t="n">
        <v>0</v>
      </c>
      <c r="N913" t="n">
        <v>0</v>
      </c>
      <c r="O913" t="n">
        <v>0</v>
      </c>
      <c r="P913" t="n">
        <v>0</v>
      </c>
      <c r="Q913" t="n">
        <v>0</v>
      </c>
      <c r="R913" s="2" t="inlineStr"/>
    </row>
    <row r="914" ht="15" customHeight="1">
      <c r="A914" t="inlineStr">
        <is>
          <t>A 54750-2025</t>
        </is>
      </c>
      <c r="B914" s="1" t="n">
        <v>45966.59105324074</v>
      </c>
      <c r="C914" s="1" t="n">
        <v>46012</v>
      </c>
      <c r="D914" t="inlineStr">
        <is>
          <t>JÄMTLANDS LÄN</t>
        </is>
      </c>
      <c r="E914" t="inlineStr">
        <is>
          <t>KROKOM</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9132-2023</t>
        </is>
      </c>
      <c r="B915" s="1" t="n">
        <v>44974</v>
      </c>
      <c r="C915" s="1" t="n">
        <v>46012</v>
      </c>
      <c r="D915" t="inlineStr">
        <is>
          <t>JÄMTLANDS LÄN</t>
        </is>
      </c>
      <c r="E915" t="inlineStr">
        <is>
          <t>KROKOM</t>
        </is>
      </c>
      <c r="F915" t="inlineStr">
        <is>
          <t>SCA</t>
        </is>
      </c>
      <c r="G915" t="n">
        <v>22.7</v>
      </c>
      <c r="H915" t="n">
        <v>0</v>
      </c>
      <c r="I915" t="n">
        <v>0</v>
      </c>
      <c r="J915" t="n">
        <v>0</v>
      </c>
      <c r="K915" t="n">
        <v>0</v>
      </c>
      <c r="L915" t="n">
        <v>0</v>
      </c>
      <c r="M915" t="n">
        <v>0</v>
      </c>
      <c r="N915" t="n">
        <v>0</v>
      </c>
      <c r="O915" t="n">
        <v>0</v>
      </c>
      <c r="P915" t="n">
        <v>0</v>
      </c>
      <c r="Q915" t="n">
        <v>0</v>
      </c>
      <c r="R915" s="2" t="inlineStr"/>
    </row>
    <row r="916" ht="15" customHeight="1">
      <c r="A916" t="inlineStr">
        <is>
          <t>A 55060-2025</t>
        </is>
      </c>
      <c r="B916" s="1" t="n">
        <v>45967.68814814815</v>
      </c>
      <c r="C916" s="1" t="n">
        <v>46012</v>
      </c>
      <c r="D916" t="inlineStr">
        <is>
          <t>JÄMTLANDS LÄN</t>
        </is>
      </c>
      <c r="E916" t="inlineStr">
        <is>
          <t>KROKOM</t>
        </is>
      </c>
      <c r="F916" t="inlineStr">
        <is>
          <t>Kyrkan</t>
        </is>
      </c>
      <c r="G916" t="n">
        <v>59.7</v>
      </c>
      <c r="H916" t="n">
        <v>0</v>
      </c>
      <c r="I916" t="n">
        <v>0</v>
      </c>
      <c r="J916" t="n">
        <v>0</v>
      </c>
      <c r="K916" t="n">
        <v>0</v>
      </c>
      <c r="L916" t="n">
        <v>0</v>
      </c>
      <c r="M916" t="n">
        <v>0</v>
      </c>
      <c r="N916" t="n">
        <v>0</v>
      </c>
      <c r="O916" t="n">
        <v>0</v>
      </c>
      <c r="P916" t="n">
        <v>0</v>
      </c>
      <c r="Q916" t="n">
        <v>0</v>
      </c>
      <c r="R916" s="2" t="inlineStr"/>
    </row>
    <row r="917" ht="15" customHeight="1">
      <c r="A917" t="inlineStr">
        <is>
          <t>A 55062-2025</t>
        </is>
      </c>
      <c r="B917" s="1" t="n">
        <v>45967.69768518519</v>
      </c>
      <c r="C917" s="1" t="n">
        <v>46012</v>
      </c>
      <c r="D917" t="inlineStr">
        <is>
          <t>JÄMTLANDS LÄN</t>
        </is>
      </c>
      <c r="E917" t="inlineStr">
        <is>
          <t>KROKOM</t>
        </is>
      </c>
      <c r="F917" t="inlineStr">
        <is>
          <t>Kyrkan</t>
        </is>
      </c>
      <c r="G917" t="n">
        <v>2.3</v>
      </c>
      <c r="H917" t="n">
        <v>0</v>
      </c>
      <c r="I917" t="n">
        <v>0</v>
      </c>
      <c r="J917" t="n">
        <v>0</v>
      </c>
      <c r="K917" t="n">
        <v>0</v>
      </c>
      <c r="L917" t="n">
        <v>0</v>
      </c>
      <c r="M917" t="n">
        <v>0</v>
      </c>
      <c r="N917" t="n">
        <v>0</v>
      </c>
      <c r="O917" t="n">
        <v>0</v>
      </c>
      <c r="P917" t="n">
        <v>0</v>
      </c>
      <c r="Q917" t="n">
        <v>0</v>
      </c>
      <c r="R917" s="2" t="inlineStr"/>
    </row>
    <row r="918" ht="15" customHeight="1">
      <c r="A918" t="inlineStr">
        <is>
          <t>A 57304-2021</t>
        </is>
      </c>
      <c r="B918" s="1" t="n">
        <v>44483.42253472222</v>
      </c>
      <c r="C918" s="1" t="n">
        <v>46012</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54895-2025</t>
        </is>
      </c>
      <c r="B919" s="1" t="n">
        <v>45967.36524305555</v>
      </c>
      <c r="C919" s="1" t="n">
        <v>46012</v>
      </c>
      <c r="D919" t="inlineStr">
        <is>
          <t>JÄMTLANDS LÄN</t>
        </is>
      </c>
      <c r="E919" t="inlineStr">
        <is>
          <t>KROKOM</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27440-2024</t>
        </is>
      </c>
      <c r="B920" s="1" t="n">
        <v>45474</v>
      </c>
      <c r="C920" s="1" t="n">
        <v>46012</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64764-2023</t>
        </is>
      </c>
      <c r="B921" s="1" t="n">
        <v>45282</v>
      </c>
      <c r="C921" s="1" t="n">
        <v>46012</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28595-2024</t>
        </is>
      </c>
      <c r="B922" s="1" t="n">
        <v>45478.42063657408</v>
      </c>
      <c r="C922" s="1" t="n">
        <v>46012</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55236-2025</t>
        </is>
      </c>
      <c r="B923" s="1" t="n">
        <v>45968.61451388889</v>
      </c>
      <c r="C923" s="1" t="n">
        <v>46012</v>
      </c>
      <c r="D923" t="inlineStr">
        <is>
          <t>JÄMTLANDS LÄN</t>
        </is>
      </c>
      <c r="E923" t="inlineStr">
        <is>
          <t>KROKOM</t>
        </is>
      </c>
      <c r="G923" t="n">
        <v>14.3</v>
      </c>
      <c r="H923" t="n">
        <v>0</v>
      </c>
      <c r="I923" t="n">
        <v>0</v>
      </c>
      <c r="J923" t="n">
        <v>0</v>
      </c>
      <c r="K923" t="n">
        <v>0</v>
      </c>
      <c r="L923" t="n">
        <v>0</v>
      </c>
      <c r="M923" t="n">
        <v>0</v>
      </c>
      <c r="N923" t="n">
        <v>0</v>
      </c>
      <c r="O923" t="n">
        <v>0</v>
      </c>
      <c r="P923" t="n">
        <v>0</v>
      </c>
      <c r="Q923" t="n">
        <v>0</v>
      </c>
      <c r="R923" s="2" t="inlineStr"/>
    </row>
    <row r="924" ht="15" customHeight="1">
      <c r="A924" t="inlineStr">
        <is>
          <t>A 65508-2021</t>
        </is>
      </c>
      <c r="B924" s="1" t="n">
        <v>44516</v>
      </c>
      <c r="C924" s="1" t="n">
        <v>46012</v>
      </c>
      <c r="D924" t="inlineStr">
        <is>
          <t>JÄMTLANDS LÄN</t>
        </is>
      </c>
      <c r="E924" t="inlineStr">
        <is>
          <t>KROKOM</t>
        </is>
      </c>
      <c r="G924" t="n">
        <v>0.3</v>
      </c>
      <c r="H924" t="n">
        <v>0</v>
      </c>
      <c r="I924" t="n">
        <v>0</v>
      </c>
      <c r="J924" t="n">
        <v>0</v>
      </c>
      <c r="K924" t="n">
        <v>0</v>
      </c>
      <c r="L924" t="n">
        <v>0</v>
      </c>
      <c r="M924" t="n">
        <v>0</v>
      </c>
      <c r="N924" t="n">
        <v>0</v>
      </c>
      <c r="O924" t="n">
        <v>0</v>
      </c>
      <c r="P924" t="n">
        <v>0</v>
      </c>
      <c r="Q924" t="n">
        <v>0</v>
      </c>
      <c r="R924" s="2" t="inlineStr"/>
    </row>
    <row r="925" ht="15" customHeight="1">
      <c r="A925" t="inlineStr">
        <is>
          <t>A 54933-2025</t>
        </is>
      </c>
      <c r="B925" s="1" t="n">
        <v>45967.42778935185</v>
      </c>
      <c r="C925" s="1" t="n">
        <v>46012</v>
      </c>
      <c r="D925" t="inlineStr">
        <is>
          <t>JÄMTLANDS LÄN</t>
        </is>
      </c>
      <c r="E925" t="inlineStr">
        <is>
          <t>KROKOM</t>
        </is>
      </c>
      <c r="F925" t="inlineStr">
        <is>
          <t>SCA</t>
        </is>
      </c>
      <c r="G925" t="n">
        <v>12.8</v>
      </c>
      <c r="H925" t="n">
        <v>0</v>
      </c>
      <c r="I925" t="n">
        <v>0</v>
      </c>
      <c r="J925" t="n">
        <v>0</v>
      </c>
      <c r="K925" t="n">
        <v>0</v>
      </c>
      <c r="L925" t="n">
        <v>0</v>
      </c>
      <c r="M925" t="n">
        <v>0</v>
      </c>
      <c r="N925" t="n">
        <v>0</v>
      </c>
      <c r="O925" t="n">
        <v>0</v>
      </c>
      <c r="P925" t="n">
        <v>0</v>
      </c>
      <c r="Q925" t="n">
        <v>0</v>
      </c>
      <c r="R925" s="2" t="inlineStr"/>
    </row>
    <row r="926" ht="15" customHeight="1">
      <c r="A926" t="inlineStr">
        <is>
          <t>A 36439-2023</t>
        </is>
      </c>
      <c r="B926" s="1" t="n">
        <v>45152</v>
      </c>
      <c r="C926" s="1" t="n">
        <v>46012</v>
      </c>
      <c r="D926" t="inlineStr">
        <is>
          <t>JÄMTLANDS LÄN</t>
        </is>
      </c>
      <c r="E926" t="inlineStr">
        <is>
          <t>KROKOM</t>
        </is>
      </c>
      <c r="F926" t="inlineStr">
        <is>
          <t>Övriga Aktiebolag</t>
        </is>
      </c>
      <c r="G926" t="n">
        <v>7.4</v>
      </c>
      <c r="H926" t="n">
        <v>0</v>
      </c>
      <c r="I926" t="n">
        <v>0</v>
      </c>
      <c r="J926" t="n">
        <v>0</v>
      </c>
      <c r="K926" t="n">
        <v>0</v>
      </c>
      <c r="L926" t="n">
        <v>0</v>
      </c>
      <c r="M926" t="n">
        <v>0</v>
      </c>
      <c r="N926" t="n">
        <v>0</v>
      </c>
      <c r="O926" t="n">
        <v>0</v>
      </c>
      <c r="P926" t="n">
        <v>0</v>
      </c>
      <c r="Q926" t="n">
        <v>0</v>
      </c>
      <c r="R926" s="2" t="inlineStr"/>
    </row>
    <row r="927" ht="15" customHeight="1">
      <c r="A927" t="inlineStr">
        <is>
          <t>A 62739-2021</t>
        </is>
      </c>
      <c r="B927" s="1" t="n">
        <v>44504</v>
      </c>
      <c r="C927" s="1" t="n">
        <v>46012</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46012</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39263-2024</t>
        </is>
      </c>
      <c r="B929" s="1" t="n">
        <v>45551.34414351852</v>
      </c>
      <c r="C929" s="1" t="n">
        <v>46012</v>
      </c>
      <c r="D929" t="inlineStr">
        <is>
          <t>JÄMTLANDS LÄN</t>
        </is>
      </c>
      <c r="E929" t="inlineStr">
        <is>
          <t>KROKOM</t>
        </is>
      </c>
      <c r="G929" t="n">
        <v>2.5</v>
      </c>
      <c r="H929" t="n">
        <v>0</v>
      </c>
      <c r="I929" t="n">
        <v>0</v>
      </c>
      <c r="J929" t="n">
        <v>0</v>
      </c>
      <c r="K929" t="n">
        <v>0</v>
      </c>
      <c r="L929" t="n">
        <v>0</v>
      </c>
      <c r="M929" t="n">
        <v>0</v>
      </c>
      <c r="N929" t="n">
        <v>0</v>
      </c>
      <c r="O929" t="n">
        <v>0</v>
      </c>
      <c r="P929" t="n">
        <v>0</v>
      </c>
      <c r="Q929" t="n">
        <v>0</v>
      </c>
      <c r="R929" s="2" t="inlineStr"/>
    </row>
    <row r="930" ht="15" customHeight="1">
      <c r="A930" t="inlineStr">
        <is>
          <t>A 52313-2024</t>
        </is>
      </c>
      <c r="B930" s="1" t="n">
        <v>45608.86341435185</v>
      </c>
      <c r="C930" s="1" t="n">
        <v>46012</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32692-2023</t>
        </is>
      </c>
      <c r="B931" s="1" t="n">
        <v>45112</v>
      </c>
      <c r="C931" s="1" t="n">
        <v>46012</v>
      </c>
      <c r="D931" t="inlineStr">
        <is>
          <t>JÄMTLANDS LÄN</t>
        </is>
      </c>
      <c r="E931" t="inlineStr">
        <is>
          <t>KROKOM</t>
        </is>
      </c>
      <c r="G931" t="n">
        <v>6.6</v>
      </c>
      <c r="H931" t="n">
        <v>0</v>
      </c>
      <c r="I931" t="n">
        <v>0</v>
      </c>
      <c r="J931" t="n">
        <v>0</v>
      </c>
      <c r="K931" t="n">
        <v>0</v>
      </c>
      <c r="L931" t="n">
        <v>0</v>
      </c>
      <c r="M931" t="n">
        <v>0</v>
      </c>
      <c r="N931" t="n">
        <v>0</v>
      </c>
      <c r="O931" t="n">
        <v>0</v>
      </c>
      <c r="P931" t="n">
        <v>0</v>
      </c>
      <c r="Q931" t="n">
        <v>0</v>
      </c>
      <c r="R931" s="2" t="inlineStr"/>
    </row>
    <row r="932" ht="15" customHeight="1">
      <c r="A932" t="inlineStr">
        <is>
          <t>A 17820-2024</t>
        </is>
      </c>
      <c r="B932" s="1" t="n">
        <v>45418.94616898148</v>
      </c>
      <c r="C932" s="1" t="n">
        <v>46012</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31601-2023</t>
        </is>
      </c>
      <c r="B933" s="1" t="n">
        <v>45117</v>
      </c>
      <c r="C933" s="1" t="n">
        <v>46012</v>
      </c>
      <c r="D933" t="inlineStr">
        <is>
          <t>JÄMTLANDS LÄN</t>
        </is>
      </c>
      <c r="E933" t="inlineStr">
        <is>
          <t>KROKOM</t>
        </is>
      </c>
      <c r="G933" t="n">
        <v>1.1</v>
      </c>
      <c r="H933" t="n">
        <v>0</v>
      </c>
      <c r="I933" t="n">
        <v>0</v>
      </c>
      <c r="J933" t="n">
        <v>0</v>
      </c>
      <c r="K933" t="n">
        <v>0</v>
      </c>
      <c r="L933" t="n">
        <v>0</v>
      </c>
      <c r="M933" t="n">
        <v>0</v>
      </c>
      <c r="N933" t="n">
        <v>0</v>
      </c>
      <c r="O933" t="n">
        <v>0</v>
      </c>
      <c r="P933" t="n">
        <v>0</v>
      </c>
      <c r="Q933" t="n">
        <v>0</v>
      </c>
      <c r="R933" s="2" t="inlineStr"/>
    </row>
    <row r="934" ht="15" customHeight="1">
      <c r="A934" t="inlineStr">
        <is>
          <t>A 45777-2024</t>
        </is>
      </c>
      <c r="B934" s="1" t="n">
        <v>45579.66459490741</v>
      </c>
      <c r="C934" s="1" t="n">
        <v>46012</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14029-2024</t>
        </is>
      </c>
      <c r="B935" s="1" t="n">
        <v>45392</v>
      </c>
      <c r="C935" s="1" t="n">
        <v>46012</v>
      </c>
      <c r="D935" t="inlineStr">
        <is>
          <t>JÄMTLANDS LÄN</t>
        </is>
      </c>
      <c r="E935" t="inlineStr">
        <is>
          <t>KROKOM</t>
        </is>
      </c>
      <c r="F935" t="inlineStr">
        <is>
          <t>Kyrkan</t>
        </is>
      </c>
      <c r="G935" t="n">
        <v>1.1</v>
      </c>
      <c r="H935" t="n">
        <v>0</v>
      </c>
      <c r="I935" t="n">
        <v>0</v>
      </c>
      <c r="J935" t="n">
        <v>0</v>
      </c>
      <c r="K935" t="n">
        <v>0</v>
      </c>
      <c r="L935" t="n">
        <v>0</v>
      </c>
      <c r="M935" t="n">
        <v>0</v>
      </c>
      <c r="N935" t="n">
        <v>0</v>
      </c>
      <c r="O935" t="n">
        <v>0</v>
      </c>
      <c r="P935" t="n">
        <v>0</v>
      </c>
      <c r="Q935" t="n">
        <v>0</v>
      </c>
      <c r="R935" s="2" t="inlineStr"/>
    </row>
    <row r="936" ht="15" customHeight="1">
      <c r="A936" t="inlineStr">
        <is>
          <t>A 56557-2021</t>
        </is>
      </c>
      <c r="B936" s="1" t="n">
        <v>44480</v>
      </c>
      <c r="C936" s="1" t="n">
        <v>46012</v>
      </c>
      <c r="D936" t="inlineStr">
        <is>
          <t>JÄMTLANDS LÄN</t>
        </is>
      </c>
      <c r="E936" t="inlineStr">
        <is>
          <t>KROKOM</t>
        </is>
      </c>
      <c r="G936" t="n">
        <v>2.3</v>
      </c>
      <c r="H936" t="n">
        <v>0</v>
      </c>
      <c r="I936" t="n">
        <v>0</v>
      </c>
      <c r="J936" t="n">
        <v>0</v>
      </c>
      <c r="K936" t="n">
        <v>0</v>
      </c>
      <c r="L936" t="n">
        <v>0</v>
      </c>
      <c r="M936" t="n">
        <v>0</v>
      </c>
      <c r="N936" t="n">
        <v>0</v>
      </c>
      <c r="O936" t="n">
        <v>0</v>
      </c>
      <c r="P936" t="n">
        <v>0</v>
      </c>
      <c r="Q936" t="n">
        <v>0</v>
      </c>
      <c r="R936" s="2" t="inlineStr"/>
    </row>
    <row r="937" ht="15" customHeight="1">
      <c r="A937" t="inlineStr">
        <is>
          <t>A 33653-2023</t>
        </is>
      </c>
      <c r="B937" s="1" t="n">
        <v>45119</v>
      </c>
      <c r="C937" s="1" t="n">
        <v>46012</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42372-2023</t>
        </is>
      </c>
      <c r="B938" s="1" t="n">
        <v>45180</v>
      </c>
      <c r="C938" s="1" t="n">
        <v>46012</v>
      </c>
      <c r="D938" t="inlineStr">
        <is>
          <t>JÄMTLANDS LÄN</t>
        </is>
      </c>
      <c r="E938" t="inlineStr">
        <is>
          <t>KROKOM</t>
        </is>
      </c>
      <c r="F938" t="inlineStr">
        <is>
          <t>Övriga Aktiebolag</t>
        </is>
      </c>
      <c r="G938" t="n">
        <v>0.2</v>
      </c>
      <c r="H938" t="n">
        <v>0</v>
      </c>
      <c r="I938" t="n">
        <v>0</v>
      </c>
      <c r="J938" t="n">
        <v>0</v>
      </c>
      <c r="K938" t="n">
        <v>0</v>
      </c>
      <c r="L938" t="n">
        <v>0</v>
      </c>
      <c r="M938" t="n">
        <v>0</v>
      </c>
      <c r="N938" t="n">
        <v>0</v>
      </c>
      <c r="O938" t="n">
        <v>0</v>
      </c>
      <c r="P938" t="n">
        <v>0</v>
      </c>
      <c r="Q938" t="n">
        <v>0</v>
      </c>
      <c r="R938" s="2" t="inlineStr"/>
    </row>
    <row r="939" ht="15" customHeight="1">
      <c r="A939" t="inlineStr">
        <is>
          <t>A 7724-2025</t>
        </is>
      </c>
      <c r="B939" s="1" t="n">
        <v>45706</v>
      </c>
      <c r="C939" s="1" t="n">
        <v>46012</v>
      </c>
      <c r="D939" t="inlineStr">
        <is>
          <t>JÄMTLANDS LÄN</t>
        </is>
      </c>
      <c r="E939" t="inlineStr">
        <is>
          <t>KROKOM</t>
        </is>
      </c>
      <c r="G939" t="n">
        <v>1.8</v>
      </c>
      <c r="H939" t="n">
        <v>0</v>
      </c>
      <c r="I939" t="n">
        <v>0</v>
      </c>
      <c r="J939" t="n">
        <v>0</v>
      </c>
      <c r="K939" t="n">
        <v>0</v>
      </c>
      <c r="L939" t="n">
        <v>0</v>
      </c>
      <c r="M939" t="n">
        <v>0</v>
      </c>
      <c r="N939" t="n">
        <v>0</v>
      </c>
      <c r="O939" t="n">
        <v>0</v>
      </c>
      <c r="P939" t="n">
        <v>0</v>
      </c>
      <c r="Q939" t="n">
        <v>0</v>
      </c>
      <c r="R939" s="2" t="inlineStr"/>
    </row>
    <row r="940" ht="15" customHeight="1">
      <c r="A940" t="inlineStr">
        <is>
          <t>A 1119-2025</t>
        </is>
      </c>
      <c r="B940" s="1" t="n">
        <v>45666.65987268519</v>
      </c>
      <c r="C940" s="1" t="n">
        <v>46012</v>
      </c>
      <c r="D940" t="inlineStr">
        <is>
          <t>JÄMTLANDS LÄN</t>
        </is>
      </c>
      <c r="E940" t="inlineStr">
        <is>
          <t>KROKOM</t>
        </is>
      </c>
      <c r="G940" t="n">
        <v>1.6</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45109.44534722222</v>
      </c>
      <c r="C941" s="1" t="n">
        <v>46012</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50738-2024</t>
        </is>
      </c>
      <c r="B942" s="1" t="n">
        <v>45602.39862268518</v>
      </c>
      <c r="C942" s="1" t="n">
        <v>46012</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50755-2024</t>
        </is>
      </c>
      <c r="B943" s="1" t="n">
        <v>45602.42878472222</v>
      </c>
      <c r="C943" s="1" t="n">
        <v>46012</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46012</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56328-2023</t>
        </is>
      </c>
      <c r="B945" s="1" t="n">
        <v>45243.33297453704</v>
      </c>
      <c r="C945" s="1" t="n">
        <v>46012</v>
      </c>
      <c r="D945" t="inlineStr">
        <is>
          <t>JÄMTLANDS LÄN</t>
        </is>
      </c>
      <c r="E945" t="inlineStr">
        <is>
          <t>KROKOM</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35257-2023</t>
        </is>
      </c>
      <c r="B946" s="1" t="n">
        <v>45145.95255787037</v>
      </c>
      <c r="C946" s="1" t="n">
        <v>46012</v>
      </c>
      <c r="D946" t="inlineStr">
        <is>
          <t>JÄMTLANDS LÄN</t>
        </is>
      </c>
      <c r="E946" t="inlineStr">
        <is>
          <t>KROKOM</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46785-2024</t>
        </is>
      </c>
      <c r="B947" s="1" t="n">
        <v>45583.52885416667</v>
      </c>
      <c r="C947" s="1" t="n">
        <v>46012</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64299-2021</t>
        </is>
      </c>
      <c r="B948" s="1" t="n">
        <v>44510.9491087963</v>
      </c>
      <c r="C948" s="1" t="n">
        <v>46012</v>
      </c>
      <c r="D948" t="inlineStr">
        <is>
          <t>JÄMTLANDS LÄN</t>
        </is>
      </c>
      <c r="E948" t="inlineStr">
        <is>
          <t>KROKOM</t>
        </is>
      </c>
      <c r="G948" t="n">
        <v>3.7</v>
      </c>
      <c r="H948" t="n">
        <v>0</v>
      </c>
      <c r="I948" t="n">
        <v>0</v>
      </c>
      <c r="J948" t="n">
        <v>0</v>
      </c>
      <c r="K948" t="n">
        <v>0</v>
      </c>
      <c r="L948" t="n">
        <v>0</v>
      </c>
      <c r="M948" t="n">
        <v>0</v>
      </c>
      <c r="N948" t="n">
        <v>0</v>
      </c>
      <c r="O948" t="n">
        <v>0</v>
      </c>
      <c r="P948" t="n">
        <v>0</v>
      </c>
      <c r="Q948" t="n">
        <v>0</v>
      </c>
      <c r="R948" s="2" t="inlineStr"/>
    </row>
    <row r="949" ht="15" customHeight="1">
      <c r="A949" t="inlineStr">
        <is>
          <t>A 58487-2024</t>
        </is>
      </c>
      <c r="B949" s="1" t="n">
        <v>45635.39820601852</v>
      </c>
      <c r="C949" s="1" t="n">
        <v>46012</v>
      </c>
      <c r="D949" t="inlineStr">
        <is>
          <t>JÄMTLANDS LÄN</t>
        </is>
      </c>
      <c r="E949" t="inlineStr">
        <is>
          <t>KROKOM</t>
        </is>
      </c>
      <c r="G949" t="n">
        <v>0.4</v>
      </c>
      <c r="H949" t="n">
        <v>0</v>
      </c>
      <c r="I949" t="n">
        <v>0</v>
      </c>
      <c r="J949" t="n">
        <v>0</v>
      </c>
      <c r="K949" t="n">
        <v>0</v>
      </c>
      <c r="L949" t="n">
        <v>0</v>
      </c>
      <c r="M949" t="n">
        <v>0</v>
      </c>
      <c r="N949" t="n">
        <v>0</v>
      </c>
      <c r="O949" t="n">
        <v>0</v>
      </c>
      <c r="P949" t="n">
        <v>0</v>
      </c>
      <c r="Q949" t="n">
        <v>0</v>
      </c>
      <c r="R949" s="2" t="inlineStr"/>
    </row>
    <row r="950" ht="15" customHeight="1">
      <c r="A950" t="inlineStr">
        <is>
          <t>A 3231-2022</t>
        </is>
      </c>
      <c r="B950" s="1" t="n">
        <v>44582</v>
      </c>
      <c r="C950" s="1" t="n">
        <v>46012</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10646-2025</t>
        </is>
      </c>
      <c r="B951" s="1" t="n">
        <v>45721.66456018519</v>
      </c>
      <c r="C951" s="1" t="n">
        <v>46012</v>
      </c>
      <c r="D951" t="inlineStr">
        <is>
          <t>JÄMTLANDS LÄN</t>
        </is>
      </c>
      <c r="E951" t="inlineStr">
        <is>
          <t>KROKOM</t>
        </is>
      </c>
      <c r="G951" t="n">
        <v>3.1</v>
      </c>
      <c r="H951" t="n">
        <v>0</v>
      </c>
      <c r="I951" t="n">
        <v>0</v>
      </c>
      <c r="J951" t="n">
        <v>0</v>
      </c>
      <c r="K951" t="n">
        <v>0</v>
      </c>
      <c r="L951" t="n">
        <v>0</v>
      </c>
      <c r="M951" t="n">
        <v>0</v>
      </c>
      <c r="N951" t="n">
        <v>0</v>
      </c>
      <c r="O951" t="n">
        <v>0</v>
      </c>
      <c r="P951" t="n">
        <v>0</v>
      </c>
      <c r="Q951" t="n">
        <v>0</v>
      </c>
      <c r="R951" s="2" t="inlineStr"/>
    </row>
    <row r="952" ht="15" customHeight="1">
      <c r="A952" t="inlineStr">
        <is>
          <t>A 29477-2024</t>
        </is>
      </c>
      <c r="B952" s="1" t="n">
        <v>45484</v>
      </c>
      <c r="C952" s="1" t="n">
        <v>46012</v>
      </c>
      <c r="D952" t="inlineStr">
        <is>
          <t>JÄMTLANDS LÄN</t>
        </is>
      </c>
      <c r="E952" t="inlineStr">
        <is>
          <t>KROKOM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53540-2024</t>
        </is>
      </c>
      <c r="B953" s="1" t="n">
        <v>45614.63575231482</v>
      </c>
      <c r="C953" s="1" t="n">
        <v>46012</v>
      </c>
      <c r="D953" t="inlineStr">
        <is>
          <t>JÄMTLANDS LÄN</t>
        </is>
      </c>
      <c r="E953" t="inlineStr">
        <is>
          <t>KROKOM</t>
        </is>
      </c>
      <c r="G953" t="n">
        <v>4.7</v>
      </c>
      <c r="H953" t="n">
        <v>0</v>
      </c>
      <c r="I953" t="n">
        <v>0</v>
      </c>
      <c r="J953" t="n">
        <v>0</v>
      </c>
      <c r="K953" t="n">
        <v>0</v>
      </c>
      <c r="L953" t="n">
        <v>0</v>
      </c>
      <c r="M953" t="n">
        <v>0</v>
      </c>
      <c r="N953" t="n">
        <v>0</v>
      </c>
      <c r="O953" t="n">
        <v>0</v>
      </c>
      <c r="P953" t="n">
        <v>0</v>
      </c>
      <c r="Q953" t="n">
        <v>0</v>
      </c>
      <c r="R953" s="2" t="inlineStr"/>
    </row>
    <row r="954" ht="15" customHeight="1">
      <c r="A954" t="inlineStr">
        <is>
          <t>A 280-2025</t>
        </is>
      </c>
      <c r="B954" s="1" t="n">
        <v>45660.49618055556</v>
      </c>
      <c r="C954" s="1" t="n">
        <v>46012</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39490-2022</t>
        </is>
      </c>
      <c r="B955" s="1" t="n">
        <v>44818</v>
      </c>
      <c r="C955" s="1" t="n">
        <v>46012</v>
      </c>
      <c r="D955" t="inlineStr">
        <is>
          <t>JÄMTLANDS LÄN</t>
        </is>
      </c>
      <c r="E955" t="inlineStr">
        <is>
          <t>KROKOM</t>
        </is>
      </c>
      <c r="G955" t="n">
        <v>11.9</v>
      </c>
      <c r="H955" t="n">
        <v>0</v>
      </c>
      <c r="I955" t="n">
        <v>0</v>
      </c>
      <c r="J955" t="n">
        <v>0</v>
      </c>
      <c r="K955" t="n">
        <v>0</v>
      </c>
      <c r="L955" t="n">
        <v>0</v>
      </c>
      <c r="M955" t="n">
        <v>0</v>
      </c>
      <c r="N955" t="n">
        <v>0</v>
      </c>
      <c r="O955" t="n">
        <v>0</v>
      </c>
      <c r="P955" t="n">
        <v>0</v>
      </c>
      <c r="Q955" t="n">
        <v>0</v>
      </c>
      <c r="R955" s="2" t="inlineStr"/>
    </row>
    <row r="956" ht="15" customHeight="1">
      <c r="A956" t="inlineStr">
        <is>
          <t>A 9043-2025</t>
        </is>
      </c>
      <c r="B956" s="1" t="n">
        <v>45713</v>
      </c>
      <c r="C956" s="1" t="n">
        <v>46012</v>
      </c>
      <c r="D956" t="inlineStr">
        <is>
          <t>JÄMTLANDS LÄN</t>
        </is>
      </c>
      <c r="E956" t="inlineStr">
        <is>
          <t>KROKOM</t>
        </is>
      </c>
      <c r="F956" t="inlineStr">
        <is>
          <t>Övriga Aktiebolag</t>
        </is>
      </c>
      <c r="G956" t="n">
        <v>43.6</v>
      </c>
      <c r="H956" t="n">
        <v>0</v>
      </c>
      <c r="I956" t="n">
        <v>0</v>
      </c>
      <c r="J956" t="n">
        <v>0</v>
      </c>
      <c r="K956" t="n">
        <v>0</v>
      </c>
      <c r="L956" t="n">
        <v>0</v>
      </c>
      <c r="M956" t="n">
        <v>0</v>
      </c>
      <c r="N956" t="n">
        <v>0</v>
      </c>
      <c r="O956" t="n">
        <v>0</v>
      </c>
      <c r="P956" t="n">
        <v>0</v>
      </c>
      <c r="Q956" t="n">
        <v>0</v>
      </c>
      <c r="R956" s="2" t="inlineStr"/>
    </row>
    <row r="957" ht="15" customHeight="1">
      <c r="A957" t="inlineStr">
        <is>
          <t>A 27954-2024</t>
        </is>
      </c>
      <c r="B957" s="1" t="n">
        <v>45476</v>
      </c>
      <c r="C957" s="1" t="n">
        <v>46012</v>
      </c>
      <c r="D957" t="inlineStr">
        <is>
          <t>JÄMTLANDS LÄN</t>
        </is>
      </c>
      <c r="E957" t="inlineStr">
        <is>
          <t>KROKOM</t>
        </is>
      </c>
      <c r="G957" t="n">
        <v>0.1</v>
      </c>
      <c r="H957" t="n">
        <v>0</v>
      </c>
      <c r="I957" t="n">
        <v>0</v>
      </c>
      <c r="J957" t="n">
        <v>0</v>
      </c>
      <c r="K957" t="n">
        <v>0</v>
      </c>
      <c r="L957" t="n">
        <v>0</v>
      </c>
      <c r="M957" t="n">
        <v>0</v>
      </c>
      <c r="N957" t="n">
        <v>0</v>
      </c>
      <c r="O957" t="n">
        <v>0</v>
      </c>
      <c r="P957" t="n">
        <v>0</v>
      </c>
      <c r="Q957" t="n">
        <v>0</v>
      </c>
      <c r="R957" s="2" t="inlineStr"/>
    </row>
    <row r="958" ht="15" customHeight="1">
      <c r="A958" t="inlineStr">
        <is>
          <t>A 51060-2024</t>
        </is>
      </c>
      <c r="B958" s="1" t="n">
        <v>45603.44815972223</v>
      </c>
      <c r="C958" s="1" t="n">
        <v>46012</v>
      </c>
      <c r="D958" t="inlineStr">
        <is>
          <t>JÄMTLANDS LÄN</t>
        </is>
      </c>
      <c r="E958" t="inlineStr">
        <is>
          <t>KROKOM</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74011-2021</t>
        </is>
      </c>
      <c r="B959" s="1" t="n">
        <v>44557</v>
      </c>
      <c r="C959" s="1" t="n">
        <v>46012</v>
      </c>
      <c r="D959" t="inlineStr">
        <is>
          <t>JÄMTLANDS LÄN</t>
        </is>
      </c>
      <c r="E959" t="inlineStr">
        <is>
          <t>KROKOM</t>
        </is>
      </c>
      <c r="G959" t="n">
        <v>33.2</v>
      </c>
      <c r="H959" t="n">
        <v>0</v>
      </c>
      <c r="I959" t="n">
        <v>0</v>
      </c>
      <c r="J959" t="n">
        <v>0</v>
      </c>
      <c r="K959" t="n">
        <v>0</v>
      </c>
      <c r="L959" t="n">
        <v>0</v>
      </c>
      <c r="M959" t="n">
        <v>0</v>
      </c>
      <c r="N959" t="n">
        <v>0</v>
      </c>
      <c r="O959" t="n">
        <v>0</v>
      </c>
      <c r="P959" t="n">
        <v>0</v>
      </c>
      <c r="Q959" t="n">
        <v>0</v>
      </c>
      <c r="R959" s="2" t="inlineStr"/>
    </row>
    <row r="960" ht="15" customHeight="1">
      <c r="A960" t="inlineStr">
        <is>
          <t>A 9313-2025</t>
        </is>
      </c>
      <c r="B960" s="1" t="n">
        <v>45714.69212962963</v>
      </c>
      <c r="C960" s="1" t="n">
        <v>46012</v>
      </c>
      <c r="D960" t="inlineStr">
        <is>
          <t>JÄMTLANDS LÄN</t>
        </is>
      </c>
      <c r="E960" t="inlineStr">
        <is>
          <t>KROKOM</t>
        </is>
      </c>
      <c r="F960" t="inlineStr">
        <is>
          <t>Kyrkan</t>
        </is>
      </c>
      <c r="G960" t="n">
        <v>3.3</v>
      </c>
      <c r="H960" t="n">
        <v>0</v>
      </c>
      <c r="I960" t="n">
        <v>0</v>
      </c>
      <c r="J960" t="n">
        <v>0</v>
      </c>
      <c r="K960" t="n">
        <v>0</v>
      </c>
      <c r="L960" t="n">
        <v>0</v>
      </c>
      <c r="M960" t="n">
        <v>0</v>
      </c>
      <c r="N960" t="n">
        <v>0</v>
      </c>
      <c r="O960" t="n">
        <v>0</v>
      </c>
      <c r="P960" t="n">
        <v>0</v>
      </c>
      <c r="Q960" t="n">
        <v>0</v>
      </c>
      <c r="R960" s="2" t="inlineStr"/>
    </row>
    <row r="961" ht="15" customHeight="1">
      <c r="A961" t="inlineStr">
        <is>
          <t>A 15231-2022</t>
        </is>
      </c>
      <c r="B961" s="1" t="n">
        <v>44658</v>
      </c>
      <c r="C961" s="1" t="n">
        <v>46012</v>
      </c>
      <c r="D961" t="inlineStr">
        <is>
          <t>JÄMTLANDS LÄN</t>
        </is>
      </c>
      <c r="E961" t="inlineStr">
        <is>
          <t>KROKOM</t>
        </is>
      </c>
      <c r="G961" t="n">
        <v>5.7</v>
      </c>
      <c r="H961" t="n">
        <v>0</v>
      </c>
      <c r="I961" t="n">
        <v>0</v>
      </c>
      <c r="J961" t="n">
        <v>0</v>
      </c>
      <c r="K961" t="n">
        <v>0</v>
      </c>
      <c r="L961" t="n">
        <v>0</v>
      </c>
      <c r="M961" t="n">
        <v>0</v>
      </c>
      <c r="N961" t="n">
        <v>0</v>
      </c>
      <c r="O961" t="n">
        <v>0</v>
      </c>
      <c r="P961" t="n">
        <v>0</v>
      </c>
      <c r="Q961" t="n">
        <v>0</v>
      </c>
      <c r="R961" s="2" t="inlineStr"/>
    </row>
    <row r="962" ht="15" customHeight="1">
      <c r="A962" t="inlineStr">
        <is>
          <t>A 47721-2024</t>
        </is>
      </c>
      <c r="B962" s="1" t="n">
        <v>45588</v>
      </c>
      <c r="C962" s="1" t="n">
        <v>46012</v>
      </c>
      <c r="D962" t="inlineStr">
        <is>
          <t>JÄMTLANDS LÄN</t>
        </is>
      </c>
      <c r="E962" t="inlineStr">
        <is>
          <t>KROKOM</t>
        </is>
      </c>
      <c r="G962" t="n">
        <v>19.2</v>
      </c>
      <c r="H962" t="n">
        <v>0</v>
      </c>
      <c r="I962" t="n">
        <v>0</v>
      </c>
      <c r="J962" t="n">
        <v>0</v>
      </c>
      <c r="K962" t="n">
        <v>0</v>
      </c>
      <c r="L962" t="n">
        <v>0</v>
      </c>
      <c r="M962" t="n">
        <v>0</v>
      </c>
      <c r="N962" t="n">
        <v>0</v>
      </c>
      <c r="O962" t="n">
        <v>0</v>
      </c>
      <c r="P962" t="n">
        <v>0</v>
      </c>
      <c r="Q962" t="n">
        <v>0</v>
      </c>
      <c r="R962" s="2" t="inlineStr"/>
    </row>
    <row r="963" ht="15" customHeight="1">
      <c r="A963" t="inlineStr">
        <is>
          <t>A 41675-2024</t>
        </is>
      </c>
      <c r="B963" s="1" t="n">
        <v>45560.6599537037</v>
      </c>
      <c r="C963" s="1" t="n">
        <v>46012</v>
      </c>
      <c r="D963" t="inlineStr">
        <is>
          <t>JÄMTLANDS LÄN</t>
        </is>
      </c>
      <c r="E963" t="inlineStr">
        <is>
          <t>KROKOM</t>
        </is>
      </c>
      <c r="G963" t="n">
        <v>7</v>
      </c>
      <c r="H963" t="n">
        <v>0</v>
      </c>
      <c r="I963" t="n">
        <v>0</v>
      </c>
      <c r="J963" t="n">
        <v>0</v>
      </c>
      <c r="K963" t="n">
        <v>0</v>
      </c>
      <c r="L963" t="n">
        <v>0</v>
      </c>
      <c r="M963" t="n">
        <v>0</v>
      </c>
      <c r="N963" t="n">
        <v>0</v>
      </c>
      <c r="O963" t="n">
        <v>0</v>
      </c>
      <c r="P963" t="n">
        <v>0</v>
      </c>
      <c r="Q963" t="n">
        <v>0</v>
      </c>
      <c r="R963" s="2" t="inlineStr"/>
    </row>
    <row r="964" ht="15" customHeight="1">
      <c r="A964" t="inlineStr">
        <is>
          <t>A 6342-2025</t>
        </is>
      </c>
      <c r="B964" s="1" t="n">
        <v>45699</v>
      </c>
      <c r="C964" s="1" t="n">
        <v>46012</v>
      </c>
      <c r="D964" t="inlineStr">
        <is>
          <t>JÄMTLANDS LÄN</t>
        </is>
      </c>
      <c r="E964" t="inlineStr">
        <is>
          <t>KROKOM</t>
        </is>
      </c>
      <c r="F964" t="inlineStr">
        <is>
          <t>Övriga Aktiebolag</t>
        </is>
      </c>
      <c r="G964" t="n">
        <v>6.5</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44988.94056712963</v>
      </c>
      <c r="C965" s="1" t="n">
        <v>46012</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46632-2023</t>
        </is>
      </c>
      <c r="B966" s="1" t="n">
        <v>45198.42734953704</v>
      </c>
      <c r="C966" s="1" t="n">
        <v>46012</v>
      </c>
      <c r="D966" t="inlineStr">
        <is>
          <t>JÄMTLANDS LÄN</t>
        </is>
      </c>
      <c r="E966" t="inlineStr">
        <is>
          <t>KROKOM</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18476-2022</t>
        </is>
      </c>
      <c r="B967" s="1" t="n">
        <v>44686</v>
      </c>
      <c r="C967" s="1" t="n">
        <v>46012</v>
      </c>
      <c r="D967" t="inlineStr">
        <is>
          <t>JÄMTLANDS LÄN</t>
        </is>
      </c>
      <c r="E967" t="inlineStr">
        <is>
          <t>KROKOM</t>
        </is>
      </c>
      <c r="G967" t="n">
        <v>11.7</v>
      </c>
      <c r="H967" t="n">
        <v>0</v>
      </c>
      <c r="I967" t="n">
        <v>0</v>
      </c>
      <c r="J967" t="n">
        <v>0</v>
      </c>
      <c r="K967" t="n">
        <v>0</v>
      </c>
      <c r="L967" t="n">
        <v>0</v>
      </c>
      <c r="M967" t="n">
        <v>0</v>
      </c>
      <c r="N967" t="n">
        <v>0</v>
      </c>
      <c r="O967" t="n">
        <v>0</v>
      </c>
      <c r="P967" t="n">
        <v>0</v>
      </c>
      <c r="Q967" t="n">
        <v>0</v>
      </c>
      <c r="R967" s="2" t="inlineStr"/>
    </row>
    <row r="968" ht="15" customHeight="1">
      <c r="A968" t="inlineStr">
        <is>
          <t>A 44296-2024</t>
        </is>
      </c>
      <c r="B968" s="1" t="n">
        <v>45573.54893518519</v>
      </c>
      <c r="C968" s="1" t="n">
        <v>46012</v>
      </c>
      <c r="D968" t="inlineStr">
        <is>
          <t>JÄMTLANDS LÄN</t>
        </is>
      </c>
      <c r="E968" t="inlineStr">
        <is>
          <t>KROKOM</t>
        </is>
      </c>
      <c r="G968" t="n">
        <v>6.1</v>
      </c>
      <c r="H968" t="n">
        <v>0</v>
      </c>
      <c r="I968" t="n">
        <v>0</v>
      </c>
      <c r="J968" t="n">
        <v>0</v>
      </c>
      <c r="K968" t="n">
        <v>0</v>
      </c>
      <c r="L968" t="n">
        <v>0</v>
      </c>
      <c r="M968" t="n">
        <v>0</v>
      </c>
      <c r="N968" t="n">
        <v>0</v>
      </c>
      <c r="O968" t="n">
        <v>0</v>
      </c>
      <c r="P968" t="n">
        <v>0</v>
      </c>
      <c r="Q968" t="n">
        <v>0</v>
      </c>
      <c r="R968" s="2" t="inlineStr"/>
    </row>
    <row r="969" ht="15" customHeight="1">
      <c r="A969" t="inlineStr">
        <is>
          <t>A 19698-2024</t>
        </is>
      </c>
      <c r="B969" s="1" t="n">
        <v>45432.54027777778</v>
      </c>
      <c r="C969" s="1" t="n">
        <v>46012</v>
      </c>
      <c r="D969" t="inlineStr">
        <is>
          <t>JÄMTLANDS LÄN</t>
        </is>
      </c>
      <c r="E969" t="inlineStr">
        <is>
          <t>KROKOM</t>
        </is>
      </c>
      <c r="G969" t="n">
        <v>15.9</v>
      </c>
      <c r="H969" t="n">
        <v>0</v>
      </c>
      <c r="I969" t="n">
        <v>0</v>
      </c>
      <c r="J969" t="n">
        <v>0</v>
      </c>
      <c r="K969" t="n">
        <v>0</v>
      </c>
      <c r="L969" t="n">
        <v>0</v>
      </c>
      <c r="M969" t="n">
        <v>0</v>
      </c>
      <c r="N969" t="n">
        <v>0</v>
      </c>
      <c r="O969" t="n">
        <v>0</v>
      </c>
      <c r="P969" t="n">
        <v>0</v>
      </c>
      <c r="Q969" t="n">
        <v>0</v>
      </c>
      <c r="R969" s="2" t="inlineStr"/>
    </row>
    <row r="970" ht="15" customHeight="1">
      <c r="A970" t="inlineStr">
        <is>
          <t>A 42825-2023</t>
        </is>
      </c>
      <c r="B970" s="1" t="n">
        <v>45182</v>
      </c>
      <c r="C970" s="1" t="n">
        <v>46012</v>
      </c>
      <c r="D970" t="inlineStr">
        <is>
          <t>JÄMTLANDS LÄN</t>
        </is>
      </c>
      <c r="E970" t="inlineStr">
        <is>
          <t>KROKOM</t>
        </is>
      </c>
      <c r="G970" t="n">
        <v>0.2</v>
      </c>
      <c r="H970" t="n">
        <v>0</v>
      </c>
      <c r="I970" t="n">
        <v>0</v>
      </c>
      <c r="J970" t="n">
        <v>0</v>
      </c>
      <c r="K970" t="n">
        <v>0</v>
      </c>
      <c r="L970" t="n">
        <v>0</v>
      </c>
      <c r="M970" t="n">
        <v>0</v>
      </c>
      <c r="N970" t="n">
        <v>0</v>
      </c>
      <c r="O970" t="n">
        <v>0</v>
      </c>
      <c r="P970" t="n">
        <v>0</v>
      </c>
      <c r="Q970" t="n">
        <v>0</v>
      </c>
      <c r="R970" s="2" t="inlineStr"/>
    </row>
    <row r="971" ht="15" customHeight="1">
      <c r="A971" t="inlineStr">
        <is>
          <t>A 52590-2023</t>
        </is>
      </c>
      <c r="B971" s="1" t="n">
        <v>45225.60212962963</v>
      </c>
      <c r="C971" s="1" t="n">
        <v>46012</v>
      </c>
      <c r="D971" t="inlineStr">
        <is>
          <t>JÄMTLANDS LÄN</t>
        </is>
      </c>
      <c r="E971" t="inlineStr">
        <is>
          <t>KROKOM</t>
        </is>
      </c>
      <c r="G971" t="n">
        <v>9</v>
      </c>
      <c r="H971" t="n">
        <v>0</v>
      </c>
      <c r="I971" t="n">
        <v>0</v>
      </c>
      <c r="J971" t="n">
        <v>0</v>
      </c>
      <c r="K971" t="n">
        <v>0</v>
      </c>
      <c r="L971" t="n">
        <v>0</v>
      </c>
      <c r="M971" t="n">
        <v>0</v>
      </c>
      <c r="N971" t="n">
        <v>0</v>
      </c>
      <c r="O971" t="n">
        <v>0</v>
      </c>
      <c r="P971" t="n">
        <v>0</v>
      </c>
      <c r="Q971" t="n">
        <v>0</v>
      </c>
      <c r="R971" s="2" t="inlineStr"/>
    </row>
    <row r="972" ht="15" customHeight="1">
      <c r="A972" t="inlineStr">
        <is>
          <t>A 47838-2023</t>
        </is>
      </c>
      <c r="B972" s="1" t="n">
        <v>45204</v>
      </c>
      <c r="C972" s="1" t="n">
        <v>46012</v>
      </c>
      <c r="D972" t="inlineStr">
        <is>
          <t>JÄMTLANDS LÄN</t>
        </is>
      </c>
      <c r="E972" t="inlineStr">
        <is>
          <t>KROKOM</t>
        </is>
      </c>
      <c r="G972" t="n">
        <v>11.8</v>
      </c>
      <c r="H972" t="n">
        <v>0</v>
      </c>
      <c r="I972" t="n">
        <v>0</v>
      </c>
      <c r="J972" t="n">
        <v>0</v>
      </c>
      <c r="K972" t="n">
        <v>0</v>
      </c>
      <c r="L972" t="n">
        <v>0</v>
      </c>
      <c r="M972" t="n">
        <v>0</v>
      </c>
      <c r="N972" t="n">
        <v>0</v>
      </c>
      <c r="O972" t="n">
        <v>0</v>
      </c>
      <c r="P972" t="n">
        <v>0</v>
      </c>
      <c r="Q972" t="n">
        <v>0</v>
      </c>
      <c r="R972" s="2" t="inlineStr"/>
    </row>
    <row r="973" ht="15" customHeight="1">
      <c r="A973" t="inlineStr">
        <is>
          <t>A 5907-2025</t>
        </is>
      </c>
      <c r="B973" s="1" t="n">
        <v>45695.4046875</v>
      </c>
      <c r="C973" s="1" t="n">
        <v>46012</v>
      </c>
      <c r="D973" t="inlineStr">
        <is>
          <t>JÄMTLANDS LÄN</t>
        </is>
      </c>
      <c r="E973" t="inlineStr">
        <is>
          <t>KROKOM</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5920-2025</t>
        </is>
      </c>
      <c r="B974" s="1" t="n">
        <v>45695.42418981482</v>
      </c>
      <c r="C974" s="1" t="n">
        <v>46012</v>
      </c>
      <c r="D974" t="inlineStr">
        <is>
          <t>JÄMTLANDS LÄN</t>
        </is>
      </c>
      <c r="E974" t="inlineStr">
        <is>
          <t>KROKOM</t>
        </is>
      </c>
      <c r="F974" t="inlineStr">
        <is>
          <t>Övriga Aktiebolag</t>
        </is>
      </c>
      <c r="G974" t="n">
        <v>6.8</v>
      </c>
      <c r="H974" t="n">
        <v>0</v>
      </c>
      <c r="I974" t="n">
        <v>0</v>
      </c>
      <c r="J974" t="n">
        <v>0</v>
      </c>
      <c r="K974" t="n">
        <v>0</v>
      </c>
      <c r="L974" t="n">
        <v>0</v>
      </c>
      <c r="M974" t="n">
        <v>0</v>
      </c>
      <c r="N974" t="n">
        <v>0</v>
      </c>
      <c r="O974" t="n">
        <v>0</v>
      </c>
      <c r="P974" t="n">
        <v>0</v>
      </c>
      <c r="Q974" t="n">
        <v>0</v>
      </c>
      <c r="R974" s="2" t="inlineStr"/>
    </row>
    <row r="975" ht="15" customHeight="1">
      <c r="A975" t="inlineStr">
        <is>
          <t>A 42393-2024</t>
        </is>
      </c>
      <c r="B975" s="1" t="n">
        <v>45565.32449074074</v>
      </c>
      <c r="C975" s="1" t="n">
        <v>46012</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40221-2024</t>
        </is>
      </c>
      <c r="B976" s="1" t="n">
        <v>45554.59550925926</v>
      </c>
      <c r="C976" s="1" t="n">
        <v>46012</v>
      </c>
      <c r="D976" t="inlineStr">
        <is>
          <t>JÄMTLANDS LÄN</t>
        </is>
      </c>
      <c r="E976" t="inlineStr">
        <is>
          <t>KROKOM</t>
        </is>
      </c>
      <c r="G976" t="n">
        <v>2.6</v>
      </c>
      <c r="H976" t="n">
        <v>0</v>
      </c>
      <c r="I976" t="n">
        <v>0</v>
      </c>
      <c r="J976" t="n">
        <v>0</v>
      </c>
      <c r="K976" t="n">
        <v>0</v>
      </c>
      <c r="L976" t="n">
        <v>0</v>
      </c>
      <c r="M976" t="n">
        <v>0</v>
      </c>
      <c r="N976" t="n">
        <v>0</v>
      </c>
      <c r="O976" t="n">
        <v>0</v>
      </c>
      <c r="P976" t="n">
        <v>0</v>
      </c>
      <c r="Q976" t="n">
        <v>0</v>
      </c>
      <c r="R976" s="2" t="inlineStr"/>
    </row>
    <row r="977" ht="15" customHeight="1">
      <c r="A977" t="inlineStr">
        <is>
          <t>A 62131-2024</t>
        </is>
      </c>
      <c r="B977" s="1" t="n">
        <v>45656</v>
      </c>
      <c r="C977" s="1" t="n">
        <v>46012</v>
      </c>
      <c r="D977" t="inlineStr">
        <is>
          <t>JÄMTLANDS LÄN</t>
        </is>
      </c>
      <c r="E977" t="inlineStr">
        <is>
          <t>KROKOM</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15310-2025</t>
        </is>
      </c>
      <c r="B978" s="1" t="n">
        <v>45746.79134259259</v>
      </c>
      <c r="C978" s="1" t="n">
        <v>46012</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9796-2025</t>
        </is>
      </c>
      <c r="B979" s="1" t="n">
        <v>45716.55237268518</v>
      </c>
      <c r="C979" s="1" t="n">
        <v>46012</v>
      </c>
      <c r="D979" t="inlineStr">
        <is>
          <t>JÄMTLANDS LÄN</t>
        </is>
      </c>
      <c r="E979" t="inlineStr">
        <is>
          <t>KROKOM</t>
        </is>
      </c>
      <c r="F979" t="inlineStr">
        <is>
          <t>SCA</t>
        </is>
      </c>
      <c r="G979" t="n">
        <v>7.3</v>
      </c>
      <c r="H979" t="n">
        <v>0</v>
      </c>
      <c r="I979" t="n">
        <v>0</v>
      </c>
      <c r="J979" t="n">
        <v>0</v>
      </c>
      <c r="K979" t="n">
        <v>0</v>
      </c>
      <c r="L979" t="n">
        <v>0</v>
      </c>
      <c r="M979" t="n">
        <v>0</v>
      </c>
      <c r="N979" t="n">
        <v>0</v>
      </c>
      <c r="O979" t="n">
        <v>0</v>
      </c>
      <c r="P979" t="n">
        <v>0</v>
      </c>
      <c r="Q979" t="n">
        <v>0</v>
      </c>
      <c r="R979" s="2" t="inlineStr"/>
    </row>
    <row r="980" ht="15" customHeight="1">
      <c r="A980" t="inlineStr">
        <is>
          <t>A 1323-2025</t>
        </is>
      </c>
      <c r="B980" s="1" t="n">
        <v>45667.57217592592</v>
      </c>
      <c r="C980" s="1" t="n">
        <v>46012</v>
      </c>
      <c r="D980" t="inlineStr">
        <is>
          <t>JÄMTLANDS LÄN</t>
        </is>
      </c>
      <c r="E980" t="inlineStr">
        <is>
          <t>KROKOM</t>
        </is>
      </c>
      <c r="G980" t="n">
        <v>5.9</v>
      </c>
      <c r="H980" t="n">
        <v>0</v>
      </c>
      <c r="I980" t="n">
        <v>0</v>
      </c>
      <c r="J980" t="n">
        <v>0</v>
      </c>
      <c r="K980" t="n">
        <v>0</v>
      </c>
      <c r="L980" t="n">
        <v>0</v>
      </c>
      <c r="M980" t="n">
        <v>0</v>
      </c>
      <c r="N980" t="n">
        <v>0</v>
      </c>
      <c r="O980" t="n">
        <v>0</v>
      </c>
      <c r="P980" t="n">
        <v>0</v>
      </c>
      <c r="Q980" t="n">
        <v>0</v>
      </c>
      <c r="R980" s="2" t="inlineStr"/>
    </row>
    <row r="981" ht="15" customHeight="1">
      <c r="A981" t="inlineStr">
        <is>
          <t>A 6524-2025</t>
        </is>
      </c>
      <c r="B981" s="1" t="n">
        <v>45699.66576388889</v>
      </c>
      <c r="C981" s="1" t="n">
        <v>46012</v>
      </c>
      <c r="D981" t="inlineStr">
        <is>
          <t>JÄMTLANDS LÄN</t>
        </is>
      </c>
      <c r="E981" t="inlineStr">
        <is>
          <t>KROKOM</t>
        </is>
      </c>
      <c r="F981" t="inlineStr">
        <is>
          <t>Övriga Aktiebolag</t>
        </is>
      </c>
      <c r="G981" t="n">
        <v>51.6</v>
      </c>
      <c r="H981" t="n">
        <v>0</v>
      </c>
      <c r="I981" t="n">
        <v>0</v>
      </c>
      <c r="J981" t="n">
        <v>0</v>
      </c>
      <c r="K981" t="n">
        <v>0</v>
      </c>
      <c r="L981" t="n">
        <v>0</v>
      </c>
      <c r="M981" t="n">
        <v>0</v>
      </c>
      <c r="N981" t="n">
        <v>0</v>
      </c>
      <c r="O981" t="n">
        <v>0</v>
      </c>
      <c r="P981" t="n">
        <v>0</v>
      </c>
      <c r="Q981" t="n">
        <v>0</v>
      </c>
      <c r="R981" s="2" t="inlineStr"/>
    </row>
    <row r="982" ht="15" customHeight="1">
      <c r="A982" t="inlineStr">
        <is>
          <t>A 46046-2023</t>
        </is>
      </c>
      <c r="B982" s="1" t="n">
        <v>45190</v>
      </c>
      <c r="C982" s="1" t="n">
        <v>46012</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4423-2025</t>
        </is>
      </c>
      <c r="B983" s="1" t="n">
        <v>45686</v>
      </c>
      <c r="C983" s="1" t="n">
        <v>46012</v>
      </c>
      <c r="D983" t="inlineStr">
        <is>
          <t>JÄMTLANDS LÄN</t>
        </is>
      </c>
      <c r="E983" t="inlineStr">
        <is>
          <t>KROKOM</t>
        </is>
      </c>
      <c r="G983" t="n">
        <v>17.3</v>
      </c>
      <c r="H983" t="n">
        <v>0</v>
      </c>
      <c r="I983" t="n">
        <v>0</v>
      </c>
      <c r="J983" t="n">
        <v>0</v>
      </c>
      <c r="K983" t="n">
        <v>0</v>
      </c>
      <c r="L983" t="n">
        <v>0</v>
      </c>
      <c r="M983" t="n">
        <v>0</v>
      </c>
      <c r="N983" t="n">
        <v>0</v>
      </c>
      <c r="O983" t="n">
        <v>0</v>
      </c>
      <c r="P983" t="n">
        <v>0</v>
      </c>
      <c r="Q983" t="n">
        <v>0</v>
      </c>
      <c r="R983" s="2" t="inlineStr"/>
    </row>
    <row r="984" ht="15" customHeight="1">
      <c r="A984" t="inlineStr">
        <is>
          <t>A 41784-2023</t>
        </is>
      </c>
      <c r="B984" s="1" t="n">
        <v>45176</v>
      </c>
      <c r="C984" s="1" t="n">
        <v>46012</v>
      </c>
      <c r="D984" t="inlineStr">
        <is>
          <t>JÄMTLANDS LÄN</t>
        </is>
      </c>
      <c r="E984" t="inlineStr">
        <is>
          <t>KROKOM</t>
        </is>
      </c>
      <c r="F984" t="inlineStr">
        <is>
          <t>Övriga Aktiebolag</t>
        </is>
      </c>
      <c r="G984" t="n">
        <v>3.1</v>
      </c>
      <c r="H984" t="n">
        <v>0</v>
      </c>
      <c r="I984" t="n">
        <v>0</v>
      </c>
      <c r="J984" t="n">
        <v>0</v>
      </c>
      <c r="K984" t="n">
        <v>0</v>
      </c>
      <c r="L984" t="n">
        <v>0</v>
      </c>
      <c r="M984" t="n">
        <v>0</v>
      </c>
      <c r="N984" t="n">
        <v>0</v>
      </c>
      <c r="O984" t="n">
        <v>0</v>
      </c>
      <c r="P984" t="n">
        <v>0</v>
      </c>
      <c r="Q984" t="n">
        <v>0</v>
      </c>
      <c r="R984" s="2" t="inlineStr"/>
    </row>
    <row r="985" ht="15" customHeight="1">
      <c r="A985" t="inlineStr">
        <is>
          <t>A 5785-2025</t>
        </is>
      </c>
      <c r="B985" s="1" t="n">
        <v>45694.64416666667</v>
      </c>
      <c r="C985" s="1" t="n">
        <v>46012</v>
      </c>
      <c r="D985" t="inlineStr">
        <is>
          <t>JÄMTLANDS LÄN</t>
        </is>
      </c>
      <c r="E985" t="inlineStr">
        <is>
          <t>KROKOM</t>
        </is>
      </c>
      <c r="F985" t="inlineStr">
        <is>
          <t>Övriga Aktiebolag</t>
        </is>
      </c>
      <c r="G985" t="n">
        <v>4.2</v>
      </c>
      <c r="H985" t="n">
        <v>0</v>
      </c>
      <c r="I985" t="n">
        <v>0</v>
      </c>
      <c r="J985" t="n">
        <v>0</v>
      </c>
      <c r="K985" t="n">
        <v>0</v>
      </c>
      <c r="L985" t="n">
        <v>0</v>
      </c>
      <c r="M985" t="n">
        <v>0</v>
      </c>
      <c r="N985" t="n">
        <v>0</v>
      </c>
      <c r="O985" t="n">
        <v>0</v>
      </c>
      <c r="P985" t="n">
        <v>0</v>
      </c>
      <c r="Q985" t="n">
        <v>0</v>
      </c>
      <c r="R985" s="2" t="inlineStr"/>
    </row>
    <row r="986" ht="15" customHeight="1">
      <c r="A986" t="inlineStr">
        <is>
          <t>A 54975-2024</t>
        </is>
      </c>
      <c r="B986" s="1" t="n">
        <v>45620.67667824074</v>
      </c>
      <c r="C986" s="1" t="n">
        <v>46012</v>
      </c>
      <c r="D986" t="inlineStr">
        <is>
          <t>JÄMTLANDS LÄN</t>
        </is>
      </c>
      <c r="E986" t="inlineStr">
        <is>
          <t>KROKOM</t>
        </is>
      </c>
      <c r="G986" t="n">
        <v>24.1</v>
      </c>
      <c r="H986" t="n">
        <v>0</v>
      </c>
      <c r="I986" t="n">
        <v>0</v>
      </c>
      <c r="J986" t="n">
        <v>0</v>
      </c>
      <c r="K986" t="n">
        <v>0</v>
      </c>
      <c r="L986" t="n">
        <v>0</v>
      </c>
      <c r="M986" t="n">
        <v>0</v>
      </c>
      <c r="N986" t="n">
        <v>0</v>
      </c>
      <c r="O986" t="n">
        <v>0</v>
      </c>
      <c r="P986" t="n">
        <v>0</v>
      </c>
      <c r="Q986" t="n">
        <v>0</v>
      </c>
      <c r="R986" s="2" t="inlineStr"/>
    </row>
    <row r="987" ht="15" customHeight="1">
      <c r="A987" t="inlineStr">
        <is>
          <t>A 54043-2023</t>
        </is>
      </c>
      <c r="B987" s="1" t="n">
        <v>45231</v>
      </c>
      <c r="C987" s="1" t="n">
        <v>46012</v>
      </c>
      <c r="D987" t="inlineStr">
        <is>
          <t>JÄMTLANDS LÄN</t>
        </is>
      </c>
      <c r="E987" t="inlineStr">
        <is>
          <t>KROKOM</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692-2025</t>
        </is>
      </c>
      <c r="B988" s="1" t="n">
        <v>45662</v>
      </c>
      <c r="C988" s="1" t="n">
        <v>46012</v>
      </c>
      <c r="D988" t="inlineStr">
        <is>
          <t>JÄMTLANDS LÄN</t>
        </is>
      </c>
      <c r="E988" t="inlineStr">
        <is>
          <t>KROKOM</t>
        </is>
      </c>
      <c r="G988" t="n">
        <v>20</v>
      </c>
      <c r="H988" t="n">
        <v>0</v>
      </c>
      <c r="I988" t="n">
        <v>0</v>
      </c>
      <c r="J988" t="n">
        <v>0</v>
      </c>
      <c r="K988" t="n">
        <v>0</v>
      </c>
      <c r="L988" t="n">
        <v>0</v>
      </c>
      <c r="M988" t="n">
        <v>0</v>
      </c>
      <c r="N988" t="n">
        <v>0</v>
      </c>
      <c r="O988" t="n">
        <v>0</v>
      </c>
      <c r="P988" t="n">
        <v>0</v>
      </c>
      <c r="Q988" t="n">
        <v>0</v>
      </c>
      <c r="R988" s="2" t="inlineStr"/>
    </row>
    <row r="989" ht="15" customHeight="1">
      <c r="A989" t="inlineStr">
        <is>
          <t>A 15524-2024</t>
        </is>
      </c>
      <c r="B989" s="1" t="n">
        <v>45401.59133101852</v>
      </c>
      <c r="C989" s="1" t="n">
        <v>46012</v>
      </c>
      <c r="D989" t="inlineStr">
        <is>
          <t>JÄMTLANDS LÄN</t>
        </is>
      </c>
      <c r="E989" t="inlineStr">
        <is>
          <t>KROKOM</t>
        </is>
      </c>
      <c r="G989" t="n">
        <v>2.4</v>
      </c>
      <c r="H989" t="n">
        <v>0</v>
      </c>
      <c r="I989" t="n">
        <v>0</v>
      </c>
      <c r="J989" t="n">
        <v>0</v>
      </c>
      <c r="K989" t="n">
        <v>0</v>
      </c>
      <c r="L989" t="n">
        <v>0</v>
      </c>
      <c r="M989" t="n">
        <v>0</v>
      </c>
      <c r="N989" t="n">
        <v>0</v>
      </c>
      <c r="O989" t="n">
        <v>0</v>
      </c>
      <c r="P989" t="n">
        <v>0</v>
      </c>
      <c r="Q989" t="n">
        <v>0</v>
      </c>
      <c r="R989" s="2" t="inlineStr"/>
    </row>
    <row r="990" ht="15" customHeight="1">
      <c r="A990" t="inlineStr">
        <is>
          <t>A 5637-2025</t>
        </is>
      </c>
      <c r="B990" s="1" t="n">
        <v>45693.67361111111</v>
      </c>
      <c r="C990" s="1" t="n">
        <v>46012</v>
      </c>
      <c r="D990" t="inlineStr">
        <is>
          <t>JÄMTLANDS LÄN</t>
        </is>
      </c>
      <c r="E990" t="inlineStr">
        <is>
          <t>KROKOM</t>
        </is>
      </c>
      <c r="F990" t="inlineStr">
        <is>
          <t>Övriga Aktiebolag</t>
        </is>
      </c>
      <c r="G990" t="n">
        <v>57.8</v>
      </c>
      <c r="H990" t="n">
        <v>0</v>
      </c>
      <c r="I990" t="n">
        <v>0</v>
      </c>
      <c r="J990" t="n">
        <v>0</v>
      </c>
      <c r="K990" t="n">
        <v>0</v>
      </c>
      <c r="L990" t="n">
        <v>0</v>
      </c>
      <c r="M990" t="n">
        <v>0</v>
      </c>
      <c r="N990" t="n">
        <v>0</v>
      </c>
      <c r="O990" t="n">
        <v>0</v>
      </c>
      <c r="P990" t="n">
        <v>0</v>
      </c>
      <c r="Q990" t="n">
        <v>0</v>
      </c>
      <c r="R990" s="2" t="inlineStr"/>
    </row>
    <row r="991" ht="15" customHeight="1">
      <c r="A991" t="inlineStr">
        <is>
          <t>A 59620-2024</t>
        </is>
      </c>
      <c r="B991" s="1" t="n">
        <v>45638.81385416666</v>
      </c>
      <c r="C991" s="1" t="n">
        <v>46012</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7366-2025</t>
        </is>
      </c>
      <c r="B992" s="1" t="n">
        <v>45704.71069444445</v>
      </c>
      <c r="C992" s="1" t="n">
        <v>46012</v>
      </c>
      <c r="D992" t="inlineStr">
        <is>
          <t>JÄMTLANDS LÄN</t>
        </is>
      </c>
      <c r="E992" t="inlineStr">
        <is>
          <t>KROKOM</t>
        </is>
      </c>
      <c r="F992" t="inlineStr">
        <is>
          <t>Övriga Aktiebolag</t>
        </is>
      </c>
      <c r="G992" t="n">
        <v>7.8</v>
      </c>
      <c r="H992" t="n">
        <v>0</v>
      </c>
      <c r="I992" t="n">
        <v>0</v>
      </c>
      <c r="J992" t="n">
        <v>0</v>
      </c>
      <c r="K992" t="n">
        <v>0</v>
      </c>
      <c r="L992" t="n">
        <v>0</v>
      </c>
      <c r="M992" t="n">
        <v>0</v>
      </c>
      <c r="N992" t="n">
        <v>0</v>
      </c>
      <c r="O992" t="n">
        <v>0</v>
      </c>
      <c r="P992" t="n">
        <v>0</v>
      </c>
      <c r="Q992" t="n">
        <v>0</v>
      </c>
      <c r="R992" s="2" t="inlineStr"/>
    </row>
    <row r="993" ht="15" customHeight="1">
      <c r="A993" t="inlineStr">
        <is>
          <t>A 5364-2025</t>
        </is>
      </c>
      <c r="B993" s="1" t="n">
        <v>45692.58106481482</v>
      </c>
      <c r="C993" s="1" t="n">
        <v>46012</v>
      </c>
      <c r="D993" t="inlineStr">
        <is>
          <t>JÄMTLANDS LÄN</t>
        </is>
      </c>
      <c r="E993" t="inlineStr">
        <is>
          <t>KROKOM</t>
        </is>
      </c>
      <c r="G993" t="n">
        <v>25.4</v>
      </c>
      <c r="H993" t="n">
        <v>0</v>
      </c>
      <c r="I993" t="n">
        <v>0</v>
      </c>
      <c r="J993" t="n">
        <v>0</v>
      </c>
      <c r="K993" t="n">
        <v>0</v>
      </c>
      <c r="L993" t="n">
        <v>0</v>
      </c>
      <c r="M993" t="n">
        <v>0</v>
      </c>
      <c r="N993" t="n">
        <v>0</v>
      </c>
      <c r="O993" t="n">
        <v>0</v>
      </c>
      <c r="P993" t="n">
        <v>0</v>
      </c>
      <c r="Q993" t="n">
        <v>0</v>
      </c>
      <c r="R993" s="2" t="inlineStr"/>
    </row>
    <row r="994" ht="15" customHeight="1">
      <c r="A994" t="inlineStr">
        <is>
          <t>A 27616-2023</t>
        </is>
      </c>
      <c r="B994" s="1" t="n">
        <v>45097</v>
      </c>
      <c r="C994" s="1" t="n">
        <v>46012</v>
      </c>
      <c r="D994" t="inlineStr">
        <is>
          <t>JÄMTLANDS LÄN</t>
        </is>
      </c>
      <c r="E994" t="inlineStr">
        <is>
          <t>KROKOM</t>
        </is>
      </c>
      <c r="F994" t="inlineStr">
        <is>
          <t>Övriga Aktiebolag</t>
        </is>
      </c>
      <c r="G994" t="n">
        <v>13.3</v>
      </c>
      <c r="H994" t="n">
        <v>0</v>
      </c>
      <c r="I994" t="n">
        <v>0</v>
      </c>
      <c r="J994" t="n">
        <v>0</v>
      </c>
      <c r="K994" t="n">
        <v>0</v>
      </c>
      <c r="L994" t="n">
        <v>0</v>
      </c>
      <c r="M994" t="n">
        <v>0</v>
      </c>
      <c r="N994" t="n">
        <v>0</v>
      </c>
      <c r="O994" t="n">
        <v>0</v>
      </c>
      <c r="P994" t="n">
        <v>0</v>
      </c>
      <c r="Q994" t="n">
        <v>0</v>
      </c>
      <c r="R994" s="2" t="inlineStr"/>
    </row>
    <row r="995" ht="15" customHeight="1">
      <c r="A995" t="inlineStr">
        <is>
          <t>A 55831-2024</t>
        </is>
      </c>
      <c r="B995" s="1" t="n">
        <v>45623.48571759259</v>
      </c>
      <c r="C995" s="1" t="n">
        <v>46012</v>
      </c>
      <c r="D995" t="inlineStr">
        <is>
          <t>JÄMTLANDS LÄN</t>
        </is>
      </c>
      <c r="E995" t="inlineStr">
        <is>
          <t>KROKOM</t>
        </is>
      </c>
      <c r="G995" t="n">
        <v>1.6</v>
      </c>
      <c r="H995" t="n">
        <v>0</v>
      </c>
      <c r="I995" t="n">
        <v>0</v>
      </c>
      <c r="J995" t="n">
        <v>0</v>
      </c>
      <c r="K995" t="n">
        <v>0</v>
      </c>
      <c r="L995" t="n">
        <v>0</v>
      </c>
      <c r="M995" t="n">
        <v>0</v>
      </c>
      <c r="N995" t="n">
        <v>0</v>
      </c>
      <c r="O995" t="n">
        <v>0</v>
      </c>
      <c r="P995" t="n">
        <v>0</v>
      </c>
      <c r="Q995" t="n">
        <v>0</v>
      </c>
      <c r="R995" s="2" t="inlineStr"/>
    </row>
    <row r="996" ht="15" customHeight="1">
      <c r="A996" t="inlineStr">
        <is>
          <t>A 7013-2025</t>
        </is>
      </c>
      <c r="B996" s="1" t="n">
        <v>45701.60901620371</v>
      </c>
      <c r="C996" s="1" t="n">
        <v>46012</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5704-2025</t>
        </is>
      </c>
      <c r="B997" s="1" t="n">
        <v>45694.43806712963</v>
      </c>
      <c r="C997" s="1" t="n">
        <v>46012</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2782-2025</t>
        </is>
      </c>
      <c r="B998" s="1" t="n">
        <v>45676</v>
      </c>
      <c r="C998" s="1" t="n">
        <v>46012</v>
      </c>
      <c r="D998" t="inlineStr">
        <is>
          <t>JÄMTLANDS LÄN</t>
        </is>
      </c>
      <c r="E998" t="inlineStr">
        <is>
          <t>KROKOM</t>
        </is>
      </c>
      <c r="G998" t="n">
        <v>18.6</v>
      </c>
      <c r="H998" t="n">
        <v>0</v>
      </c>
      <c r="I998" t="n">
        <v>0</v>
      </c>
      <c r="J998" t="n">
        <v>0</v>
      </c>
      <c r="K998" t="n">
        <v>0</v>
      </c>
      <c r="L998" t="n">
        <v>0</v>
      </c>
      <c r="M998" t="n">
        <v>0</v>
      </c>
      <c r="N998" t="n">
        <v>0</v>
      </c>
      <c r="O998" t="n">
        <v>0</v>
      </c>
      <c r="P998" t="n">
        <v>0</v>
      </c>
      <c r="Q998" t="n">
        <v>0</v>
      </c>
      <c r="R998" s="2" t="inlineStr"/>
    </row>
    <row r="999" ht="15" customHeight="1">
      <c r="A999" t="inlineStr">
        <is>
          <t>A 18080-2025</t>
        </is>
      </c>
      <c r="B999" s="1" t="n">
        <v>45761.50909722222</v>
      </c>
      <c r="C999" s="1" t="n">
        <v>46012</v>
      </c>
      <c r="D999" t="inlineStr">
        <is>
          <t>JÄMTLANDS LÄN</t>
        </is>
      </c>
      <c r="E999" t="inlineStr">
        <is>
          <t>KROKOM</t>
        </is>
      </c>
      <c r="G999" t="n">
        <v>21.9</v>
      </c>
      <c r="H999" t="n">
        <v>0</v>
      </c>
      <c r="I999" t="n">
        <v>0</v>
      </c>
      <c r="J999" t="n">
        <v>0</v>
      </c>
      <c r="K999" t="n">
        <v>0</v>
      </c>
      <c r="L999" t="n">
        <v>0</v>
      </c>
      <c r="M999" t="n">
        <v>0</v>
      </c>
      <c r="N999" t="n">
        <v>0</v>
      </c>
      <c r="O999" t="n">
        <v>0</v>
      </c>
      <c r="P999" t="n">
        <v>0</v>
      </c>
      <c r="Q999" t="n">
        <v>0</v>
      </c>
      <c r="R999" s="2" t="inlineStr"/>
    </row>
    <row r="1000" ht="15" customHeight="1">
      <c r="A1000" t="inlineStr">
        <is>
          <t>A 688-2021</t>
        </is>
      </c>
      <c r="B1000" s="1" t="n">
        <v>44203</v>
      </c>
      <c r="C1000" s="1" t="n">
        <v>46012</v>
      </c>
      <c r="D1000" t="inlineStr">
        <is>
          <t>JÄMTLANDS LÄN</t>
        </is>
      </c>
      <c r="E1000" t="inlineStr">
        <is>
          <t>KROKOM</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51929-2023</t>
        </is>
      </c>
      <c r="B1001" s="1" t="n">
        <v>45216</v>
      </c>
      <c r="C1001" s="1" t="n">
        <v>46012</v>
      </c>
      <c r="D1001" t="inlineStr">
        <is>
          <t>JÄMTLANDS LÄN</t>
        </is>
      </c>
      <c r="E1001" t="inlineStr">
        <is>
          <t>KROKOM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10552-2025</t>
        </is>
      </c>
      <c r="B1002" s="1" t="n">
        <v>45721.5113425926</v>
      </c>
      <c r="C1002" s="1" t="n">
        <v>46012</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7556-2025</t>
        </is>
      </c>
      <c r="B1003" s="1" t="n">
        <v>45705</v>
      </c>
      <c r="C1003" s="1" t="n">
        <v>46012</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53543-2024</t>
        </is>
      </c>
      <c r="B1004" s="1" t="n">
        <v>45614.63697916667</v>
      </c>
      <c r="C1004" s="1" t="n">
        <v>46012</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22865-2022</t>
        </is>
      </c>
      <c r="B1005" s="1" t="n">
        <v>44715.48863425926</v>
      </c>
      <c r="C1005" s="1" t="n">
        <v>46012</v>
      </c>
      <c r="D1005" t="inlineStr">
        <is>
          <t>JÄMTLANDS LÄN</t>
        </is>
      </c>
      <c r="E1005" t="inlineStr">
        <is>
          <t>KROKOM</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16545-2024</t>
        </is>
      </c>
      <c r="B1006" s="1" t="n">
        <v>45408</v>
      </c>
      <c r="C1006" s="1" t="n">
        <v>46012</v>
      </c>
      <c r="D1006" t="inlineStr">
        <is>
          <t>JÄMTLANDS LÄN</t>
        </is>
      </c>
      <c r="E1006" t="inlineStr">
        <is>
          <t>KROKOM</t>
        </is>
      </c>
      <c r="G1006" t="n">
        <v>46.1</v>
      </c>
      <c r="H1006" t="n">
        <v>0</v>
      </c>
      <c r="I1006" t="n">
        <v>0</v>
      </c>
      <c r="J1006" t="n">
        <v>0</v>
      </c>
      <c r="K1006" t="n">
        <v>0</v>
      </c>
      <c r="L1006" t="n">
        <v>0</v>
      </c>
      <c r="M1006" t="n">
        <v>0</v>
      </c>
      <c r="N1006" t="n">
        <v>0</v>
      </c>
      <c r="O1006" t="n">
        <v>0</v>
      </c>
      <c r="P1006" t="n">
        <v>0</v>
      </c>
      <c r="Q1006" t="n">
        <v>0</v>
      </c>
      <c r="R1006" s="2" t="inlineStr"/>
    </row>
    <row r="1007" ht="15" customHeight="1">
      <c r="A1007" t="inlineStr">
        <is>
          <t>A 5558-2025</t>
        </is>
      </c>
      <c r="B1007" s="1" t="n">
        <v>45693.48239583334</v>
      </c>
      <c r="C1007" s="1" t="n">
        <v>46012</v>
      </c>
      <c r="D1007" t="inlineStr">
        <is>
          <t>JÄMTLANDS LÄN</t>
        </is>
      </c>
      <c r="E1007" t="inlineStr">
        <is>
          <t>KROKOM</t>
        </is>
      </c>
      <c r="G1007" t="n">
        <v>31.1</v>
      </c>
      <c r="H1007" t="n">
        <v>0</v>
      </c>
      <c r="I1007" t="n">
        <v>0</v>
      </c>
      <c r="J1007" t="n">
        <v>0</v>
      </c>
      <c r="K1007" t="n">
        <v>0</v>
      </c>
      <c r="L1007" t="n">
        <v>0</v>
      </c>
      <c r="M1007" t="n">
        <v>0</v>
      </c>
      <c r="N1007" t="n">
        <v>0</v>
      </c>
      <c r="O1007" t="n">
        <v>0</v>
      </c>
      <c r="P1007" t="n">
        <v>0</v>
      </c>
      <c r="Q1007" t="n">
        <v>0</v>
      </c>
      <c r="R1007" s="2" t="inlineStr"/>
    </row>
    <row r="1008" ht="15" customHeight="1">
      <c r="A1008" t="inlineStr">
        <is>
          <t>A 6208-2025</t>
        </is>
      </c>
      <c r="B1008" s="1" t="n">
        <v>45698.4930787037</v>
      </c>
      <c r="C1008" s="1" t="n">
        <v>46012</v>
      </c>
      <c r="D1008" t="inlineStr">
        <is>
          <t>JÄMTLANDS LÄN</t>
        </is>
      </c>
      <c r="E1008" t="inlineStr">
        <is>
          <t>KROKOM</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6245-2025</t>
        </is>
      </c>
      <c r="B1009" s="1" t="n">
        <v>45698.57129629629</v>
      </c>
      <c r="C1009" s="1" t="n">
        <v>46012</v>
      </c>
      <c r="D1009" t="inlineStr">
        <is>
          <t>JÄMTLANDS LÄN</t>
        </is>
      </c>
      <c r="E1009" t="inlineStr">
        <is>
          <t>KROKOM</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4383-2025</t>
        </is>
      </c>
      <c r="B1010" s="1" t="n">
        <v>45686.39777777778</v>
      </c>
      <c r="C1010" s="1" t="n">
        <v>46012</v>
      </c>
      <c r="D1010" t="inlineStr">
        <is>
          <t>JÄMTLANDS LÄN</t>
        </is>
      </c>
      <c r="E1010" t="inlineStr">
        <is>
          <t>KROKOM</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56538-2023</t>
        </is>
      </c>
      <c r="B1011" s="1" t="n">
        <v>45238</v>
      </c>
      <c r="C1011" s="1" t="n">
        <v>46012</v>
      </c>
      <c r="D1011" t="inlineStr">
        <is>
          <t>JÄMTLANDS LÄN</t>
        </is>
      </c>
      <c r="E1011" t="inlineStr">
        <is>
          <t>KROKOM</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15776-2025</t>
        </is>
      </c>
      <c r="B1012" s="1" t="n">
        <v>45748.59744212963</v>
      </c>
      <c r="C1012" s="1" t="n">
        <v>46012</v>
      </c>
      <c r="D1012" t="inlineStr">
        <is>
          <t>JÄMTLANDS LÄN</t>
        </is>
      </c>
      <c r="E1012" t="inlineStr">
        <is>
          <t>KROKOM</t>
        </is>
      </c>
      <c r="G1012" t="n">
        <v>46.5</v>
      </c>
      <c r="H1012" t="n">
        <v>0</v>
      </c>
      <c r="I1012" t="n">
        <v>0</v>
      </c>
      <c r="J1012" t="n">
        <v>0</v>
      </c>
      <c r="K1012" t="n">
        <v>0</v>
      </c>
      <c r="L1012" t="n">
        <v>0</v>
      </c>
      <c r="M1012" t="n">
        <v>0</v>
      </c>
      <c r="N1012" t="n">
        <v>0</v>
      </c>
      <c r="O1012" t="n">
        <v>0</v>
      </c>
      <c r="P1012" t="n">
        <v>0</v>
      </c>
      <c r="Q1012" t="n">
        <v>0</v>
      </c>
      <c r="R1012" s="2" t="inlineStr"/>
    </row>
    <row r="1013" ht="15" customHeight="1">
      <c r="A1013" t="inlineStr">
        <is>
          <t>A 10279-2025</t>
        </is>
      </c>
      <c r="B1013" s="1" t="n">
        <v>45720.40268518519</v>
      </c>
      <c r="C1013" s="1" t="n">
        <v>46012</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5533-2025</t>
        </is>
      </c>
      <c r="B1014" s="1" t="n">
        <v>45693</v>
      </c>
      <c r="C1014" s="1" t="n">
        <v>46012</v>
      </c>
      <c r="D1014" t="inlineStr">
        <is>
          <t>JÄMTLANDS LÄN</t>
        </is>
      </c>
      <c r="E1014" t="inlineStr">
        <is>
          <t>KROKOM</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40364-2023</t>
        </is>
      </c>
      <c r="B1015" s="1" t="n">
        <v>45168</v>
      </c>
      <c r="C1015" s="1" t="n">
        <v>46012</v>
      </c>
      <c r="D1015" t="inlineStr">
        <is>
          <t>JÄMTLANDS LÄN</t>
        </is>
      </c>
      <c r="E1015" t="inlineStr">
        <is>
          <t>KROKOM</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34278-2022</t>
        </is>
      </c>
      <c r="B1016" s="1" t="n">
        <v>44792.27644675926</v>
      </c>
      <c r="C1016" s="1" t="n">
        <v>46012</v>
      </c>
      <c r="D1016" t="inlineStr">
        <is>
          <t>JÄMTLANDS LÄN</t>
        </is>
      </c>
      <c r="E1016" t="inlineStr">
        <is>
          <t>KROKOM</t>
        </is>
      </c>
      <c r="G1016" t="n">
        <v>19.5</v>
      </c>
      <c r="H1016" t="n">
        <v>0</v>
      </c>
      <c r="I1016" t="n">
        <v>0</v>
      </c>
      <c r="J1016" t="n">
        <v>0</v>
      </c>
      <c r="K1016" t="n">
        <v>0</v>
      </c>
      <c r="L1016" t="n">
        <v>0</v>
      </c>
      <c r="M1016" t="n">
        <v>0</v>
      </c>
      <c r="N1016" t="n">
        <v>0</v>
      </c>
      <c r="O1016" t="n">
        <v>0</v>
      </c>
      <c r="P1016" t="n">
        <v>0</v>
      </c>
      <c r="Q1016" t="n">
        <v>0</v>
      </c>
      <c r="R1016" s="2" t="inlineStr"/>
    </row>
    <row r="1017" ht="15" customHeight="1">
      <c r="A1017" t="inlineStr">
        <is>
          <t>A 29238-2022</t>
        </is>
      </c>
      <c r="B1017" s="1" t="n">
        <v>44750</v>
      </c>
      <c r="C1017" s="1" t="n">
        <v>46012</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23512-2022</t>
        </is>
      </c>
      <c r="B1018" s="1" t="n">
        <v>44721.39003472222</v>
      </c>
      <c r="C1018" s="1" t="n">
        <v>46012</v>
      </c>
      <c r="D1018" t="inlineStr">
        <is>
          <t>JÄMTLANDS LÄN</t>
        </is>
      </c>
      <c r="E1018" t="inlineStr">
        <is>
          <t>KROKOM</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24441-2022</t>
        </is>
      </c>
      <c r="B1019" s="1" t="n">
        <v>44726</v>
      </c>
      <c r="C1019" s="1" t="n">
        <v>46012</v>
      </c>
      <c r="D1019" t="inlineStr">
        <is>
          <t>JÄMTLANDS LÄN</t>
        </is>
      </c>
      <c r="E1019" t="inlineStr">
        <is>
          <t>KROKOM</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48769-2022</t>
        </is>
      </c>
      <c r="B1020" s="1" t="n">
        <v>44855</v>
      </c>
      <c r="C1020" s="1" t="n">
        <v>46012</v>
      </c>
      <c r="D1020" t="inlineStr">
        <is>
          <t>JÄMTLANDS LÄN</t>
        </is>
      </c>
      <c r="E1020" t="inlineStr">
        <is>
          <t>KROKOM</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48777-2022</t>
        </is>
      </c>
      <c r="B1021" s="1" t="n">
        <v>44855</v>
      </c>
      <c r="C1021" s="1" t="n">
        <v>46012</v>
      </c>
      <c r="D1021" t="inlineStr">
        <is>
          <t>JÄMTLANDS LÄN</t>
        </is>
      </c>
      <c r="E1021" t="inlineStr">
        <is>
          <t>KROKOM</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54491-2022</t>
        </is>
      </c>
      <c r="B1022" s="1" t="n">
        <v>44880</v>
      </c>
      <c r="C1022" s="1" t="n">
        <v>46012</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27178-2022</t>
        </is>
      </c>
      <c r="B1023" s="1" t="n">
        <v>44741</v>
      </c>
      <c r="C1023" s="1" t="n">
        <v>46012</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16129-2025</t>
        </is>
      </c>
      <c r="B1024" s="1" t="n">
        <v>45750.42650462963</v>
      </c>
      <c r="C1024" s="1" t="n">
        <v>46012</v>
      </c>
      <c r="D1024" t="inlineStr">
        <is>
          <t>JÄMTLANDS LÄN</t>
        </is>
      </c>
      <c r="E1024" t="inlineStr">
        <is>
          <t>KROKOM</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24402-2022</t>
        </is>
      </c>
      <c r="B1025" s="1" t="n">
        <v>44726</v>
      </c>
      <c r="C1025" s="1" t="n">
        <v>46012</v>
      </c>
      <c r="D1025" t="inlineStr">
        <is>
          <t>JÄMTLANDS LÄN</t>
        </is>
      </c>
      <c r="E1025" t="inlineStr">
        <is>
          <t>KROKOM</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773-2024</t>
        </is>
      </c>
      <c r="B1026" s="1" t="n">
        <v>45300</v>
      </c>
      <c r="C1026" s="1" t="n">
        <v>46012</v>
      </c>
      <c r="D1026" t="inlineStr">
        <is>
          <t>JÄMTLANDS LÄN</t>
        </is>
      </c>
      <c r="E1026" t="inlineStr">
        <is>
          <t>KROKOM</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8880-2025</t>
        </is>
      </c>
      <c r="B1027" s="1" t="n">
        <v>45713.38028935185</v>
      </c>
      <c r="C1027" s="1" t="n">
        <v>46012</v>
      </c>
      <c r="D1027" t="inlineStr">
        <is>
          <t>JÄMTLANDS LÄN</t>
        </is>
      </c>
      <c r="E1027" t="inlineStr">
        <is>
          <t>KROKOM</t>
        </is>
      </c>
      <c r="F1027" t="inlineStr">
        <is>
          <t>Övriga Aktiebolag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6804-2025</t>
        </is>
      </c>
      <c r="B1028" s="1" t="n">
        <v>45700.6833912037</v>
      </c>
      <c r="C1028" s="1" t="n">
        <v>46012</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15231-2025</t>
        </is>
      </c>
      <c r="B1029" s="1" t="n">
        <v>45744.59894675926</v>
      </c>
      <c r="C1029" s="1" t="n">
        <v>46012</v>
      </c>
      <c r="D1029" t="inlineStr">
        <is>
          <t>JÄMTLANDS LÄN</t>
        </is>
      </c>
      <c r="E1029" t="inlineStr">
        <is>
          <t>KROKOM</t>
        </is>
      </c>
      <c r="F1029" t="inlineStr">
        <is>
          <t>Övriga Aktiebolag</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64174-2023</t>
        </is>
      </c>
      <c r="B1030" s="1" t="n">
        <v>45279</v>
      </c>
      <c r="C1030" s="1" t="n">
        <v>46012</v>
      </c>
      <c r="D1030" t="inlineStr">
        <is>
          <t>JÄMTLANDS LÄN</t>
        </is>
      </c>
      <c r="E1030" t="inlineStr">
        <is>
          <t>KROKOM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55660-2023</t>
        </is>
      </c>
      <c r="B1031" s="1" t="n">
        <v>45238</v>
      </c>
      <c r="C1031" s="1" t="n">
        <v>46012</v>
      </c>
      <c r="D1031" t="inlineStr">
        <is>
          <t>JÄMTLANDS LÄN</t>
        </is>
      </c>
      <c r="E1031" t="inlineStr">
        <is>
          <t>KROKOM</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59973-2023</t>
        </is>
      </c>
      <c r="B1032" s="1" t="n">
        <v>45257</v>
      </c>
      <c r="C1032" s="1" t="n">
        <v>46012</v>
      </c>
      <c r="D1032" t="inlineStr">
        <is>
          <t>JÄMTLANDS LÄN</t>
        </is>
      </c>
      <c r="E1032" t="inlineStr">
        <is>
          <t>KROKOM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57856-2023</t>
        </is>
      </c>
      <c r="B1033" s="1" t="n">
        <v>45247</v>
      </c>
      <c r="C1033" s="1" t="n">
        <v>46012</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9022-2025</t>
        </is>
      </c>
      <c r="B1034" s="1" t="n">
        <v>45713.59623842593</v>
      </c>
      <c r="C1034" s="1" t="n">
        <v>46012</v>
      </c>
      <c r="D1034" t="inlineStr">
        <is>
          <t>JÄMTLANDS LÄN</t>
        </is>
      </c>
      <c r="E1034" t="inlineStr">
        <is>
          <t>KROKOM</t>
        </is>
      </c>
      <c r="F1034" t="inlineStr">
        <is>
          <t>Övriga Aktiebolag</t>
        </is>
      </c>
      <c r="G1034" t="n">
        <v>29.9</v>
      </c>
      <c r="H1034" t="n">
        <v>0</v>
      </c>
      <c r="I1034" t="n">
        <v>0</v>
      </c>
      <c r="J1034" t="n">
        <v>0</v>
      </c>
      <c r="K1034" t="n">
        <v>0</v>
      </c>
      <c r="L1034" t="n">
        <v>0</v>
      </c>
      <c r="M1034" t="n">
        <v>0</v>
      </c>
      <c r="N1034" t="n">
        <v>0</v>
      </c>
      <c r="O1034" t="n">
        <v>0</v>
      </c>
      <c r="P1034" t="n">
        <v>0</v>
      </c>
      <c r="Q1034" t="n">
        <v>0</v>
      </c>
      <c r="R1034" s="2" t="inlineStr"/>
    </row>
    <row r="1035" ht="15" customHeight="1">
      <c r="A1035" t="inlineStr">
        <is>
          <t>A 30160-2022</t>
        </is>
      </c>
      <c r="B1035" s="1" t="n">
        <v>44757</v>
      </c>
      <c r="C1035" s="1" t="n">
        <v>46012</v>
      </c>
      <c r="D1035" t="inlineStr">
        <is>
          <t>JÄMTLANDS LÄN</t>
        </is>
      </c>
      <c r="E1035" t="inlineStr">
        <is>
          <t>KROKOM</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1852-2025</t>
        </is>
      </c>
      <c r="B1036" s="1" t="n">
        <v>45671.59114583334</v>
      </c>
      <c r="C1036" s="1" t="n">
        <v>46012</v>
      </c>
      <c r="D1036" t="inlineStr">
        <is>
          <t>JÄMTLANDS LÄN</t>
        </is>
      </c>
      <c r="E1036" t="inlineStr">
        <is>
          <t>KROKOM</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21990-2022</t>
        </is>
      </c>
      <c r="B1037" s="1" t="n">
        <v>44711</v>
      </c>
      <c r="C1037" s="1" t="n">
        <v>46012</v>
      </c>
      <c r="D1037" t="inlineStr">
        <is>
          <t>JÄMTLANDS LÄN</t>
        </is>
      </c>
      <c r="E1037" t="inlineStr">
        <is>
          <t>KROKOM</t>
        </is>
      </c>
      <c r="F1037" t="inlineStr">
        <is>
          <t>Övriga Aktiebolag</t>
        </is>
      </c>
      <c r="G1037" t="n">
        <v>26.3</v>
      </c>
      <c r="H1037" t="n">
        <v>0</v>
      </c>
      <c r="I1037" t="n">
        <v>0</v>
      </c>
      <c r="J1037" t="n">
        <v>0</v>
      </c>
      <c r="K1037" t="n">
        <v>0</v>
      </c>
      <c r="L1037" t="n">
        <v>0</v>
      </c>
      <c r="M1037" t="n">
        <v>0</v>
      </c>
      <c r="N1037" t="n">
        <v>0</v>
      </c>
      <c r="O1037" t="n">
        <v>0</v>
      </c>
      <c r="P1037" t="n">
        <v>0</v>
      </c>
      <c r="Q1037" t="n">
        <v>0</v>
      </c>
      <c r="R1037" s="2" t="inlineStr"/>
    </row>
    <row r="1038" ht="15" customHeight="1">
      <c r="A1038" t="inlineStr">
        <is>
          <t>A 10842-2024</t>
        </is>
      </c>
      <c r="B1038" s="1" t="n">
        <v>45369</v>
      </c>
      <c r="C1038" s="1" t="n">
        <v>46012</v>
      </c>
      <c r="D1038" t="inlineStr">
        <is>
          <t>JÄMTLANDS LÄN</t>
        </is>
      </c>
      <c r="E1038" t="inlineStr">
        <is>
          <t>KROKOM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63532-2023</t>
        </is>
      </c>
      <c r="B1039" s="1" t="n">
        <v>45274</v>
      </c>
      <c r="C1039" s="1" t="n">
        <v>46012</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45203.44248842593</v>
      </c>
      <c r="C1040" s="1" t="n">
        <v>46012</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39127-2023</t>
        </is>
      </c>
      <c r="B1041" s="1" t="n">
        <v>45165.70483796296</v>
      </c>
      <c r="C1041" s="1" t="n">
        <v>46012</v>
      </c>
      <c r="D1041" t="inlineStr">
        <is>
          <t>JÄMTLANDS LÄN</t>
        </is>
      </c>
      <c r="E1041" t="inlineStr">
        <is>
          <t>KROKOM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22890-2024</t>
        </is>
      </c>
      <c r="B1042" s="1" t="n">
        <v>45448.67574074074</v>
      </c>
      <c r="C1042" s="1" t="n">
        <v>46012</v>
      </c>
      <c r="D1042" t="inlineStr">
        <is>
          <t>JÄMTLANDS LÄN</t>
        </is>
      </c>
      <c r="E1042" t="inlineStr">
        <is>
          <t>KROKOM</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46753-2022</t>
        </is>
      </c>
      <c r="B1043" s="1" t="n">
        <v>44847</v>
      </c>
      <c r="C1043" s="1" t="n">
        <v>46012</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46761-2022</t>
        </is>
      </c>
      <c r="B1044" s="1" t="n">
        <v>44847</v>
      </c>
      <c r="C1044" s="1" t="n">
        <v>46012</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48417-2022</t>
        </is>
      </c>
      <c r="B1045" s="1" t="n">
        <v>44858</v>
      </c>
      <c r="C1045" s="1" t="n">
        <v>46012</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46012</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16225-2025</t>
        </is>
      </c>
      <c r="B1047" s="1" t="n">
        <v>45750.6447800926</v>
      </c>
      <c r="C1047" s="1" t="n">
        <v>46012</v>
      </c>
      <c r="D1047" t="inlineStr">
        <is>
          <t>JÄMTLANDS LÄN</t>
        </is>
      </c>
      <c r="E1047" t="inlineStr">
        <is>
          <t>KROKOM</t>
        </is>
      </c>
      <c r="F1047" t="inlineStr">
        <is>
          <t>Övriga Aktiebolag</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17510-2025</t>
        </is>
      </c>
      <c r="B1048" s="1" t="n">
        <v>45757.56491898148</v>
      </c>
      <c r="C1048" s="1" t="n">
        <v>46012</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15885-2023</t>
        </is>
      </c>
      <c r="B1049" s="1" t="n">
        <v>45022</v>
      </c>
      <c r="C1049" s="1" t="n">
        <v>46012</v>
      </c>
      <c r="D1049" t="inlineStr">
        <is>
          <t>JÄMTLANDS LÄN</t>
        </is>
      </c>
      <c r="E1049" t="inlineStr">
        <is>
          <t>KROKOM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60102-2023</t>
        </is>
      </c>
      <c r="B1050" s="1" t="n">
        <v>45257</v>
      </c>
      <c r="C1050" s="1" t="n">
        <v>46012</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7763-2024</t>
        </is>
      </c>
      <c r="B1051" s="1" t="n">
        <v>45348</v>
      </c>
      <c r="C1051" s="1" t="n">
        <v>46012</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42398-2024</t>
        </is>
      </c>
      <c r="B1052" s="1" t="n">
        <v>45565.33152777778</v>
      </c>
      <c r="C1052" s="1" t="n">
        <v>46012</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46012</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72064-2021</t>
        </is>
      </c>
      <c r="B1054" s="1" t="n">
        <v>44544.49326388889</v>
      </c>
      <c r="C1054" s="1" t="n">
        <v>46012</v>
      </c>
      <c r="D1054" t="inlineStr">
        <is>
          <t>JÄMTLANDS LÄN</t>
        </is>
      </c>
      <c r="E1054" t="inlineStr">
        <is>
          <t>KROKOM</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25428-2022</t>
        </is>
      </c>
      <c r="B1055" s="1" t="n">
        <v>44732</v>
      </c>
      <c r="C1055" s="1" t="n">
        <v>46012</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50302-2022</t>
        </is>
      </c>
      <c r="B1056" s="1" t="n">
        <v>44865</v>
      </c>
      <c r="C1056" s="1" t="n">
        <v>46012</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5422-2021</t>
        </is>
      </c>
      <c r="B1057" s="1" t="n">
        <v>44228</v>
      </c>
      <c r="C1057" s="1" t="n">
        <v>46012</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52240-2024</t>
        </is>
      </c>
      <c r="B1058" s="1" t="n">
        <v>45608.61923611111</v>
      </c>
      <c r="C1058" s="1" t="n">
        <v>46012</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50129-2024</t>
        </is>
      </c>
      <c r="B1059" s="1" t="n">
        <v>45600.433125</v>
      </c>
      <c r="C1059" s="1" t="n">
        <v>46012</v>
      </c>
      <c r="D1059" t="inlineStr">
        <is>
          <t>JÄMTLANDS LÄN</t>
        </is>
      </c>
      <c r="E1059" t="inlineStr">
        <is>
          <t>KROKOM</t>
        </is>
      </c>
      <c r="F1059" t="inlineStr">
        <is>
          <t>Övriga Aktiebolag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6991-2025</t>
        </is>
      </c>
      <c r="B1060" s="1" t="n">
        <v>45701.57363425926</v>
      </c>
      <c r="C1060" s="1" t="n">
        <v>46012</v>
      </c>
      <c r="D1060" t="inlineStr">
        <is>
          <t>JÄMTLANDS LÄN</t>
        </is>
      </c>
      <c r="E1060" t="inlineStr">
        <is>
          <t>KROKOM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14170-2024</t>
        </is>
      </c>
      <c r="B1061" s="1" t="n">
        <v>45392.95844907407</v>
      </c>
      <c r="C1061" s="1" t="n">
        <v>46012</v>
      </c>
      <c r="D1061" t="inlineStr">
        <is>
          <t>JÄMTLANDS LÄN</t>
        </is>
      </c>
      <c r="E1061" t="inlineStr">
        <is>
          <t>KROKOM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14171-2024</t>
        </is>
      </c>
      <c r="B1062" s="1" t="n">
        <v>45392</v>
      </c>
      <c r="C1062" s="1" t="n">
        <v>46012</v>
      </c>
      <c r="D1062" t="inlineStr">
        <is>
          <t>JÄMTLANDS LÄN</t>
        </is>
      </c>
      <c r="E1062" t="inlineStr">
        <is>
          <t>KROKOM</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46012</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52268-2022</t>
        </is>
      </c>
      <c r="B1064" s="1" t="n">
        <v>44873</v>
      </c>
      <c r="C1064" s="1" t="n">
        <v>46012</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c r="U1064">
        <f>HYPERLINK("https://klasma.github.io/Logging_2309/knärot/A 52268-2022 karta knärot.png", "A 52268-2022")</f>
        <v/>
      </c>
      <c r="V1064">
        <f>HYPERLINK("https://klasma.github.io/Logging_2309/klagomål/A 52268-2022 FSC-klagomål.docx", "A 52268-2022")</f>
        <v/>
      </c>
      <c r="W1064">
        <f>HYPERLINK("https://klasma.github.io/Logging_2309/klagomålsmail/A 52268-2022 FSC-klagomål mail.docx", "A 52268-2022")</f>
        <v/>
      </c>
      <c r="X1064">
        <f>HYPERLINK("https://klasma.github.io/Logging_2309/tillsyn/A 52268-2022 tillsynsbegäran.docx", "A 52268-2022")</f>
        <v/>
      </c>
      <c r="Y1064">
        <f>HYPERLINK("https://klasma.github.io/Logging_2309/tillsynsmail/A 52268-2022 tillsynsbegäran mail.docx", "A 52268-2022")</f>
        <v/>
      </c>
    </row>
    <row r="1065" ht="15" customHeight="1">
      <c r="A1065" t="inlineStr">
        <is>
          <t>A 58313-2022</t>
        </is>
      </c>
      <c r="B1065" s="1" t="n">
        <v>44901.54615740741</v>
      </c>
      <c r="C1065" s="1" t="n">
        <v>46012</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15876-2025</t>
        </is>
      </c>
      <c r="B1066" s="1" t="n">
        <v>45749.38379629629</v>
      </c>
      <c r="C1066" s="1" t="n">
        <v>46012</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46644-2022</t>
        </is>
      </c>
      <c r="B1067" s="1" t="n">
        <v>44849.8044212963</v>
      </c>
      <c r="C1067" s="1" t="n">
        <v>46012</v>
      </c>
      <c r="D1067" t="inlineStr">
        <is>
          <t>JÄMTLANDS LÄN</t>
        </is>
      </c>
      <c r="E1067" t="inlineStr">
        <is>
          <t>KROKOM</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41439-2024</t>
        </is>
      </c>
      <c r="B1068" s="1" t="n">
        <v>45560.38056712963</v>
      </c>
      <c r="C1068" s="1" t="n">
        <v>46012</v>
      </c>
      <c r="D1068" t="inlineStr">
        <is>
          <t>JÄMTLANDS LÄN</t>
        </is>
      </c>
      <c r="E1068" t="inlineStr">
        <is>
          <t>KROKOM</t>
        </is>
      </c>
      <c r="F1068" t="inlineStr">
        <is>
          <t>Övriga Aktiebolag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884-2021</t>
        </is>
      </c>
      <c r="B1069" s="1" t="n">
        <v>44206</v>
      </c>
      <c r="C1069" s="1" t="n">
        <v>46012</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30728-2022</t>
        </is>
      </c>
      <c r="B1070" s="1" t="n">
        <v>44764</v>
      </c>
      <c r="C1070" s="1" t="n">
        <v>46012</v>
      </c>
      <c r="D1070" t="inlineStr">
        <is>
          <t>JÄMTLANDS LÄN</t>
        </is>
      </c>
      <c r="E1070" t="inlineStr">
        <is>
          <t>KROKOM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30729-2022</t>
        </is>
      </c>
      <c r="B1071" s="1" t="n">
        <v>44764</v>
      </c>
      <c r="C1071" s="1" t="n">
        <v>46012</v>
      </c>
      <c r="D1071" t="inlineStr">
        <is>
          <t>JÄMTLANDS LÄN</t>
        </is>
      </c>
      <c r="E1071" t="inlineStr">
        <is>
          <t>KROKOM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53771-2022</t>
        </is>
      </c>
      <c r="B1072" s="1" t="n">
        <v>44875</v>
      </c>
      <c r="C1072" s="1" t="n">
        <v>46012</v>
      </c>
      <c r="D1072" t="inlineStr">
        <is>
          <t>JÄMTLANDS LÄN</t>
        </is>
      </c>
      <c r="E1072" t="inlineStr">
        <is>
          <t>KROKOM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7630-2023</t>
        </is>
      </c>
      <c r="B1073" s="1" t="n">
        <v>44972.55690972223</v>
      </c>
      <c r="C1073" s="1" t="n">
        <v>46012</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2062-2021</t>
        </is>
      </c>
      <c r="B1074" s="1" t="n">
        <v>44211</v>
      </c>
      <c r="C1074" s="1" t="n">
        <v>46012</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26414-2024</t>
        </is>
      </c>
      <c r="B1075" s="1" t="n">
        <v>45469</v>
      </c>
      <c r="C1075" s="1" t="n">
        <v>46012</v>
      </c>
      <c r="D1075" t="inlineStr">
        <is>
          <t>JÄMTLANDS LÄN</t>
        </is>
      </c>
      <c r="E1075" t="inlineStr">
        <is>
          <t>KROKOM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40394-2024</t>
        </is>
      </c>
      <c r="B1076" s="1" t="n">
        <v>45555.43584490741</v>
      </c>
      <c r="C1076" s="1" t="n">
        <v>46012</v>
      </c>
      <c r="D1076" t="inlineStr">
        <is>
          <t>JÄMTLANDS LÄN</t>
        </is>
      </c>
      <c r="E1076" t="inlineStr">
        <is>
          <t>KROKOM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50270-2023</t>
        </is>
      </c>
      <c r="B1077" s="1" t="n">
        <v>45216.3965625</v>
      </c>
      <c r="C1077" s="1" t="n">
        <v>46012</v>
      </c>
      <c r="D1077" t="inlineStr">
        <is>
          <t>JÄMTLANDS LÄN</t>
        </is>
      </c>
      <c r="E1077" t="inlineStr">
        <is>
          <t>KROKOM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57514-2023</t>
        </is>
      </c>
      <c r="B1078" s="1" t="n">
        <v>45246</v>
      </c>
      <c r="C1078" s="1" t="n">
        <v>46012</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65236-2023</t>
        </is>
      </c>
      <c r="B1079" s="1" t="n">
        <v>45289</v>
      </c>
      <c r="C1079" s="1" t="n">
        <v>46012</v>
      </c>
      <c r="D1079" t="inlineStr">
        <is>
          <t>JÄMTLANDS LÄN</t>
        </is>
      </c>
      <c r="E1079" t="inlineStr">
        <is>
          <t>KROKOM</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12471-2024</t>
        </is>
      </c>
      <c r="B1080" s="1" t="n">
        <v>45378</v>
      </c>
      <c r="C1080" s="1" t="n">
        <v>46012</v>
      </c>
      <c r="D1080" t="inlineStr">
        <is>
          <t>JÄMTLANDS LÄN</t>
        </is>
      </c>
      <c r="E1080" t="inlineStr">
        <is>
          <t>KROKOM</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41971-2024</t>
        </is>
      </c>
      <c r="B1081" s="1" t="n">
        <v>45561.61509259259</v>
      </c>
      <c r="C1081" s="1" t="n">
        <v>46012</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17591-2023</t>
        </is>
      </c>
      <c r="B1082" s="1" t="n">
        <v>45036</v>
      </c>
      <c r="C1082" s="1" t="n">
        <v>46012</v>
      </c>
      <c r="D1082" t="inlineStr">
        <is>
          <t>JÄMTLANDS LÄN</t>
        </is>
      </c>
      <c r="E1082" t="inlineStr">
        <is>
          <t>KROKOM</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17594-2023</t>
        </is>
      </c>
      <c r="B1083" s="1" t="n">
        <v>45036</v>
      </c>
      <c r="C1083" s="1" t="n">
        <v>46012</v>
      </c>
      <c r="D1083" t="inlineStr">
        <is>
          <t>JÄMTLANDS LÄN</t>
        </is>
      </c>
      <c r="E1083" t="inlineStr">
        <is>
          <t>KROKOM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50951-2024</t>
        </is>
      </c>
      <c r="B1084" s="1" t="n">
        <v>45603.28460648148</v>
      </c>
      <c r="C1084" s="1" t="n">
        <v>46012</v>
      </c>
      <c r="D1084" t="inlineStr">
        <is>
          <t>JÄMTLANDS LÄN</t>
        </is>
      </c>
      <c r="E1084" t="inlineStr">
        <is>
          <t>KROKOM</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52666-2024</t>
        </is>
      </c>
      <c r="B1085" s="1" t="n">
        <v>45610.36561342593</v>
      </c>
      <c r="C1085" s="1" t="n">
        <v>46012</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53916-2023</t>
        </is>
      </c>
      <c r="B1086" s="1" t="n">
        <v>45231</v>
      </c>
      <c r="C1086" s="1" t="n">
        <v>46012</v>
      </c>
      <c r="D1086" t="inlineStr">
        <is>
          <t>JÄMTLANDS LÄN</t>
        </is>
      </c>
      <c r="E1086" t="inlineStr">
        <is>
          <t>KROKOM</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58390-2021</t>
        </is>
      </c>
      <c r="B1087" s="1" t="n">
        <v>44488.47928240741</v>
      </c>
      <c r="C1087" s="1" t="n">
        <v>46012</v>
      </c>
      <c r="D1087" t="inlineStr">
        <is>
          <t>JÄMTLANDS LÄN</t>
        </is>
      </c>
      <c r="E1087" t="inlineStr">
        <is>
          <t>KROKOM</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29224-2023</t>
        </is>
      </c>
      <c r="B1088" s="1" t="n">
        <v>45097</v>
      </c>
      <c r="C1088" s="1" t="n">
        <v>46012</v>
      </c>
      <c r="D1088" t="inlineStr">
        <is>
          <t>JÄMTLANDS LÄN</t>
        </is>
      </c>
      <c r="E1088" t="inlineStr">
        <is>
          <t>KROKOM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52869-2023</t>
        </is>
      </c>
      <c r="B1089" s="1" t="n">
        <v>45226</v>
      </c>
      <c r="C1089" s="1" t="n">
        <v>46012</v>
      </c>
      <c r="D1089" t="inlineStr">
        <is>
          <t>JÄMTLANDS LÄN</t>
        </is>
      </c>
      <c r="E1089" t="inlineStr">
        <is>
          <t>KROKOM</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5722-2023</t>
        </is>
      </c>
      <c r="B1090" s="1" t="n">
        <v>44961</v>
      </c>
      <c r="C1090" s="1" t="n">
        <v>46012</v>
      </c>
      <c r="D1090" t="inlineStr">
        <is>
          <t>JÄMTLANDS LÄN</t>
        </is>
      </c>
      <c r="E1090" t="inlineStr">
        <is>
          <t>KROKOM</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36567-2021</t>
        </is>
      </c>
      <c r="B1091" s="1" t="n">
        <v>44391</v>
      </c>
      <c r="C1091" s="1" t="n">
        <v>46012</v>
      </c>
      <c r="D1091" t="inlineStr">
        <is>
          <t>JÄMTLANDS LÄN</t>
        </is>
      </c>
      <c r="E1091" t="inlineStr">
        <is>
          <t>KROKOM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29936-2023</t>
        </is>
      </c>
      <c r="B1092" s="1" t="n">
        <v>45107</v>
      </c>
      <c r="C1092" s="1" t="n">
        <v>46012</v>
      </c>
      <c r="D1092" t="inlineStr">
        <is>
          <t>JÄMTLANDS LÄN</t>
        </is>
      </c>
      <c r="E1092" t="inlineStr">
        <is>
          <t>KROKOM</t>
        </is>
      </c>
      <c r="G1092" t="n">
        <v>77.40000000000001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55043-2024</t>
        </is>
      </c>
      <c r="B1093" s="1" t="n">
        <v>45621</v>
      </c>
      <c r="C1093" s="1" t="n">
        <v>46012</v>
      </c>
      <c r="D1093" t="inlineStr">
        <is>
          <t>JÄMTLANDS LÄN</t>
        </is>
      </c>
      <c r="E1093" t="inlineStr">
        <is>
          <t>KROKOM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60173-2024</t>
        </is>
      </c>
      <c r="B1094" s="1" t="n">
        <v>45642.63666666667</v>
      </c>
      <c r="C1094" s="1" t="n">
        <v>46012</v>
      </c>
      <c r="D1094" t="inlineStr">
        <is>
          <t>JÄMTLANDS LÄN</t>
        </is>
      </c>
      <c r="E1094" t="inlineStr">
        <is>
          <t>KROKOM</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42439-2023</t>
        </is>
      </c>
      <c r="B1095" s="1" t="n">
        <v>45180.6391087963</v>
      </c>
      <c r="C1095" s="1" t="n">
        <v>46012</v>
      </c>
      <c r="D1095" t="inlineStr">
        <is>
          <t>JÄMTLANDS LÄN</t>
        </is>
      </c>
      <c r="E1095" t="inlineStr">
        <is>
          <t>KROKOM</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51939-2024</t>
        </is>
      </c>
      <c r="B1096" s="1" t="n">
        <v>45607.63211805555</v>
      </c>
      <c r="C1096" s="1" t="n">
        <v>46012</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36491-2021</t>
        </is>
      </c>
      <c r="B1097" s="1" t="n">
        <v>44390</v>
      </c>
      <c r="C1097" s="1" t="n">
        <v>46012</v>
      </c>
      <c r="D1097" t="inlineStr">
        <is>
          <t>JÄMTLANDS LÄN</t>
        </is>
      </c>
      <c r="E1097" t="inlineStr">
        <is>
          <t>KROKOM</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50881-2024</t>
        </is>
      </c>
      <c r="B1098" s="1" t="n">
        <v>45602.65599537037</v>
      </c>
      <c r="C1098" s="1" t="n">
        <v>46012</v>
      </c>
      <c r="D1098" t="inlineStr">
        <is>
          <t>JÄMTLANDS LÄN</t>
        </is>
      </c>
      <c r="E1098" t="inlineStr">
        <is>
          <t>KROKOM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46061-2023</t>
        </is>
      </c>
      <c r="B1099" s="1" t="n">
        <v>45190</v>
      </c>
      <c r="C1099" s="1" t="n">
        <v>46012</v>
      </c>
      <c r="D1099" t="inlineStr">
        <is>
          <t>JÄMTLANDS LÄN</t>
        </is>
      </c>
      <c r="E1099" t="inlineStr">
        <is>
          <t>KROKOM</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19478-2023</t>
        </is>
      </c>
      <c r="B1100" s="1" t="n">
        <v>45050</v>
      </c>
      <c r="C1100" s="1" t="n">
        <v>46012</v>
      </c>
      <c r="D1100" t="inlineStr">
        <is>
          <t>JÄMTLANDS LÄN</t>
        </is>
      </c>
      <c r="E1100" t="inlineStr">
        <is>
          <t>KROKOM</t>
        </is>
      </c>
      <c r="F1100" t="inlineStr">
        <is>
          <t>Övriga Aktiebolag</t>
        </is>
      </c>
      <c r="G1100" t="n">
        <v>22.2</v>
      </c>
      <c r="H1100" t="n">
        <v>0</v>
      </c>
      <c r="I1100" t="n">
        <v>0</v>
      </c>
      <c r="J1100" t="n">
        <v>0</v>
      </c>
      <c r="K1100" t="n">
        <v>0</v>
      </c>
      <c r="L1100" t="n">
        <v>0</v>
      </c>
      <c r="M1100" t="n">
        <v>0</v>
      </c>
      <c r="N1100" t="n">
        <v>0</v>
      </c>
      <c r="O1100" t="n">
        <v>0</v>
      </c>
      <c r="P1100" t="n">
        <v>0</v>
      </c>
      <c r="Q1100" t="n">
        <v>0</v>
      </c>
      <c r="R1100" s="2" t="inlineStr"/>
    </row>
    <row r="1101" ht="15" customHeight="1">
      <c r="A1101" t="inlineStr">
        <is>
          <t>A 23319-2024</t>
        </is>
      </c>
      <c r="B1101" s="1" t="n">
        <v>45453.45515046296</v>
      </c>
      <c r="C1101" s="1" t="n">
        <v>46012</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20982-2023</t>
        </is>
      </c>
      <c r="B1102" s="1" t="n">
        <v>45056</v>
      </c>
      <c r="C1102" s="1" t="n">
        <v>46012</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12813-2023</t>
        </is>
      </c>
      <c r="B1103" s="1" t="n">
        <v>45000</v>
      </c>
      <c r="C1103" s="1" t="n">
        <v>46012</v>
      </c>
      <c r="D1103" t="inlineStr">
        <is>
          <t>JÄMTLANDS LÄN</t>
        </is>
      </c>
      <c r="E1103" t="inlineStr">
        <is>
          <t>KROKOM</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50822-2024</t>
        </is>
      </c>
      <c r="B1104" s="1" t="n">
        <v>45602.57827546296</v>
      </c>
      <c r="C1104" s="1" t="n">
        <v>46012</v>
      </c>
      <c r="D1104" t="inlineStr">
        <is>
          <t>JÄMTLANDS LÄN</t>
        </is>
      </c>
      <c r="E1104" t="inlineStr">
        <is>
          <t>KROKOM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10588-2025</t>
        </is>
      </c>
      <c r="B1105" s="1" t="n">
        <v>45721.55653935186</v>
      </c>
      <c r="C1105" s="1" t="n">
        <v>46012</v>
      </c>
      <c r="D1105" t="inlineStr">
        <is>
          <t>JÄMTLANDS LÄN</t>
        </is>
      </c>
      <c r="E1105" t="inlineStr">
        <is>
          <t>KROKOM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44453-2023</t>
        </is>
      </c>
      <c r="B1106" s="1" t="n">
        <v>45189</v>
      </c>
      <c r="C1106" s="1" t="n">
        <v>46012</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23215-2024</t>
        </is>
      </c>
      <c r="B1107" s="1" t="n">
        <v>45452.56446759259</v>
      </c>
      <c r="C1107" s="1" t="n">
        <v>46012</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3329-2025</t>
        </is>
      </c>
      <c r="B1108" s="1" t="n">
        <v>45679.70027777777</v>
      </c>
      <c r="C1108" s="1" t="n">
        <v>46012</v>
      </c>
      <c r="D1108" t="inlineStr">
        <is>
          <t>JÄMTLANDS LÄN</t>
        </is>
      </c>
      <c r="E1108" t="inlineStr">
        <is>
          <t>KROKOM</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50255-2024</t>
        </is>
      </c>
      <c r="B1109" s="1" t="n">
        <v>45600.58076388889</v>
      </c>
      <c r="C1109" s="1" t="n">
        <v>46012</v>
      </c>
      <c r="D1109" t="inlineStr">
        <is>
          <t>JÄMTLANDS LÄN</t>
        </is>
      </c>
      <c r="E1109" t="inlineStr">
        <is>
          <t>KROKOM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41700-2024</t>
        </is>
      </c>
      <c r="B1110" s="1" t="n">
        <v>45560.69164351852</v>
      </c>
      <c r="C1110" s="1" t="n">
        <v>46012</v>
      </c>
      <c r="D1110" t="inlineStr">
        <is>
          <t>JÄMTLANDS LÄN</t>
        </is>
      </c>
      <c r="E1110" t="inlineStr">
        <is>
          <t>KROKOM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59668-2022</t>
        </is>
      </c>
      <c r="B1111" s="1" t="n">
        <v>44908</v>
      </c>
      <c r="C1111" s="1" t="n">
        <v>46012</v>
      </c>
      <c r="D1111" t="inlineStr">
        <is>
          <t>JÄMTLANDS LÄN</t>
        </is>
      </c>
      <c r="E1111" t="inlineStr">
        <is>
          <t>KROKOM</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47098-2024</t>
        </is>
      </c>
      <c r="B1112" s="1" t="n">
        <v>45586.53618055556</v>
      </c>
      <c r="C1112" s="1" t="n">
        <v>46012</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24484-2024</t>
        </is>
      </c>
      <c r="B1113" s="1" t="n">
        <v>45459.55150462963</v>
      </c>
      <c r="C1113" s="1" t="n">
        <v>46012</v>
      </c>
      <c r="D1113" t="inlineStr">
        <is>
          <t>JÄMTLANDS LÄN</t>
        </is>
      </c>
      <c r="E1113" t="inlineStr">
        <is>
          <t>KROKOM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52213-2024</t>
        </is>
      </c>
      <c r="B1114" s="1" t="n">
        <v>45607</v>
      </c>
      <c r="C1114" s="1" t="n">
        <v>46012</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30016-2024</t>
        </is>
      </c>
      <c r="B1115" s="1" t="n">
        <v>45485</v>
      </c>
      <c r="C1115" s="1" t="n">
        <v>46012</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826-2025</t>
        </is>
      </c>
      <c r="B1116" s="1" t="n">
        <v>45665.57373842593</v>
      </c>
      <c r="C1116" s="1" t="n">
        <v>46012</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19634-2025</t>
        </is>
      </c>
      <c r="B1117" s="1" t="n">
        <v>45770.64677083334</v>
      </c>
      <c r="C1117" s="1" t="n">
        <v>46012</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46012</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52237-2024</t>
        </is>
      </c>
      <c r="B1119" s="1" t="n">
        <v>45608.61606481481</v>
      </c>
      <c r="C1119" s="1" t="n">
        <v>46012</v>
      </c>
      <c r="D1119" t="inlineStr">
        <is>
          <t>JÄMTLANDS LÄN</t>
        </is>
      </c>
      <c r="E1119" t="inlineStr">
        <is>
          <t>KROKOM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48560-2024</t>
        </is>
      </c>
      <c r="B1120" s="1" t="n">
        <v>45593.38568287037</v>
      </c>
      <c r="C1120" s="1" t="n">
        <v>46012</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2051-2025</t>
        </is>
      </c>
      <c r="B1121" s="1" t="n">
        <v>45672.53806712963</v>
      </c>
      <c r="C1121" s="1" t="n">
        <v>46012</v>
      </c>
      <c r="D1121" t="inlineStr">
        <is>
          <t>JÄMTLANDS LÄN</t>
        </is>
      </c>
      <c r="E1121" t="inlineStr">
        <is>
          <t>KROKOM</t>
        </is>
      </c>
      <c r="F1121" t="inlineStr">
        <is>
          <t>Kyrkan</t>
        </is>
      </c>
      <c r="G1121" t="n">
        <v>87.90000000000001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45189.60987268519</v>
      </c>
      <c r="C1122" s="1" t="n">
        <v>46012</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61776-2024</t>
        </is>
      </c>
      <c r="B1123" s="1" t="n">
        <v>45649.4634375</v>
      </c>
      <c r="C1123" s="1" t="n">
        <v>46012</v>
      </c>
      <c r="D1123" t="inlineStr">
        <is>
          <t>JÄMTLANDS LÄN</t>
        </is>
      </c>
      <c r="E1123" t="inlineStr">
        <is>
          <t>KROKOM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60491-2024</t>
        </is>
      </c>
      <c r="B1124" s="1" t="n">
        <v>45643.65354166667</v>
      </c>
      <c r="C1124" s="1" t="n">
        <v>46012</v>
      </c>
      <c r="D1124" t="inlineStr">
        <is>
          <t>JÄMTLANDS LÄN</t>
        </is>
      </c>
      <c r="E1124" t="inlineStr">
        <is>
          <t>KROKOM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57575-2024</t>
        </is>
      </c>
      <c r="B1125" s="1" t="n">
        <v>45630.47099537037</v>
      </c>
      <c r="C1125" s="1" t="n">
        <v>46012</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2257-2024</t>
        </is>
      </c>
      <c r="B1126" s="1" t="n">
        <v>45310</v>
      </c>
      <c r="C1126" s="1" t="n">
        <v>46012</v>
      </c>
      <c r="D1126" t="inlineStr">
        <is>
          <t>JÄMTLANDS LÄN</t>
        </is>
      </c>
      <c r="E1126" t="inlineStr">
        <is>
          <t>KROKOM</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38043-2023</t>
        </is>
      </c>
      <c r="B1127" s="1" t="n">
        <v>45160.66704861111</v>
      </c>
      <c r="C1127" s="1" t="n">
        <v>46012</v>
      </c>
      <c r="D1127" t="inlineStr">
        <is>
          <t>JÄMTLANDS LÄN</t>
        </is>
      </c>
      <c r="E1127" t="inlineStr">
        <is>
          <t>KROKOM</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50821-2024</t>
        </is>
      </c>
      <c r="B1128" s="1" t="n">
        <v>45602</v>
      </c>
      <c r="C1128" s="1" t="n">
        <v>46012</v>
      </c>
      <c r="D1128" t="inlineStr">
        <is>
          <t>JÄMTLANDS LÄN</t>
        </is>
      </c>
      <c r="E1128" t="inlineStr">
        <is>
          <t>KROKOM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35767-2024</t>
        </is>
      </c>
      <c r="B1129" s="1" t="n">
        <v>45532.58101851852</v>
      </c>
      <c r="C1129" s="1" t="n">
        <v>46012</v>
      </c>
      <c r="D1129" t="inlineStr">
        <is>
          <t>JÄMTLANDS LÄN</t>
        </is>
      </c>
      <c r="E1129" t="inlineStr">
        <is>
          <t>KROKOM</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17887-2025</t>
        </is>
      </c>
      <c r="B1130" s="1" t="n">
        <v>45758.66180555556</v>
      </c>
      <c r="C1130" s="1" t="n">
        <v>46012</v>
      </c>
      <c r="D1130" t="inlineStr">
        <is>
          <t>JÄMTLANDS LÄN</t>
        </is>
      </c>
      <c r="E1130" t="inlineStr">
        <is>
          <t>KROKOM</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17888-2025</t>
        </is>
      </c>
      <c r="B1131" s="1" t="n">
        <v>45758.67065972222</v>
      </c>
      <c r="C1131" s="1" t="n">
        <v>46012</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10773-2024</t>
        </is>
      </c>
      <c r="B1132" s="1" t="n">
        <v>45369</v>
      </c>
      <c r="C1132" s="1" t="n">
        <v>46012</v>
      </c>
      <c r="D1132" t="inlineStr">
        <is>
          <t>JÄMTLANDS LÄN</t>
        </is>
      </c>
      <c r="E1132" t="inlineStr">
        <is>
          <t>KROKOM</t>
        </is>
      </c>
      <c r="G1132" t="n">
        <v>27.1</v>
      </c>
      <c r="H1132" t="n">
        <v>0</v>
      </c>
      <c r="I1132" t="n">
        <v>0</v>
      </c>
      <c r="J1132" t="n">
        <v>0</v>
      </c>
      <c r="K1132" t="n">
        <v>0</v>
      </c>
      <c r="L1132" t="n">
        <v>0</v>
      </c>
      <c r="M1132" t="n">
        <v>0</v>
      </c>
      <c r="N1132" t="n">
        <v>0</v>
      </c>
      <c r="O1132" t="n">
        <v>0</v>
      </c>
      <c r="P1132" t="n">
        <v>0</v>
      </c>
      <c r="Q1132" t="n">
        <v>0</v>
      </c>
      <c r="R1132" s="2" t="inlineStr"/>
    </row>
    <row r="1133" ht="15" customHeight="1">
      <c r="A1133" t="inlineStr">
        <is>
          <t>A 5402-2025</t>
        </is>
      </c>
      <c r="B1133" s="1" t="n">
        <v>45692.64298611111</v>
      </c>
      <c r="C1133" s="1" t="n">
        <v>46012</v>
      </c>
      <c r="D1133" t="inlineStr">
        <is>
          <t>JÄMTLANDS LÄN</t>
        </is>
      </c>
      <c r="E1133" t="inlineStr">
        <is>
          <t>KROKOM</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11243-2025</t>
        </is>
      </c>
      <c r="B1134" s="1" t="n">
        <v>45726.37850694444</v>
      </c>
      <c r="C1134" s="1" t="n">
        <v>46012</v>
      </c>
      <c r="D1134" t="inlineStr">
        <is>
          <t>JÄMTLANDS LÄN</t>
        </is>
      </c>
      <c r="E1134" t="inlineStr">
        <is>
          <t>KROKOM</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49046-2023</t>
        </is>
      </c>
      <c r="B1135" s="1" t="n">
        <v>45209</v>
      </c>
      <c r="C1135" s="1" t="n">
        <v>46012</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15422-2025</t>
        </is>
      </c>
      <c r="B1136" s="1" t="n">
        <v>45746</v>
      </c>
      <c r="C1136" s="1" t="n">
        <v>46012</v>
      </c>
      <c r="D1136" t="inlineStr">
        <is>
          <t>JÄMTLANDS LÄN</t>
        </is>
      </c>
      <c r="E1136" t="inlineStr">
        <is>
          <t>KROKOM</t>
        </is>
      </c>
      <c r="F1136" t="inlineStr">
        <is>
          <t>SCA</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11197-2024</t>
        </is>
      </c>
      <c r="B1137" s="1" t="n">
        <v>45371</v>
      </c>
      <c r="C1137" s="1" t="n">
        <v>46012</v>
      </c>
      <c r="D1137" t="inlineStr">
        <is>
          <t>JÄMTLANDS LÄN</t>
        </is>
      </c>
      <c r="E1137" t="inlineStr">
        <is>
          <t>KROKOM</t>
        </is>
      </c>
      <c r="G1137" t="n">
        <v>15.3</v>
      </c>
      <c r="H1137" t="n">
        <v>0</v>
      </c>
      <c r="I1137" t="n">
        <v>0</v>
      </c>
      <c r="J1137" t="n">
        <v>0</v>
      </c>
      <c r="K1137" t="n">
        <v>0</v>
      </c>
      <c r="L1137" t="n">
        <v>0</v>
      </c>
      <c r="M1137" t="n">
        <v>0</v>
      </c>
      <c r="N1137" t="n">
        <v>0</v>
      </c>
      <c r="O1137" t="n">
        <v>0</v>
      </c>
      <c r="P1137" t="n">
        <v>0</v>
      </c>
      <c r="Q1137" t="n">
        <v>0</v>
      </c>
      <c r="R1137" s="2" t="inlineStr"/>
    </row>
    <row r="1138" ht="15" customHeight="1">
      <c r="A1138" t="inlineStr">
        <is>
          <t>A 26805-2023</t>
        </is>
      </c>
      <c r="B1138" s="1" t="n">
        <v>45090</v>
      </c>
      <c r="C1138" s="1" t="n">
        <v>46012</v>
      </c>
      <c r="D1138" t="inlineStr">
        <is>
          <t>JÄMTLANDS LÄN</t>
        </is>
      </c>
      <c r="E1138" t="inlineStr">
        <is>
          <t>KROKOM</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40219-2024</t>
        </is>
      </c>
      <c r="B1139" s="1" t="n">
        <v>45554.59538194445</v>
      </c>
      <c r="C1139" s="1" t="n">
        <v>46012</v>
      </c>
      <c r="D1139" t="inlineStr">
        <is>
          <t>JÄMTLANDS LÄN</t>
        </is>
      </c>
      <c r="E1139" t="inlineStr">
        <is>
          <t>KROKOM</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11386-2025</t>
        </is>
      </c>
      <c r="B1140" s="1" t="n">
        <v>45726.56341435185</v>
      </c>
      <c r="C1140" s="1" t="n">
        <v>46012</v>
      </c>
      <c r="D1140" t="inlineStr">
        <is>
          <t>JÄMTLANDS LÄN</t>
        </is>
      </c>
      <c r="E1140" t="inlineStr">
        <is>
          <t>KROKOM</t>
        </is>
      </c>
      <c r="F1140" t="inlineStr">
        <is>
          <t>Övriga Aktiebolag</t>
        </is>
      </c>
      <c r="G1140" t="n">
        <v>42.4</v>
      </c>
      <c r="H1140" t="n">
        <v>0</v>
      </c>
      <c r="I1140" t="n">
        <v>0</v>
      </c>
      <c r="J1140" t="n">
        <v>0</v>
      </c>
      <c r="K1140" t="n">
        <v>0</v>
      </c>
      <c r="L1140" t="n">
        <v>0</v>
      </c>
      <c r="M1140" t="n">
        <v>0</v>
      </c>
      <c r="N1140" t="n">
        <v>0</v>
      </c>
      <c r="O1140" t="n">
        <v>0</v>
      </c>
      <c r="P1140" t="n">
        <v>0</v>
      </c>
      <c r="Q1140" t="n">
        <v>0</v>
      </c>
      <c r="R1140" s="2" t="inlineStr"/>
    </row>
    <row r="1141" ht="15" customHeight="1">
      <c r="A1141" t="inlineStr">
        <is>
          <t>A 11403-2025</t>
        </is>
      </c>
      <c r="B1141" s="1" t="n">
        <v>45726.5827199074</v>
      </c>
      <c r="C1141" s="1" t="n">
        <v>46012</v>
      </c>
      <c r="D1141" t="inlineStr">
        <is>
          <t>JÄMTLANDS LÄN</t>
        </is>
      </c>
      <c r="E1141" t="inlineStr">
        <is>
          <t>KROKOM</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11436-2025</t>
        </is>
      </c>
      <c r="B1142" s="1" t="n">
        <v>45726.61520833334</v>
      </c>
      <c r="C1142" s="1" t="n">
        <v>46012</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31821-2023</t>
        </is>
      </c>
      <c r="B1143" s="1" t="n">
        <v>45118</v>
      </c>
      <c r="C1143" s="1" t="n">
        <v>46012</v>
      </c>
      <c r="D1143" t="inlineStr">
        <is>
          <t>JÄMTLANDS LÄN</t>
        </is>
      </c>
      <c r="E1143" t="inlineStr">
        <is>
          <t>KROKOM</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49875-2024</t>
        </is>
      </c>
      <c r="B1144" s="1" t="n">
        <v>45597.49638888889</v>
      </c>
      <c r="C1144" s="1" t="n">
        <v>46012</v>
      </c>
      <c r="D1144" t="inlineStr">
        <is>
          <t>JÄMTLANDS LÄN</t>
        </is>
      </c>
      <c r="E1144" t="inlineStr">
        <is>
          <t>KROKOM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64163-2023</t>
        </is>
      </c>
      <c r="B1145" s="1" t="n">
        <v>45279</v>
      </c>
      <c r="C1145" s="1" t="n">
        <v>46012</v>
      </c>
      <c r="D1145" t="inlineStr">
        <is>
          <t>JÄMTLANDS LÄN</t>
        </is>
      </c>
      <c r="E1145" t="inlineStr">
        <is>
          <t>KROKOM</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51345-2022</t>
        </is>
      </c>
      <c r="B1146" s="1" t="n">
        <v>44866</v>
      </c>
      <c r="C1146" s="1" t="n">
        <v>46012</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11193-2024</t>
        </is>
      </c>
      <c r="B1147" s="1" t="n">
        <v>45371</v>
      </c>
      <c r="C1147" s="1" t="n">
        <v>46012</v>
      </c>
      <c r="D1147" t="inlineStr">
        <is>
          <t>JÄMTLANDS LÄN</t>
        </is>
      </c>
      <c r="E1147" t="inlineStr">
        <is>
          <t>KROKOM</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6347-2023</t>
        </is>
      </c>
      <c r="B1148" s="1" t="n">
        <v>44965</v>
      </c>
      <c r="C1148" s="1" t="n">
        <v>46012</v>
      </c>
      <c r="D1148" t="inlineStr">
        <is>
          <t>JÄMTLANDS LÄN</t>
        </is>
      </c>
      <c r="E1148" t="inlineStr">
        <is>
          <t>KROKOM</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62413-2023</t>
        </is>
      </c>
      <c r="B1149" s="1" t="n">
        <v>45266</v>
      </c>
      <c r="C1149" s="1" t="n">
        <v>46012</v>
      </c>
      <c r="D1149" t="inlineStr">
        <is>
          <t>JÄMTLANDS LÄN</t>
        </is>
      </c>
      <c r="E1149" t="inlineStr">
        <is>
          <t>KROKOM</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57259-2023</t>
        </is>
      </c>
      <c r="B1150" s="1" t="n">
        <v>45245</v>
      </c>
      <c r="C1150" s="1" t="n">
        <v>46012</v>
      </c>
      <c r="D1150" t="inlineStr">
        <is>
          <t>JÄMTLANDS LÄN</t>
        </is>
      </c>
      <c r="E1150" t="inlineStr">
        <is>
          <t>KROKOM</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5173-2025</t>
        </is>
      </c>
      <c r="B1151" s="1" t="n">
        <v>45691.61996527778</v>
      </c>
      <c r="C1151" s="1" t="n">
        <v>46012</v>
      </c>
      <c r="D1151" t="inlineStr">
        <is>
          <t>JÄMTLANDS LÄN</t>
        </is>
      </c>
      <c r="E1151" t="inlineStr">
        <is>
          <t>KROKOM</t>
        </is>
      </c>
      <c r="F1151" t="inlineStr">
        <is>
          <t>Kyrkan</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10532-2025</t>
        </is>
      </c>
      <c r="B1152" s="1" t="n">
        <v>45721.4546412037</v>
      </c>
      <c r="C1152" s="1" t="n">
        <v>46012</v>
      </c>
      <c r="D1152" t="inlineStr">
        <is>
          <t>JÄMTLANDS LÄN</t>
        </is>
      </c>
      <c r="E1152" t="inlineStr">
        <is>
          <t>KROKOM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22258-2024</t>
        </is>
      </c>
      <c r="B1153" s="1" t="n">
        <v>45446.47634259259</v>
      </c>
      <c r="C1153" s="1" t="n">
        <v>46012</v>
      </c>
      <c r="D1153" t="inlineStr">
        <is>
          <t>JÄMTLANDS LÄN</t>
        </is>
      </c>
      <c r="E1153" t="inlineStr">
        <is>
          <t>KROKOM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29484-2024</t>
        </is>
      </c>
      <c r="B1154" s="1" t="n">
        <v>45484</v>
      </c>
      <c r="C1154" s="1" t="n">
        <v>46012</v>
      </c>
      <c r="D1154" t="inlineStr">
        <is>
          <t>JÄMTLANDS LÄN</t>
        </is>
      </c>
      <c r="E1154" t="inlineStr">
        <is>
          <t>KROKOM</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34902-2024</t>
        </is>
      </c>
      <c r="B1155" s="1" t="n">
        <v>45527.39858796296</v>
      </c>
      <c r="C1155" s="1" t="n">
        <v>46012</v>
      </c>
      <c r="D1155" t="inlineStr">
        <is>
          <t>JÄMTLANDS LÄN</t>
        </is>
      </c>
      <c r="E1155" t="inlineStr">
        <is>
          <t>KROKOM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28780-2024</t>
        </is>
      </c>
      <c r="B1156" s="1" t="n">
        <v>45478.60708333334</v>
      </c>
      <c r="C1156" s="1" t="n">
        <v>46012</v>
      </c>
      <c r="D1156" t="inlineStr">
        <is>
          <t>JÄMTLANDS LÄN</t>
        </is>
      </c>
      <c r="E1156" t="inlineStr">
        <is>
          <t>KROKOM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26693-2023</t>
        </is>
      </c>
      <c r="B1157" s="1" t="n">
        <v>45090</v>
      </c>
      <c r="C1157" s="1" t="n">
        <v>46012</v>
      </c>
      <c r="D1157" t="inlineStr">
        <is>
          <t>JÄMTLANDS LÄN</t>
        </is>
      </c>
      <c r="E1157" t="inlineStr">
        <is>
          <t>KROKOM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17469-2024</t>
        </is>
      </c>
      <c r="B1158" s="1" t="n">
        <v>45415.45006944444</v>
      </c>
      <c r="C1158" s="1" t="n">
        <v>46012</v>
      </c>
      <c r="D1158" t="inlineStr">
        <is>
          <t>JÄMTLANDS LÄN</t>
        </is>
      </c>
      <c r="E1158" t="inlineStr">
        <is>
          <t>KROKOM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17950-2025</t>
        </is>
      </c>
      <c r="B1159" s="1" t="n">
        <v>45760.81083333334</v>
      </c>
      <c r="C1159" s="1" t="n">
        <v>46012</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50391-2024</t>
        </is>
      </c>
      <c r="B1160" s="1" t="n">
        <v>45601.33743055556</v>
      </c>
      <c r="C1160" s="1" t="n">
        <v>46012</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56927-2023</t>
        </is>
      </c>
      <c r="B1161" s="1" t="n">
        <v>45244</v>
      </c>
      <c r="C1161" s="1" t="n">
        <v>46012</v>
      </c>
      <c r="D1161" t="inlineStr">
        <is>
          <t>JÄMTLANDS LÄN</t>
        </is>
      </c>
      <c r="E1161" t="inlineStr">
        <is>
          <t>KROKOM</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4355-2024</t>
        </is>
      </c>
      <c r="B1162" s="1" t="n">
        <v>45324</v>
      </c>
      <c r="C1162" s="1" t="n">
        <v>46012</v>
      </c>
      <c r="D1162" t="inlineStr">
        <is>
          <t>JÄMTLANDS LÄN</t>
        </is>
      </c>
      <c r="E1162" t="inlineStr">
        <is>
          <t>KROKOM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18980-2025</t>
        </is>
      </c>
      <c r="B1163" s="1" t="n">
        <v>45764.55260416667</v>
      </c>
      <c r="C1163" s="1" t="n">
        <v>46012</v>
      </c>
      <c r="D1163" t="inlineStr">
        <is>
          <t>JÄMTLANDS LÄN</t>
        </is>
      </c>
      <c r="E1163" t="inlineStr">
        <is>
          <t>KROKOM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50782-2023</t>
        </is>
      </c>
      <c r="B1164" s="1" t="n">
        <v>45217</v>
      </c>
      <c r="C1164" s="1" t="n">
        <v>46012</v>
      </c>
      <c r="D1164" t="inlineStr">
        <is>
          <t>JÄMTLANDS LÄN</t>
        </is>
      </c>
      <c r="E1164" t="inlineStr">
        <is>
          <t>KROKOM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39126-2023</t>
        </is>
      </c>
      <c r="B1165" s="1" t="n">
        <v>45165.69965277778</v>
      </c>
      <c r="C1165" s="1" t="n">
        <v>46012</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47635-2023</t>
        </is>
      </c>
      <c r="B1166" s="1" t="n">
        <v>45203</v>
      </c>
      <c r="C1166" s="1" t="n">
        <v>46012</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785-2024</t>
        </is>
      </c>
      <c r="B1167" s="1" t="n">
        <v>45300</v>
      </c>
      <c r="C1167" s="1" t="n">
        <v>46012</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4354-2025</t>
        </is>
      </c>
      <c r="B1168" s="1" t="n">
        <v>45686.32671296296</v>
      </c>
      <c r="C1168" s="1" t="n">
        <v>46012</v>
      </c>
      <c r="D1168" t="inlineStr">
        <is>
          <t>JÄMTLANDS LÄN</t>
        </is>
      </c>
      <c r="E1168" t="inlineStr">
        <is>
          <t>KROKOM</t>
        </is>
      </c>
      <c r="F1168" t="inlineStr">
        <is>
          <t>SCA</t>
        </is>
      </c>
      <c r="G1168" t="n">
        <v>12.8</v>
      </c>
      <c r="H1168" t="n">
        <v>0</v>
      </c>
      <c r="I1168" t="n">
        <v>0</v>
      </c>
      <c r="J1168" t="n">
        <v>0</v>
      </c>
      <c r="K1168" t="n">
        <v>0</v>
      </c>
      <c r="L1168" t="n">
        <v>0</v>
      </c>
      <c r="M1168" t="n">
        <v>0</v>
      </c>
      <c r="N1168" t="n">
        <v>0</v>
      </c>
      <c r="O1168" t="n">
        <v>0</v>
      </c>
      <c r="P1168" t="n">
        <v>0</v>
      </c>
      <c r="Q1168" t="n">
        <v>0</v>
      </c>
      <c r="R1168" s="2" t="inlineStr"/>
    </row>
    <row r="1169" ht="15" customHeight="1">
      <c r="A1169" t="inlineStr">
        <is>
          <t>A 7072-2025</t>
        </is>
      </c>
      <c r="B1169" s="1" t="n">
        <v>45701</v>
      </c>
      <c r="C1169" s="1" t="n">
        <v>46012</v>
      </c>
      <c r="D1169" t="inlineStr">
        <is>
          <t>JÄMTLANDS LÄN</t>
        </is>
      </c>
      <c r="E1169" t="inlineStr">
        <is>
          <t>KROKOM</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9623-2025</t>
        </is>
      </c>
      <c r="B1170" s="1" t="n">
        <v>45715</v>
      </c>
      <c r="C1170" s="1" t="n">
        <v>46012</v>
      </c>
      <c r="D1170" t="inlineStr">
        <is>
          <t>JÄMTLANDS LÄN</t>
        </is>
      </c>
      <c r="E1170" t="inlineStr">
        <is>
          <t>KROKOM</t>
        </is>
      </c>
      <c r="F1170" t="inlineStr">
        <is>
          <t>Kyrkan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5498-2025</t>
        </is>
      </c>
      <c r="B1171" s="1" t="n">
        <v>45693</v>
      </c>
      <c r="C1171" s="1" t="n">
        <v>46012</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8784-2025</t>
        </is>
      </c>
      <c r="B1172" s="1" t="n">
        <v>45712</v>
      </c>
      <c r="C1172" s="1" t="n">
        <v>46012</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21027-2025</t>
        </is>
      </c>
      <c r="B1173" s="1" t="n">
        <v>45777</v>
      </c>
      <c r="C1173" s="1" t="n">
        <v>46012</v>
      </c>
      <c r="D1173" t="inlineStr">
        <is>
          <t>JÄMTLANDS LÄN</t>
        </is>
      </c>
      <c r="E1173" t="inlineStr">
        <is>
          <t>KROKOM</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21239-2025</t>
        </is>
      </c>
      <c r="B1174" s="1" t="n">
        <v>45779.56659722222</v>
      </c>
      <c r="C1174" s="1" t="n">
        <v>46012</v>
      </c>
      <c r="D1174" t="inlineStr">
        <is>
          <t>JÄMTLANDS LÄN</t>
        </is>
      </c>
      <c r="E1174" t="inlineStr">
        <is>
          <t>KROKOM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21276-2025</t>
        </is>
      </c>
      <c r="B1175" s="1" t="n">
        <v>45779.63834490741</v>
      </c>
      <c r="C1175" s="1" t="n">
        <v>46012</v>
      </c>
      <c r="D1175" t="inlineStr">
        <is>
          <t>JÄMTLANDS LÄN</t>
        </is>
      </c>
      <c r="E1175" t="inlineStr">
        <is>
          <t>KROKOM</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21254-2025</t>
        </is>
      </c>
      <c r="B1176" s="1" t="n">
        <v>45779.57626157408</v>
      </c>
      <c r="C1176" s="1" t="n">
        <v>46012</v>
      </c>
      <c r="D1176" t="inlineStr">
        <is>
          <t>JÄMTLANDS LÄN</t>
        </is>
      </c>
      <c r="E1176" t="inlineStr">
        <is>
          <t>KROKOM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21280-2025</t>
        </is>
      </c>
      <c r="B1177" s="1" t="n">
        <v>45779.65980324074</v>
      </c>
      <c r="C1177" s="1" t="n">
        <v>46012</v>
      </c>
      <c r="D1177" t="inlineStr">
        <is>
          <t>JÄMTLANDS LÄN</t>
        </is>
      </c>
      <c r="E1177" t="inlineStr">
        <is>
          <t>KROKOM</t>
        </is>
      </c>
      <c r="G1177" t="n">
        <v>30.9</v>
      </c>
      <c r="H1177" t="n">
        <v>0</v>
      </c>
      <c r="I1177" t="n">
        <v>0</v>
      </c>
      <c r="J1177" t="n">
        <v>0</v>
      </c>
      <c r="K1177" t="n">
        <v>0</v>
      </c>
      <c r="L1177" t="n">
        <v>0</v>
      </c>
      <c r="M1177" t="n">
        <v>0</v>
      </c>
      <c r="N1177" t="n">
        <v>0</v>
      </c>
      <c r="O1177" t="n">
        <v>0</v>
      </c>
      <c r="P1177" t="n">
        <v>0</v>
      </c>
      <c r="Q1177" t="n">
        <v>0</v>
      </c>
      <c r="R1177" s="2" t="inlineStr"/>
    </row>
    <row r="1178" ht="15" customHeight="1">
      <c r="A1178" t="inlineStr">
        <is>
          <t>A 21172-2025</t>
        </is>
      </c>
      <c r="B1178" s="1" t="n">
        <v>45779.42630787037</v>
      </c>
      <c r="C1178" s="1" t="n">
        <v>46012</v>
      </c>
      <c r="D1178" t="inlineStr">
        <is>
          <t>JÄMTLANDS LÄN</t>
        </is>
      </c>
      <c r="E1178" t="inlineStr">
        <is>
          <t>KROKOM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21240-2025</t>
        </is>
      </c>
      <c r="B1179" s="1" t="n">
        <v>45779.5674074074</v>
      </c>
      <c r="C1179" s="1" t="n">
        <v>46012</v>
      </c>
      <c r="D1179" t="inlineStr">
        <is>
          <t>JÄMTLANDS LÄN</t>
        </is>
      </c>
      <c r="E1179" t="inlineStr">
        <is>
          <t>KROKOM</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6068-2025</t>
        </is>
      </c>
      <c r="B1180" s="1" t="n">
        <v>45696</v>
      </c>
      <c r="C1180" s="1" t="n">
        <v>46012</v>
      </c>
      <c r="D1180" t="inlineStr">
        <is>
          <t>JÄMTLANDS LÄN</t>
        </is>
      </c>
      <c r="E1180" t="inlineStr">
        <is>
          <t>KROKOM</t>
        </is>
      </c>
      <c r="F1180" t="inlineStr">
        <is>
          <t>Övriga Aktiebolag</t>
        </is>
      </c>
      <c r="G1180" t="n">
        <v>17.2</v>
      </c>
      <c r="H1180" t="n">
        <v>0</v>
      </c>
      <c r="I1180" t="n">
        <v>0</v>
      </c>
      <c r="J1180" t="n">
        <v>0</v>
      </c>
      <c r="K1180" t="n">
        <v>0</v>
      </c>
      <c r="L1180" t="n">
        <v>0</v>
      </c>
      <c r="M1180" t="n">
        <v>0</v>
      </c>
      <c r="N1180" t="n">
        <v>0</v>
      </c>
      <c r="O1180" t="n">
        <v>0</v>
      </c>
      <c r="P1180" t="n">
        <v>0</v>
      </c>
      <c r="Q1180" t="n">
        <v>0</v>
      </c>
      <c r="R1180" s="2" t="inlineStr"/>
    </row>
    <row r="1181" ht="15" customHeight="1">
      <c r="A1181" t="inlineStr">
        <is>
          <t>A 21654-2025</t>
        </is>
      </c>
      <c r="B1181" s="1" t="n">
        <v>45783.45121527778</v>
      </c>
      <c r="C1181" s="1" t="n">
        <v>46012</v>
      </c>
      <c r="D1181" t="inlineStr">
        <is>
          <t>JÄMTLANDS LÄN</t>
        </is>
      </c>
      <c r="E1181" t="inlineStr">
        <is>
          <t>KROKOM</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21643-2025</t>
        </is>
      </c>
      <c r="B1182" s="1" t="n">
        <v>45783.43409722222</v>
      </c>
      <c r="C1182" s="1" t="n">
        <v>46012</v>
      </c>
      <c r="D1182" t="inlineStr">
        <is>
          <t>JÄMTLANDS LÄN</t>
        </is>
      </c>
      <c r="E1182" t="inlineStr">
        <is>
          <t>KROKOM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8872-2025</t>
        </is>
      </c>
      <c r="B1183" s="1" t="n">
        <v>45713.37111111111</v>
      </c>
      <c r="C1183" s="1" t="n">
        <v>46012</v>
      </c>
      <c r="D1183" t="inlineStr">
        <is>
          <t>JÄMTLANDS LÄN</t>
        </is>
      </c>
      <c r="E1183" t="inlineStr">
        <is>
          <t>KROKOM</t>
        </is>
      </c>
      <c r="F1183" t="inlineStr">
        <is>
          <t>Övriga Aktiebolag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4707-2025</t>
        </is>
      </c>
      <c r="B1184" s="1" t="n">
        <v>45688.38393518519</v>
      </c>
      <c r="C1184" s="1" t="n">
        <v>46012</v>
      </c>
      <c r="D1184" t="inlineStr">
        <is>
          <t>JÄMTLANDS LÄN</t>
        </is>
      </c>
      <c r="E1184" t="inlineStr">
        <is>
          <t>KROKOM</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14240-2025</t>
        </is>
      </c>
      <c r="B1185" s="1" t="n">
        <v>45740</v>
      </c>
      <c r="C1185" s="1" t="n">
        <v>46012</v>
      </c>
      <c r="D1185" t="inlineStr">
        <is>
          <t>JÄMTLANDS LÄN</t>
        </is>
      </c>
      <c r="E1185" t="inlineStr">
        <is>
          <t>KROKOM</t>
        </is>
      </c>
      <c r="G1185" t="n">
        <v>30.3</v>
      </c>
      <c r="H1185" t="n">
        <v>0</v>
      </c>
      <c r="I1185" t="n">
        <v>0</v>
      </c>
      <c r="J1185" t="n">
        <v>0</v>
      </c>
      <c r="K1185" t="n">
        <v>0</v>
      </c>
      <c r="L1185" t="n">
        <v>0</v>
      </c>
      <c r="M1185" t="n">
        <v>0</v>
      </c>
      <c r="N1185" t="n">
        <v>0</v>
      </c>
      <c r="O1185" t="n">
        <v>0</v>
      </c>
      <c r="P1185" t="n">
        <v>0</v>
      </c>
      <c r="Q1185" t="n">
        <v>0</v>
      </c>
      <c r="R1185" s="2" t="inlineStr"/>
    </row>
    <row r="1186" ht="15" customHeight="1">
      <c r="A1186" t="inlineStr">
        <is>
          <t>A 22297-2025</t>
        </is>
      </c>
      <c r="B1186" s="1" t="n">
        <v>45786.35219907408</v>
      </c>
      <c r="C1186" s="1" t="n">
        <v>46012</v>
      </c>
      <c r="D1186" t="inlineStr">
        <is>
          <t>JÄMTLANDS LÄN</t>
        </is>
      </c>
      <c r="E1186" t="inlineStr">
        <is>
          <t>KROKOM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22122-2025</t>
        </is>
      </c>
      <c r="B1187" s="1" t="n">
        <v>45785.52112268518</v>
      </c>
      <c r="C1187" s="1" t="n">
        <v>46012</v>
      </c>
      <c r="D1187" t="inlineStr">
        <is>
          <t>JÄMTLANDS LÄN</t>
        </is>
      </c>
      <c r="E1187" t="inlineStr">
        <is>
          <t>KROKOM</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22132-2025</t>
        </is>
      </c>
      <c r="B1188" s="1" t="n">
        <v>45785.5403125</v>
      </c>
      <c r="C1188" s="1" t="n">
        <v>46012</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22136-2025</t>
        </is>
      </c>
      <c r="B1189" s="1" t="n">
        <v>45785.54635416667</v>
      </c>
      <c r="C1189" s="1" t="n">
        <v>46012</v>
      </c>
      <c r="D1189" t="inlineStr">
        <is>
          <t>JÄMTLANDS LÄN</t>
        </is>
      </c>
      <c r="E1189" t="inlineStr">
        <is>
          <t>KROKOM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22304-2025</t>
        </is>
      </c>
      <c r="B1190" s="1" t="n">
        <v>45786</v>
      </c>
      <c r="C1190" s="1" t="n">
        <v>46012</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22499-2025</t>
        </is>
      </c>
      <c r="B1191" s="1" t="n">
        <v>45786.65702546296</v>
      </c>
      <c r="C1191" s="1" t="n">
        <v>46012</v>
      </c>
      <c r="D1191" t="inlineStr">
        <is>
          <t>JÄMTLANDS LÄN</t>
        </is>
      </c>
      <c r="E1191" t="inlineStr">
        <is>
          <t>KROKOM</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22503-2025</t>
        </is>
      </c>
      <c r="B1192" s="1" t="n">
        <v>45786.66140046297</v>
      </c>
      <c r="C1192" s="1" t="n">
        <v>46012</v>
      </c>
      <c r="D1192" t="inlineStr">
        <is>
          <t>JÄMTLANDS LÄN</t>
        </is>
      </c>
      <c r="E1192" t="inlineStr">
        <is>
          <t>KROKOM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9388-2025</t>
        </is>
      </c>
      <c r="B1193" s="1" t="n">
        <v>45715</v>
      </c>
      <c r="C1193" s="1" t="n">
        <v>46012</v>
      </c>
      <c r="D1193" t="inlineStr">
        <is>
          <t>JÄMTLANDS LÄN</t>
        </is>
      </c>
      <c r="E1193" t="inlineStr">
        <is>
          <t>KROKOM</t>
        </is>
      </c>
      <c r="F1193" t="inlineStr">
        <is>
          <t>Övriga Aktiebolag</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22115-2025</t>
        </is>
      </c>
      <c r="B1194" s="1" t="n">
        <v>45785.51092592593</v>
      </c>
      <c r="C1194" s="1" t="n">
        <v>46012</v>
      </c>
      <c r="D1194" t="inlineStr">
        <is>
          <t>JÄMTLANDS LÄN</t>
        </is>
      </c>
      <c r="E1194" t="inlineStr">
        <is>
          <t>KROKOM</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22731-2025</t>
        </is>
      </c>
      <c r="B1195" s="1" t="n">
        <v>45789.58238425926</v>
      </c>
      <c r="C1195" s="1" t="n">
        <v>46012</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22751-2025</t>
        </is>
      </c>
      <c r="B1196" s="1" t="n">
        <v>45789.61349537037</v>
      </c>
      <c r="C1196" s="1" t="n">
        <v>46012</v>
      </c>
      <c r="D1196" t="inlineStr">
        <is>
          <t>JÄMTLANDS LÄN</t>
        </is>
      </c>
      <c r="E1196" t="inlineStr">
        <is>
          <t>KROKOM</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58136-2024</t>
        </is>
      </c>
      <c r="B1197" s="1" t="n">
        <v>45632</v>
      </c>
      <c r="C1197" s="1" t="n">
        <v>46012</v>
      </c>
      <c r="D1197" t="inlineStr">
        <is>
          <t>JÄMTLANDS LÄN</t>
        </is>
      </c>
      <c r="E1197" t="inlineStr">
        <is>
          <t>KROKOM</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31655-2025</t>
        </is>
      </c>
      <c r="B1198" s="1" t="n">
        <v>45834.34737268519</v>
      </c>
      <c r="C1198" s="1" t="n">
        <v>46012</v>
      </c>
      <c r="D1198" t="inlineStr">
        <is>
          <t>JÄMTLANDS LÄN</t>
        </is>
      </c>
      <c r="E1198" t="inlineStr">
        <is>
          <t>KROKOM</t>
        </is>
      </c>
      <c r="F1198" t="inlineStr">
        <is>
          <t>SCA</t>
        </is>
      </c>
      <c r="G1198" t="n">
        <v>9.300000000000001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45822-2023</t>
        </is>
      </c>
      <c r="B1199" s="1" t="n">
        <v>45195</v>
      </c>
      <c r="C1199" s="1" t="n">
        <v>46012</v>
      </c>
      <c r="D1199" t="inlineStr">
        <is>
          <t>JÄMTLANDS LÄN</t>
        </is>
      </c>
      <c r="E1199" t="inlineStr">
        <is>
          <t>KROKOM</t>
        </is>
      </c>
      <c r="F1199" t="inlineStr">
        <is>
          <t>Övriga Aktiebolag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57985-2024</t>
        </is>
      </c>
      <c r="B1200" s="1" t="n">
        <v>45631.61869212963</v>
      </c>
      <c r="C1200" s="1" t="n">
        <v>46012</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6015-2025</t>
        </is>
      </c>
      <c r="B1201" s="1" t="n">
        <v>45695.60015046296</v>
      </c>
      <c r="C1201" s="1" t="n">
        <v>46012</v>
      </c>
      <c r="D1201" t="inlineStr">
        <is>
          <t>JÄMTLANDS LÄN</t>
        </is>
      </c>
      <c r="E1201" t="inlineStr">
        <is>
          <t>KROKOM</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39169-2023</t>
        </is>
      </c>
      <c r="B1202" s="1" t="n">
        <v>45166</v>
      </c>
      <c r="C1202" s="1" t="n">
        <v>46012</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36577-2021</t>
        </is>
      </c>
      <c r="B1203" s="1" t="n">
        <v>44391</v>
      </c>
      <c r="C1203" s="1" t="n">
        <v>46012</v>
      </c>
      <c r="D1203" t="inlineStr">
        <is>
          <t>JÄMTLANDS LÄN</t>
        </is>
      </c>
      <c r="E1203" t="inlineStr">
        <is>
          <t>KROKOM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23288-2025</t>
        </is>
      </c>
      <c r="B1204" s="1" t="n">
        <v>45791</v>
      </c>
      <c r="C1204" s="1" t="n">
        <v>46012</v>
      </c>
      <c r="D1204" t="inlineStr">
        <is>
          <t>JÄMTLANDS LÄN</t>
        </is>
      </c>
      <c r="E1204" t="inlineStr">
        <is>
          <t>KROKOM</t>
        </is>
      </c>
      <c r="G1204" t="n">
        <v>0.5</v>
      </c>
      <c r="H1204" t="n">
        <v>0</v>
      </c>
      <c r="I1204" t="n">
        <v>0</v>
      </c>
      <c r="J1204" t="n">
        <v>0</v>
      </c>
      <c r="K1204" t="n">
        <v>0</v>
      </c>
      <c r="L1204" t="n">
        <v>0</v>
      </c>
      <c r="M1204" t="n">
        <v>0</v>
      </c>
      <c r="N1204" t="n">
        <v>0</v>
      </c>
      <c r="O1204" t="n">
        <v>0</v>
      </c>
      <c r="P1204" t="n">
        <v>0</v>
      </c>
      <c r="Q1204" t="n">
        <v>0</v>
      </c>
      <c r="R1204" s="2" t="inlineStr"/>
    </row>
    <row r="1205">
      <c r="A1205" t="inlineStr">
        <is>
          <t>A 23080-2025</t>
        </is>
      </c>
      <c r="B1205" s="1" t="n">
        <v>45791.3162037037</v>
      </c>
      <c r="C1205" s="1" t="n">
        <v>46012</v>
      </c>
      <c r="D1205" t="inlineStr">
        <is>
          <t>JÄMTLANDS LÄN</t>
        </is>
      </c>
      <c r="E1205" t="inlineStr">
        <is>
          <t>KROKOM</t>
        </is>
      </c>
      <c r="G1205" t="n">
        <v>1.7</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2025-12-21T10:39:26Z</dcterms:created>
  <dcterms:modified xmlns:dcterms="http://purl.org/dc/terms/" xmlns:xsi="http://www.w3.org/2001/XMLSchema-instance" xsi:type="dcterms:W3CDTF">2025-12-21T10:39:27Z</dcterms:modified>
</cp:coreProperties>
</file>