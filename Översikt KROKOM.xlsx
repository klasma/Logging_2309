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45900</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45900</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45900</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45900</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45900</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45900</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45900</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45900</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45900</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38791-2025</t>
        </is>
      </c>
      <c r="B19" s="1" t="n">
        <v>45887.44892361111</v>
      </c>
      <c r="C19" s="1" t="n">
        <v>45900</v>
      </c>
      <c r="D19" t="inlineStr">
        <is>
          <t>JÄMTLANDS LÄN</t>
        </is>
      </c>
      <c r="E19" t="inlineStr">
        <is>
          <t>KROKOM</t>
        </is>
      </c>
      <c r="G19" t="n">
        <v>36.1</v>
      </c>
      <c r="H19" t="n">
        <v>5</v>
      </c>
      <c r="I19" t="n">
        <v>10</v>
      </c>
      <c r="J19" t="n">
        <v>5</v>
      </c>
      <c r="K19" t="n">
        <v>0</v>
      </c>
      <c r="L19" t="n">
        <v>0</v>
      </c>
      <c r="M19" t="n">
        <v>0</v>
      </c>
      <c r="N19" t="n">
        <v>0</v>
      </c>
      <c r="O19" t="n">
        <v>5</v>
      </c>
      <c r="P19" t="n">
        <v>0</v>
      </c>
      <c r="Q19" t="n">
        <v>17</v>
      </c>
      <c r="R19" s="2" t="inlineStr">
        <is>
          <t>Garnlav
Lunglav
Skrovellav
Tretåig hackspett
Ullticka
Bårdlav
Fjällig taggsvamp s.str.
Grönkulla
Korallblylav
Kransrams
Luddlav
Stuplav
Tibast
Trådfräken
Tvåblad
Fläcknycklar
Blåsippa</t>
        </is>
      </c>
      <c r="S19">
        <f>HYPERLINK("https://klasma.github.io/Logging_2309/artfynd/A 38791-2025 artfynd.xlsx", "A 38791-2025")</f>
        <v/>
      </c>
      <c r="T19">
        <f>HYPERLINK("https://klasma.github.io/Logging_2309/kartor/A 38791-2025 karta.png", "A 38791-2025")</f>
        <v/>
      </c>
      <c r="V19">
        <f>HYPERLINK("https://klasma.github.io/Logging_2309/klagomål/A 38791-2025 FSC-klagomål.docx", "A 38791-2025")</f>
        <v/>
      </c>
      <c r="W19">
        <f>HYPERLINK("https://klasma.github.io/Logging_2309/klagomålsmail/A 38791-2025 FSC-klagomål mail.docx", "A 38791-2025")</f>
        <v/>
      </c>
      <c r="X19">
        <f>HYPERLINK("https://klasma.github.io/Logging_2309/tillsyn/A 38791-2025 tillsynsbegäran.docx", "A 38791-2025")</f>
        <v/>
      </c>
      <c r="Y19">
        <f>HYPERLINK("https://klasma.github.io/Logging_2309/tillsynsmail/A 38791-2025 tillsynsbegäran mail.docx", "A 38791-2025")</f>
        <v/>
      </c>
      <c r="Z19">
        <f>HYPERLINK("https://klasma.github.io/Logging_2309/fåglar/A 38791-2025 prioriterade fågelarter.docx", "A 38791-2025")</f>
        <v/>
      </c>
    </row>
    <row r="20" ht="15" customHeight="1">
      <c r="A20" t="inlineStr">
        <is>
          <t>A 30145-2021</t>
        </is>
      </c>
      <c r="B20" s="1" t="n">
        <v>44363</v>
      </c>
      <c r="C20" s="1" t="n">
        <v>45900</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45900</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23434-2024</t>
        </is>
      </c>
      <c r="B22" s="1" t="n">
        <v>45453</v>
      </c>
      <c r="C22" s="1" t="n">
        <v>45900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57461-2024</t>
        </is>
      </c>
      <c r="B23" s="1" t="n">
        <v>45630</v>
      </c>
      <c r="C23" s="1" t="n">
        <v>45900</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56633-2024</t>
        </is>
      </c>
      <c r="B24" s="1" t="n">
        <v>45625</v>
      </c>
      <c r="C24" s="1" t="n">
        <v>45900</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45900</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45900</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45900</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45900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45900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45900</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45900</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45900</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45900</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45900</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45900</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45900</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45900</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45900</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45900</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45900</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45900</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45900</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61388-2024</t>
        </is>
      </c>
      <c r="B43" s="1" t="n">
        <v>45646</v>
      </c>
      <c r="C43" s="1" t="n">
        <v>45900</v>
      </c>
      <c r="D43" t="inlineStr">
        <is>
          <t>JÄMTLANDS LÄN</t>
        </is>
      </c>
      <c r="E43" t="inlineStr">
        <is>
          <t>KROKOM</t>
        </is>
      </c>
      <c r="G43" t="n">
        <v>44.1</v>
      </c>
      <c r="H43" t="n">
        <v>2</v>
      </c>
      <c r="I43" t="n">
        <v>1</v>
      </c>
      <c r="J43" t="n">
        <v>9</v>
      </c>
      <c r="K43" t="n">
        <v>0</v>
      </c>
      <c r="L43" t="n">
        <v>0</v>
      </c>
      <c r="M43" t="n">
        <v>0</v>
      </c>
      <c r="N43" t="n">
        <v>0</v>
      </c>
      <c r="O43" t="n">
        <v>9</v>
      </c>
      <c r="P43" t="n">
        <v>0</v>
      </c>
      <c r="Q43" t="n">
        <v>11</v>
      </c>
      <c r="R43" s="2" t="inlineStr">
        <is>
          <t>Doftskinn
Gammelgransskål
Garnlav
Granticka
Knottrig blåslav
Rödbrun blekspik
Skrovellav
Ullticka
Vitgrynig nållav
Tvåblad
Lavskrika</t>
        </is>
      </c>
      <c r="S43">
        <f>HYPERLINK("https://klasma.github.io/Logging_2309/artfynd/A 61388-2024 artfynd.xlsx", "A 61388-2024")</f>
        <v/>
      </c>
      <c r="T43">
        <f>HYPERLINK("https://klasma.github.io/Logging_2309/kartor/A 61388-2024 karta.png", "A 61388-2024")</f>
        <v/>
      </c>
      <c r="V43">
        <f>HYPERLINK("https://klasma.github.io/Logging_2309/klagomål/A 61388-2024 FSC-klagomål.docx", "A 61388-2024")</f>
        <v/>
      </c>
      <c r="W43">
        <f>HYPERLINK("https://klasma.github.io/Logging_2309/klagomålsmail/A 61388-2024 FSC-klagomål mail.docx", "A 61388-2024")</f>
        <v/>
      </c>
      <c r="X43">
        <f>HYPERLINK("https://klasma.github.io/Logging_2309/tillsyn/A 61388-2024 tillsynsbegäran.docx", "A 61388-2024")</f>
        <v/>
      </c>
      <c r="Y43">
        <f>HYPERLINK("https://klasma.github.io/Logging_2309/tillsynsmail/A 61388-2024 tillsynsbegäran mail.docx", "A 61388-2024")</f>
        <v/>
      </c>
      <c r="Z43">
        <f>HYPERLINK("https://klasma.github.io/Logging_2309/fåglar/A 61388-2024 prioriterade fågelarter.docx", "A 61388-2024")</f>
        <v/>
      </c>
    </row>
    <row r="44" ht="15" customHeight="1">
      <c r="A44" t="inlineStr">
        <is>
          <t>A 5877-2021</t>
        </is>
      </c>
      <c r="B44" s="1" t="n">
        <v>44231</v>
      </c>
      <c r="C44" s="1" t="n">
        <v>45900</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45900</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55352-2021</t>
        </is>
      </c>
      <c r="B46" s="1" t="n">
        <v>44475</v>
      </c>
      <c r="C46" s="1" t="n">
        <v>45900</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45900</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32351-2024</t>
        </is>
      </c>
      <c r="B48" s="1" t="n">
        <v>45512</v>
      </c>
      <c r="C48" s="1" t="n">
        <v>45900</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45900</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45900</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45900</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45900</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45900</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45900</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45900</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45900</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45900</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60372-2024</t>
        </is>
      </c>
      <c r="B58" s="1" t="n">
        <v>45643</v>
      </c>
      <c r="C58" s="1" t="n">
        <v>45900</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52633-2023</t>
        </is>
      </c>
      <c r="B59" s="1" t="n">
        <v>45219</v>
      </c>
      <c r="C59" s="1" t="n">
        <v>45900</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52574-2020</t>
        </is>
      </c>
      <c r="B60" s="1" t="n">
        <v>44118</v>
      </c>
      <c r="C60" s="1" t="n">
        <v>45900</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61749-2021</t>
        </is>
      </c>
      <c r="B61" s="1" t="n">
        <v>44498</v>
      </c>
      <c r="C61" s="1" t="n">
        <v>45900</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45900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45900</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45900</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45900</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45900</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45900</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45900</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45900</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61448-2021</t>
        </is>
      </c>
      <c r="B70" s="1" t="n">
        <v>44500</v>
      </c>
      <c r="C70" s="1" t="n">
        <v>45900</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3134-2024</t>
        </is>
      </c>
      <c r="B71" s="1" t="n">
        <v>45316</v>
      </c>
      <c r="C71" s="1" t="n">
        <v>45900</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35884-2025</t>
        </is>
      </c>
      <c r="B72" s="1" t="n">
        <v>45862.42901620371</v>
      </c>
      <c r="C72" s="1" t="n">
        <v>45900</v>
      </c>
      <c r="D72" t="inlineStr">
        <is>
          <t>JÄMTLANDS LÄN</t>
        </is>
      </c>
      <c r="E72" t="inlineStr">
        <is>
          <t>KROKOM</t>
        </is>
      </c>
      <c r="G72" t="n">
        <v>3.1</v>
      </c>
      <c r="H72" t="n">
        <v>3</v>
      </c>
      <c r="I72" t="n">
        <v>3</v>
      </c>
      <c r="J72" t="n">
        <v>3</v>
      </c>
      <c r="K72" t="n">
        <v>0</v>
      </c>
      <c r="L72" t="n">
        <v>0</v>
      </c>
      <c r="M72" t="n">
        <v>0</v>
      </c>
      <c r="N72" t="n">
        <v>0</v>
      </c>
      <c r="O72" t="n">
        <v>3</v>
      </c>
      <c r="P72" t="n">
        <v>0</v>
      </c>
      <c r="Q72" t="n">
        <v>7</v>
      </c>
      <c r="R72" s="2" t="inlineStr">
        <is>
          <t>Granticka
Harticka
Tretåig hackspett
Finbräken
Stuplav
Tvåblad
Blåsippa</t>
        </is>
      </c>
      <c r="S72">
        <f>HYPERLINK("https://klasma.github.io/Logging_2309/artfynd/A 35884-2025 artfynd.xlsx", "A 35884-2025")</f>
        <v/>
      </c>
      <c r="T72">
        <f>HYPERLINK("https://klasma.github.io/Logging_2309/kartor/A 35884-2025 karta.png", "A 35884-2025")</f>
        <v/>
      </c>
      <c r="V72">
        <f>HYPERLINK("https://klasma.github.io/Logging_2309/klagomål/A 35884-2025 FSC-klagomål.docx", "A 35884-2025")</f>
        <v/>
      </c>
      <c r="W72">
        <f>HYPERLINK("https://klasma.github.io/Logging_2309/klagomålsmail/A 35884-2025 FSC-klagomål mail.docx", "A 35884-2025")</f>
        <v/>
      </c>
      <c r="X72">
        <f>HYPERLINK("https://klasma.github.io/Logging_2309/tillsyn/A 35884-2025 tillsynsbegäran.docx", "A 35884-2025")</f>
        <v/>
      </c>
      <c r="Y72">
        <f>HYPERLINK("https://klasma.github.io/Logging_2309/tillsynsmail/A 35884-2025 tillsynsbegäran mail.docx", "A 35884-2025")</f>
        <v/>
      </c>
      <c r="Z72">
        <f>HYPERLINK("https://klasma.github.io/Logging_2309/fåglar/A 35884-2025 prioriterade fågelarter.docx", "A 35884-2025")</f>
        <v/>
      </c>
    </row>
    <row r="73" ht="15" customHeight="1">
      <c r="A73" t="inlineStr">
        <is>
          <t>A 32949-2025</t>
        </is>
      </c>
      <c r="B73" s="1" t="n">
        <v>45839.68914351852</v>
      </c>
      <c r="C73" s="1" t="n">
        <v>45900</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54140-2024</t>
        </is>
      </c>
      <c r="B74" s="1" t="n">
        <v>45616</v>
      </c>
      <c r="C74" s="1" t="n">
        <v>45900</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36373-2023</t>
        </is>
      </c>
      <c r="B75" s="1" t="n">
        <v>45149</v>
      </c>
      <c r="C75" s="1" t="n">
        <v>45900</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62118-2023</t>
        </is>
      </c>
      <c r="B76" s="1" t="n">
        <v>45267</v>
      </c>
      <c r="C76" s="1" t="n">
        <v>45900</v>
      </c>
      <c r="D76" t="inlineStr">
        <is>
          <t>JÄMTLANDS LÄN</t>
        </is>
      </c>
      <c r="E76" t="inlineStr">
        <is>
          <t>KROKOM</t>
        </is>
      </c>
      <c r="G76" t="n">
        <v>5.3</v>
      </c>
      <c r="H76" t="n">
        <v>4</v>
      </c>
      <c r="I76" t="n">
        <v>1</v>
      </c>
      <c r="J76" t="n">
        <v>4</v>
      </c>
      <c r="K76" t="n">
        <v>2</v>
      </c>
      <c r="L76" t="n">
        <v>0</v>
      </c>
      <c r="M76" t="n">
        <v>0</v>
      </c>
      <c r="N76" t="n">
        <v>0</v>
      </c>
      <c r="O76" t="n">
        <v>6</v>
      </c>
      <c r="P76" t="n">
        <v>2</v>
      </c>
      <c r="Q76" t="n">
        <v>7</v>
      </c>
      <c r="R76" s="2" t="inlineStr">
        <is>
          <t>Doftticka
Knärot
Garnlav
Lunglav
Spillkråka
Talltita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27771-2024</t>
        </is>
      </c>
      <c r="B77" s="1" t="n">
        <v>45475</v>
      </c>
      <c r="C77" s="1" t="n">
        <v>45900</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45900</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45900</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45900</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45900</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45900</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45900</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45900</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45900</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35885-2025</t>
        </is>
      </c>
      <c r="B86" s="1" t="n">
        <v>45862.43403935185</v>
      </c>
      <c r="C86" s="1" t="n">
        <v>45900</v>
      </c>
      <c r="D86" t="inlineStr">
        <is>
          <t>JÄMTLANDS LÄN</t>
        </is>
      </c>
      <c r="E86" t="inlineStr">
        <is>
          <t>KROKOM</t>
        </is>
      </c>
      <c r="G86" t="n">
        <v>10.5</v>
      </c>
      <c r="H86" t="n">
        <v>2</v>
      </c>
      <c r="I86" t="n">
        <v>1</v>
      </c>
      <c r="J86" t="n">
        <v>5</v>
      </c>
      <c r="K86" t="n">
        <v>0</v>
      </c>
      <c r="L86" t="n">
        <v>0</v>
      </c>
      <c r="M86" t="n">
        <v>0</v>
      </c>
      <c r="N86" t="n">
        <v>0</v>
      </c>
      <c r="O86" t="n">
        <v>5</v>
      </c>
      <c r="P86" t="n">
        <v>0</v>
      </c>
      <c r="Q86" t="n">
        <v>6</v>
      </c>
      <c r="R86" s="2" t="inlineStr">
        <is>
          <t>Granticka
Harticka
Talltita
Tretåig hackspett
Ullticka
Trådticka</t>
        </is>
      </c>
      <c r="S86">
        <f>HYPERLINK("https://klasma.github.io/Logging_2309/artfynd/A 35885-2025 artfynd.xlsx", "A 35885-2025")</f>
        <v/>
      </c>
      <c r="T86">
        <f>HYPERLINK("https://klasma.github.io/Logging_2309/kartor/A 35885-2025 karta.png", "A 35885-2025")</f>
        <v/>
      </c>
      <c r="V86">
        <f>HYPERLINK("https://klasma.github.io/Logging_2309/klagomål/A 35885-2025 FSC-klagomål.docx", "A 35885-2025")</f>
        <v/>
      </c>
      <c r="W86">
        <f>HYPERLINK("https://klasma.github.io/Logging_2309/klagomålsmail/A 35885-2025 FSC-klagomål mail.docx", "A 35885-2025")</f>
        <v/>
      </c>
      <c r="X86">
        <f>HYPERLINK("https://klasma.github.io/Logging_2309/tillsyn/A 35885-2025 tillsynsbegäran.docx", "A 35885-2025")</f>
        <v/>
      </c>
      <c r="Y86">
        <f>HYPERLINK("https://klasma.github.io/Logging_2309/tillsynsmail/A 35885-2025 tillsynsbegäran mail.docx", "A 35885-2025")</f>
        <v/>
      </c>
      <c r="Z86">
        <f>HYPERLINK("https://klasma.github.io/Logging_2309/fåglar/A 35885-2025 prioriterade fågelarter.docx", "A 35885-2025")</f>
        <v/>
      </c>
    </row>
    <row r="87" ht="15" customHeight="1">
      <c r="A87" t="inlineStr">
        <is>
          <t>A 35883-2025</t>
        </is>
      </c>
      <c r="B87" s="1" t="n">
        <v>45862.4257175926</v>
      </c>
      <c r="C87" s="1" t="n">
        <v>45900</v>
      </c>
      <c r="D87" t="inlineStr">
        <is>
          <t>JÄMTLANDS LÄN</t>
        </is>
      </c>
      <c r="E87" t="inlineStr">
        <is>
          <t>KROKOM</t>
        </is>
      </c>
      <c r="G87" t="n">
        <v>5</v>
      </c>
      <c r="H87" t="n">
        <v>2</v>
      </c>
      <c r="I87" t="n">
        <v>1</v>
      </c>
      <c r="J87" t="n">
        <v>4</v>
      </c>
      <c r="K87" t="n">
        <v>0</v>
      </c>
      <c r="L87" t="n">
        <v>0</v>
      </c>
      <c r="M87" t="n">
        <v>0</v>
      </c>
      <c r="N87" t="n">
        <v>0</v>
      </c>
      <c r="O87" t="n">
        <v>4</v>
      </c>
      <c r="P87" t="n">
        <v>0</v>
      </c>
      <c r="Q87" t="n">
        <v>6</v>
      </c>
      <c r="R87" s="2" t="inlineStr">
        <is>
          <t>Garnlav
Harticka
Talltita
Ullticka
Trådticka
Blåsippa</t>
        </is>
      </c>
      <c r="S87">
        <f>HYPERLINK("https://klasma.github.io/Logging_2309/artfynd/A 35883-2025 artfynd.xlsx", "A 35883-2025")</f>
        <v/>
      </c>
      <c r="T87">
        <f>HYPERLINK("https://klasma.github.io/Logging_2309/kartor/A 35883-2025 karta.png", "A 35883-2025")</f>
        <v/>
      </c>
      <c r="V87">
        <f>HYPERLINK("https://klasma.github.io/Logging_2309/klagomål/A 35883-2025 FSC-klagomål.docx", "A 35883-2025")</f>
        <v/>
      </c>
      <c r="W87">
        <f>HYPERLINK("https://klasma.github.io/Logging_2309/klagomålsmail/A 35883-2025 FSC-klagomål mail.docx", "A 35883-2025")</f>
        <v/>
      </c>
      <c r="X87">
        <f>HYPERLINK("https://klasma.github.io/Logging_2309/tillsyn/A 35883-2025 tillsynsbegäran.docx", "A 35883-2025")</f>
        <v/>
      </c>
      <c r="Y87">
        <f>HYPERLINK("https://klasma.github.io/Logging_2309/tillsynsmail/A 35883-2025 tillsynsbegäran mail.docx", "A 35883-2025")</f>
        <v/>
      </c>
      <c r="Z87">
        <f>HYPERLINK("https://klasma.github.io/Logging_2309/fåglar/A 35883-2025 prioriterade fågelarter.docx", "A 35883-2025")</f>
        <v/>
      </c>
    </row>
    <row r="88" ht="15" customHeight="1">
      <c r="A88" t="inlineStr">
        <is>
          <t>A 43190-2022</t>
        </is>
      </c>
      <c r="B88" s="1" t="n">
        <v>44834</v>
      </c>
      <c r="C88" s="1" t="n">
        <v>45900</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45900</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16978-2025</t>
        </is>
      </c>
      <c r="B90" s="1" t="n">
        <v>45755.47527777778</v>
      </c>
      <c r="C90" s="1" t="n">
        <v>45900</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30921-2025</t>
        </is>
      </c>
      <c r="B91" s="1" t="n">
        <v>45832.38581018519</v>
      </c>
      <c r="C91" s="1" t="n">
        <v>45900</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35158-2022</t>
        </is>
      </c>
      <c r="B92" s="1" t="n">
        <v>44797</v>
      </c>
      <c r="C92" s="1" t="n">
        <v>45900</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46118-2024</t>
        </is>
      </c>
      <c r="B93" s="1" t="n">
        <v>45581</v>
      </c>
      <c r="C93" s="1" t="n">
        <v>45900</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27490-2024</t>
        </is>
      </c>
      <c r="B94" s="1" t="n">
        <v>45474</v>
      </c>
      <c r="C94" s="1" t="n">
        <v>45900</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45900</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45900</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45900</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59619-2020</t>
        </is>
      </c>
      <c r="B98" s="1" t="n">
        <v>44150</v>
      </c>
      <c r="C98" s="1" t="n">
        <v>45900</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36995-2025</t>
        </is>
      </c>
      <c r="B99" s="1" t="n">
        <v>45874.67765046296</v>
      </c>
      <c r="C99" s="1" t="n">
        <v>45900</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45900</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45900</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45900</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45900</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53815-2024</t>
        </is>
      </c>
      <c r="B104" s="1" t="n">
        <v>45615</v>
      </c>
      <c r="C104" s="1" t="n">
        <v>45900</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59039-2022</t>
        </is>
      </c>
      <c r="B105" s="1" t="n">
        <v>44903</v>
      </c>
      <c r="C105" s="1" t="n">
        <v>45900</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45900</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48914-2021</t>
        </is>
      </c>
      <c r="B107" s="1" t="n">
        <v>44452</v>
      </c>
      <c r="C107" s="1" t="n">
        <v>45900</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25286-2023</t>
        </is>
      </c>
      <c r="B108" s="1" t="n">
        <v>45079</v>
      </c>
      <c r="C108" s="1" t="n">
        <v>45900</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71570-2021</t>
        </is>
      </c>
      <c r="B109" s="1" t="n">
        <v>44540</v>
      </c>
      <c r="C109" s="1" t="n">
        <v>45900</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11319-2025</t>
        </is>
      </c>
      <c r="B110" s="1" t="n">
        <v>45726.46192129629</v>
      </c>
      <c r="C110" s="1" t="n">
        <v>45900</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45900</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45900</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45900</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45900</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56312-2024</t>
        </is>
      </c>
      <c r="B115" s="1" t="n">
        <v>45624</v>
      </c>
      <c r="C115" s="1" t="n">
        <v>45900</v>
      </c>
      <c r="D115" t="inlineStr">
        <is>
          <t>JÄMTLANDS LÄN</t>
        </is>
      </c>
      <c r="E115" t="inlineStr">
        <is>
          <t>KROKOM</t>
        </is>
      </c>
      <c r="G115" t="n">
        <v>7.2</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HYPERLINK("https://klasma.github.io/Logging_2309/artfynd/A 56312-2024 artfynd.xlsx", "A 56312-2024")</f>
        <v/>
      </c>
      <c r="T115">
        <f>HYPERLINK("https://klasma.github.io/Logging_2309/kartor/A 56312-2024 karta.png", "A 56312-2024")</f>
        <v/>
      </c>
      <c r="V115">
        <f>HYPERLINK("https://klasma.github.io/Logging_2309/klagomål/A 56312-2024 FSC-klagomål.docx", "A 56312-2024")</f>
        <v/>
      </c>
      <c r="W115">
        <f>HYPERLINK("https://klasma.github.io/Logging_2309/klagomålsmail/A 56312-2024 FSC-klagomål mail.docx", "A 56312-2024")</f>
        <v/>
      </c>
      <c r="X115">
        <f>HYPERLINK("https://klasma.github.io/Logging_2309/tillsyn/A 56312-2024 tillsynsbegäran.docx", "A 56312-2024")</f>
        <v/>
      </c>
      <c r="Y115">
        <f>HYPERLINK("https://klasma.github.io/Logging_2309/tillsynsmail/A 56312-2024 tillsynsbegäran mail.docx", "A 56312-2024")</f>
        <v/>
      </c>
      <c r="Z115">
        <f>HYPERLINK("https://klasma.github.io/Logging_2309/fåglar/A 56312-2024 prioriterade fågelarter.docx", "A 56312-2024")</f>
        <v/>
      </c>
    </row>
    <row r="116" ht="15" customHeight="1">
      <c r="A116" t="inlineStr">
        <is>
          <t>A 40179-2023</t>
        </is>
      </c>
      <c r="B116" s="1" t="n">
        <v>45169</v>
      </c>
      <c r="C116" s="1" t="n">
        <v>45900</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73935-2021</t>
        </is>
      </c>
      <c r="B117" s="1" t="n">
        <v>44553</v>
      </c>
      <c r="C117" s="1" t="n">
        <v>45900</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49178-2024</t>
        </is>
      </c>
      <c r="B118" s="1" t="n">
        <v>45595</v>
      </c>
      <c r="C118" s="1" t="n">
        <v>45900</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60566-2022</t>
        </is>
      </c>
      <c r="B119" s="1" t="n">
        <v>44904</v>
      </c>
      <c r="C119" s="1" t="n">
        <v>45900</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18940-2025</t>
        </is>
      </c>
      <c r="B120" s="1" t="n">
        <v>45764</v>
      </c>
      <c r="C120" s="1" t="n">
        <v>45900</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35023-2024</t>
        </is>
      </c>
      <c r="B121" s="1" t="n">
        <v>45527</v>
      </c>
      <c r="C121" s="1" t="n">
        <v>45900</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34855-2025</t>
        </is>
      </c>
      <c r="B122" s="1" t="n">
        <v>45849.42818287037</v>
      </c>
      <c r="C122" s="1" t="n">
        <v>45900</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45900</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45900</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53363-2022</t>
        </is>
      </c>
      <c r="B125" s="1" t="n">
        <v>44879</v>
      </c>
      <c r="C125" s="1" t="n">
        <v>45900</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45900</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45900</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45900</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2256-2024</t>
        </is>
      </c>
      <c r="B129" s="1" t="n">
        <v>45310</v>
      </c>
      <c r="C129" s="1" t="n">
        <v>45900</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45900</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62113-2024</t>
        </is>
      </c>
      <c r="B131" s="1" t="n">
        <v>45656.54600694445</v>
      </c>
      <c r="C131" s="1" t="n">
        <v>45900</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45900</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71573-2021</t>
        </is>
      </c>
      <c r="B133" s="1" t="n">
        <v>44540</v>
      </c>
      <c r="C133" s="1" t="n">
        <v>45900</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62731-2023</t>
        </is>
      </c>
      <c r="B134" s="1" t="n">
        <v>45271</v>
      </c>
      <c r="C134" s="1" t="n">
        <v>45900</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45900</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29035-2025</t>
        </is>
      </c>
      <c r="B136" s="1" t="n">
        <v>45821.44299768518</v>
      </c>
      <c r="C136" s="1" t="n">
        <v>45900</v>
      </c>
      <c r="D136" t="inlineStr">
        <is>
          <t>JÄMTLANDS LÄN</t>
        </is>
      </c>
      <c r="E136" t="inlineStr">
        <is>
          <t>KROKOM</t>
        </is>
      </c>
      <c r="G136" t="n">
        <v>45.1</v>
      </c>
      <c r="H136" t="n">
        <v>1</v>
      </c>
      <c r="I136" t="n">
        <v>1</v>
      </c>
      <c r="J136" t="n">
        <v>1</v>
      </c>
      <c r="K136" t="n">
        <v>0</v>
      </c>
      <c r="L136" t="n">
        <v>0</v>
      </c>
      <c r="M136" t="n">
        <v>1</v>
      </c>
      <c r="N136" t="n">
        <v>0</v>
      </c>
      <c r="O136" t="n">
        <v>2</v>
      </c>
      <c r="P136" t="n">
        <v>1</v>
      </c>
      <c r="Q136" t="n">
        <v>3</v>
      </c>
      <c r="R136" s="2" t="inlineStr">
        <is>
          <t>Vedtrådmossa
Lunglav
Ögonpyrola</t>
        </is>
      </c>
      <c r="S136">
        <f>HYPERLINK("https://klasma.github.io/Logging_2309/artfynd/A 29035-2025 artfynd.xlsx", "A 29035-2025")</f>
        <v/>
      </c>
      <c r="T136">
        <f>HYPERLINK("https://klasma.github.io/Logging_2309/kartor/A 29035-2025 karta.png", "A 29035-2025")</f>
        <v/>
      </c>
      <c r="V136">
        <f>HYPERLINK("https://klasma.github.io/Logging_2309/klagomål/A 29035-2025 FSC-klagomål.docx", "A 29035-2025")</f>
        <v/>
      </c>
      <c r="W136">
        <f>HYPERLINK("https://klasma.github.io/Logging_2309/klagomålsmail/A 29035-2025 FSC-klagomål mail.docx", "A 29035-2025")</f>
        <v/>
      </c>
      <c r="X136">
        <f>HYPERLINK("https://klasma.github.io/Logging_2309/tillsyn/A 29035-2025 tillsynsbegäran.docx", "A 29035-2025")</f>
        <v/>
      </c>
      <c r="Y136">
        <f>HYPERLINK("https://klasma.github.io/Logging_2309/tillsynsmail/A 29035-2025 tillsynsbegäran mail.docx", "A 29035-2025")</f>
        <v/>
      </c>
    </row>
    <row r="137" ht="15" customHeight="1">
      <c r="A137" t="inlineStr">
        <is>
          <t>A 36009-2025</t>
        </is>
      </c>
      <c r="B137" s="1" t="n">
        <v>45863.58127314815</v>
      </c>
      <c r="C137" s="1" t="n">
        <v>45900</v>
      </c>
      <c r="D137" t="inlineStr">
        <is>
          <t>JÄMTLANDS LÄN</t>
        </is>
      </c>
      <c r="E137" t="inlineStr">
        <is>
          <t>KROKOM</t>
        </is>
      </c>
      <c r="F137" t="inlineStr">
        <is>
          <t>Övriga Aktiebolag</t>
        </is>
      </c>
      <c r="G137" t="n">
        <v>3.8</v>
      </c>
      <c r="H137" t="n">
        <v>1</v>
      </c>
      <c r="I137" t="n">
        <v>0</v>
      </c>
      <c r="J137" t="n">
        <v>3</v>
      </c>
      <c r="K137" t="n">
        <v>0</v>
      </c>
      <c r="L137" t="n">
        <v>0</v>
      </c>
      <c r="M137" t="n">
        <v>0</v>
      </c>
      <c r="N137" t="n">
        <v>0</v>
      </c>
      <c r="O137" t="n">
        <v>3</v>
      </c>
      <c r="P137" t="n">
        <v>0</v>
      </c>
      <c r="Q137" t="n">
        <v>3</v>
      </c>
      <c r="R137" s="2" t="inlineStr">
        <is>
          <t>Garnlav
Harticka
Tretåig hackspett</t>
        </is>
      </c>
      <c r="S137">
        <f>HYPERLINK("https://klasma.github.io/Logging_2309/artfynd/A 36009-2025 artfynd.xlsx", "A 36009-2025")</f>
        <v/>
      </c>
      <c r="T137">
        <f>HYPERLINK("https://klasma.github.io/Logging_2309/kartor/A 36009-2025 karta.png", "A 36009-2025")</f>
        <v/>
      </c>
      <c r="V137">
        <f>HYPERLINK("https://klasma.github.io/Logging_2309/klagomål/A 36009-2025 FSC-klagomål.docx", "A 36009-2025")</f>
        <v/>
      </c>
      <c r="W137">
        <f>HYPERLINK("https://klasma.github.io/Logging_2309/klagomålsmail/A 36009-2025 FSC-klagomål mail.docx", "A 36009-2025")</f>
        <v/>
      </c>
      <c r="X137">
        <f>HYPERLINK("https://klasma.github.io/Logging_2309/tillsyn/A 36009-2025 tillsynsbegäran.docx", "A 36009-2025")</f>
        <v/>
      </c>
      <c r="Y137">
        <f>HYPERLINK("https://klasma.github.io/Logging_2309/tillsynsmail/A 36009-2025 tillsynsbegäran mail.docx", "A 36009-2025")</f>
        <v/>
      </c>
      <c r="Z137">
        <f>HYPERLINK("https://klasma.github.io/Logging_2309/fåglar/A 36009-2025 prioriterade fågelarter.docx", "A 36009-2025")</f>
        <v/>
      </c>
    </row>
    <row r="138" ht="15" customHeight="1">
      <c r="A138" t="inlineStr">
        <is>
          <t>A 50345-2023</t>
        </is>
      </c>
      <c r="B138" s="1" t="n">
        <v>45216</v>
      </c>
      <c r="C138" s="1" t="n">
        <v>45900</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11439-2024</t>
        </is>
      </c>
      <c r="B139" s="1" t="n">
        <v>45372</v>
      </c>
      <c r="C139" s="1" t="n">
        <v>45900</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45900</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38966-2025</t>
        </is>
      </c>
      <c r="B141" s="1" t="n">
        <v>45887.6989699074</v>
      </c>
      <c r="C141" s="1" t="n">
        <v>45900</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34582-2024</t>
        </is>
      </c>
      <c r="B142" s="1" t="n">
        <v>45526</v>
      </c>
      <c r="C142" s="1" t="n">
        <v>45900</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57468-2024</t>
        </is>
      </c>
      <c r="B143" s="1" t="n">
        <v>45630</v>
      </c>
      <c r="C143" s="1" t="n">
        <v>45900</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30068-2022</t>
        </is>
      </c>
      <c r="B144" s="1" t="n">
        <v>44757</v>
      </c>
      <c r="C144" s="1" t="n">
        <v>45900</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50431-2023</t>
        </is>
      </c>
      <c r="B145" s="1" t="n">
        <v>45216.67748842593</v>
      </c>
      <c r="C145" s="1" t="n">
        <v>45900</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30069-2022</t>
        </is>
      </c>
      <c r="B146" s="1" t="n">
        <v>44757</v>
      </c>
      <c r="C146" s="1" t="n">
        <v>45900</v>
      </c>
      <c r="D146" t="inlineStr">
        <is>
          <t>JÄMTLANDS LÄN</t>
        </is>
      </c>
      <c r="E146" t="inlineStr">
        <is>
          <t>KROKOM</t>
        </is>
      </c>
      <c r="G146" t="n">
        <v>0.7</v>
      </c>
      <c r="H146" t="n">
        <v>1</v>
      </c>
      <c r="I146" t="n">
        <v>0</v>
      </c>
      <c r="J146" t="n">
        <v>2</v>
      </c>
      <c r="K146" t="n">
        <v>1</v>
      </c>
      <c r="L146" t="n">
        <v>0</v>
      </c>
      <c r="M146" t="n">
        <v>0</v>
      </c>
      <c r="N146" t="n">
        <v>0</v>
      </c>
      <c r="O146" t="n">
        <v>3</v>
      </c>
      <c r="P146" t="n">
        <v>1</v>
      </c>
      <c r="Q146" t="n">
        <v>3</v>
      </c>
      <c r="R146" s="2" t="inlineStr">
        <is>
          <t>Rynkskinn
Granticka
Tretåig hackspett</t>
        </is>
      </c>
      <c r="S146">
        <f>HYPERLINK("https://klasma.github.io/Logging_2309/artfynd/A 30069-2022 artfynd.xlsx", "A 30069-2022")</f>
        <v/>
      </c>
      <c r="T146">
        <f>HYPERLINK("https://klasma.github.io/Logging_2309/kartor/A 30069-2022 karta.png", "A 30069-2022")</f>
        <v/>
      </c>
      <c r="V146">
        <f>HYPERLINK("https://klasma.github.io/Logging_2309/klagomål/A 30069-2022 FSC-klagomål.docx", "A 30069-2022")</f>
        <v/>
      </c>
      <c r="W146">
        <f>HYPERLINK("https://klasma.github.io/Logging_2309/klagomålsmail/A 30069-2022 FSC-klagomål mail.docx", "A 30069-2022")</f>
        <v/>
      </c>
      <c r="X146">
        <f>HYPERLINK("https://klasma.github.io/Logging_2309/tillsyn/A 30069-2022 tillsynsbegäran.docx", "A 30069-2022")</f>
        <v/>
      </c>
      <c r="Y146">
        <f>HYPERLINK("https://klasma.github.io/Logging_2309/tillsynsmail/A 30069-2022 tillsynsbegäran mail.docx", "A 30069-2022")</f>
        <v/>
      </c>
      <c r="Z146">
        <f>HYPERLINK("https://klasma.github.io/Logging_2309/fåglar/A 30069-2022 prioriterade fågelarter.docx", "A 30069-2022")</f>
        <v/>
      </c>
    </row>
    <row r="147" ht="15" customHeight="1">
      <c r="A147" t="inlineStr">
        <is>
          <t>A 52264-2022</t>
        </is>
      </c>
      <c r="B147" s="1" t="n">
        <v>44873</v>
      </c>
      <c r="C147" s="1" t="n">
        <v>45900</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44869-2022</t>
        </is>
      </c>
      <c r="B148" s="1" t="n">
        <v>44841</v>
      </c>
      <c r="C148" s="1" t="n">
        <v>45900</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45900</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45900</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45900</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45900</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45900</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45900</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33874-2021</t>
        </is>
      </c>
      <c r="B155" s="1" t="n">
        <v>44378</v>
      </c>
      <c r="C155" s="1" t="n">
        <v>45900</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67738-2021</t>
        </is>
      </c>
      <c r="B156" s="1" t="n">
        <v>44524</v>
      </c>
      <c r="C156" s="1" t="n">
        <v>45900</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45900</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45900</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45900</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45900</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45900</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23730-2025</t>
        </is>
      </c>
      <c r="B162" s="1" t="n">
        <v>45793.4189699074</v>
      </c>
      <c r="C162" s="1" t="n">
        <v>45900</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71571-2021</t>
        </is>
      </c>
      <c r="B163" s="1" t="n">
        <v>44540</v>
      </c>
      <c r="C163" s="1" t="n">
        <v>45900</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25952-2025</t>
        </is>
      </c>
      <c r="B164" s="1" t="n">
        <v>45804.60005787037</v>
      </c>
      <c r="C164" s="1" t="n">
        <v>45900</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40236-2024</t>
        </is>
      </c>
      <c r="B165" s="1" t="n">
        <v>45554</v>
      </c>
      <c r="C165" s="1" t="n">
        <v>45900</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45900</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36011-2025</t>
        </is>
      </c>
      <c r="B167" s="1" t="n">
        <v>45863.59111111111</v>
      </c>
      <c r="C167" s="1" t="n">
        <v>45900</v>
      </c>
      <c r="D167" t="inlineStr">
        <is>
          <t>JÄMTLANDS LÄN</t>
        </is>
      </c>
      <c r="E167" t="inlineStr">
        <is>
          <t>KROKOM</t>
        </is>
      </c>
      <c r="F167" t="inlineStr">
        <is>
          <t>Övriga Aktiebolag</t>
        </is>
      </c>
      <c r="G167" t="n">
        <v>12.2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HYPERLINK("https://klasma.github.io/Logging_2309/artfynd/A 36011-2025 artfynd.xlsx", "A 36011-2025")</f>
        <v/>
      </c>
      <c r="T167">
        <f>HYPERLINK("https://klasma.github.io/Logging_2309/kartor/A 36011-2025 karta.png", "A 36011-2025")</f>
        <v/>
      </c>
      <c r="V167">
        <f>HYPERLINK("https://klasma.github.io/Logging_2309/klagomål/A 36011-2025 FSC-klagomål.docx", "A 36011-2025")</f>
        <v/>
      </c>
      <c r="W167">
        <f>HYPERLINK("https://klasma.github.io/Logging_2309/klagomålsmail/A 36011-2025 FSC-klagomål mail.docx", "A 36011-2025")</f>
        <v/>
      </c>
      <c r="X167">
        <f>HYPERLINK("https://klasma.github.io/Logging_2309/tillsyn/A 36011-2025 tillsynsbegäran.docx", "A 36011-2025")</f>
        <v/>
      </c>
      <c r="Y167">
        <f>HYPERLINK("https://klasma.github.io/Logging_2309/tillsynsmail/A 36011-2025 tillsynsbegäran mail.docx", "A 36011-2025")</f>
        <v/>
      </c>
      <c r="Z167">
        <f>HYPERLINK("https://klasma.github.io/Logging_2309/fåglar/A 36011-2025 prioriterade fågelarter.docx", "A 36011-2025")</f>
        <v/>
      </c>
    </row>
    <row r="168" ht="15" customHeight="1">
      <c r="A168" t="inlineStr">
        <is>
          <t>A 7575-2024</t>
        </is>
      </c>
      <c r="B168" s="1" t="n">
        <v>45348</v>
      </c>
      <c r="C168" s="1" t="n">
        <v>45900</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37509-2025</t>
        </is>
      </c>
      <c r="B169" s="1" t="n">
        <v>45877.67787037037</v>
      </c>
      <c r="C169" s="1" t="n">
        <v>45900</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36445-2025</t>
        </is>
      </c>
      <c r="B170" s="1" t="n">
        <v>45869</v>
      </c>
      <c r="C170" s="1" t="n">
        <v>45900</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35891-2025</t>
        </is>
      </c>
      <c r="B171" s="1" t="n">
        <v>45862</v>
      </c>
      <c r="C171" s="1" t="n">
        <v>45900</v>
      </c>
      <c r="D171" t="inlineStr">
        <is>
          <t>JÄMTLANDS LÄN</t>
        </is>
      </c>
      <c r="E171" t="inlineStr">
        <is>
          <t>KROKOM</t>
        </is>
      </c>
      <c r="G171" t="n">
        <v>10.1</v>
      </c>
      <c r="H171" t="n">
        <v>0</v>
      </c>
      <c r="I171" t="n">
        <v>0</v>
      </c>
      <c r="J171" t="n">
        <v>2</v>
      </c>
      <c r="K171" t="n">
        <v>0</v>
      </c>
      <c r="L171" t="n">
        <v>0</v>
      </c>
      <c r="M171" t="n">
        <v>0</v>
      </c>
      <c r="N171" t="n">
        <v>0</v>
      </c>
      <c r="O171" t="n">
        <v>2</v>
      </c>
      <c r="P171" t="n">
        <v>0</v>
      </c>
      <c r="Q171" t="n">
        <v>2</v>
      </c>
      <c r="R171" s="2" t="inlineStr">
        <is>
          <t>Vaddporing
Vedskivlav</t>
        </is>
      </c>
      <c r="S171">
        <f>HYPERLINK("https://klasma.github.io/Logging_2309/artfynd/A 35891-2025 artfynd.xlsx", "A 35891-2025")</f>
        <v/>
      </c>
      <c r="T171">
        <f>HYPERLINK("https://klasma.github.io/Logging_2309/kartor/A 35891-2025 karta.png", "A 35891-2025")</f>
        <v/>
      </c>
      <c r="V171">
        <f>HYPERLINK("https://klasma.github.io/Logging_2309/klagomål/A 35891-2025 FSC-klagomål.docx", "A 35891-2025")</f>
        <v/>
      </c>
      <c r="W171">
        <f>HYPERLINK("https://klasma.github.io/Logging_2309/klagomålsmail/A 35891-2025 FSC-klagomål mail.docx", "A 35891-2025")</f>
        <v/>
      </c>
      <c r="X171">
        <f>HYPERLINK("https://klasma.github.io/Logging_2309/tillsyn/A 35891-2025 tillsynsbegäran.docx", "A 35891-2025")</f>
        <v/>
      </c>
      <c r="Y171">
        <f>HYPERLINK("https://klasma.github.io/Logging_2309/tillsynsmail/A 35891-2025 tillsynsbegäran mail.docx", "A 35891-2025")</f>
        <v/>
      </c>
    </row>
    <row r="172" ht="15" customHeight="1">
      <c r="A172" t="inlineStr">
        <is>
          <t>A 49386-2024</t>
        </is>
      </c>
      <c r="B172" s="1" t="n">
        <v>45595</v>
      </c>
      <c r="C172" s="1" t="n">
        <v>45900</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40508-2025</t>
        </is>
      </c>
      <c r="B173" s="1" t="n">
        <v>45896.34465277778</v>
      </c>
      <c r="C173" s="1" t="n">
        <v>45900</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61692-2024</t>
        </is>
      </c>
      <c r="B174" s="1" t="n">
        <v>45647</v>
      </c>
      <c r="C174" s="1" t="n">
        <v>45900</v>
      </c>
      <c r="D174" t="inlineStr">
        <is>
          <t>JÄMTLANDS LÄN</t>
        </is>
      </c>
      <c r="E174" t="inlineStr">
        <is>
          <t>KROKOM</t>
        </is>
      </c>
      <c r="F174" t="inlineStr">
        <is>
          <t>SCA</t>
        </is>
      </c>
      <c r="G174" t="n">
        <v>6.7</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61692-2024 artfynd.xlsx", "A 61692-2024")</f>
        <v/>
      </c>
      <c r="T174">
        <f>HYPERLINK("https://klasma.github.io/Logging_2309/kartor/A 61692-2024 karta.png", "A 61692-2024")</f>
        <v/>
      </c>
      <c r="V174">
        <f>HYPERLINK("https://klasma.github.io/Logging_2309/klagomål/A 61692-2024 FSC-klagomål.docx", "A 61692-2024")</f>
        <v/>
      </c>
      <c r="W174">
        <f>HYPERLINK("https://klasma.github.io/Logging_2309/klagomålsmail/A 61692-2024 FSC-klagomål mail.docx", "A 61692-2024")</f>
        <v/>
      </c>
      <c r="X174">
        <f>HYPERLINK("https://klasma.github.io/Logging_2309/tillsyn/A 61692-2024 tillsynsbegäran.docx", "A 61692-2024")</f>
        <v/>
      </c>
      <c r="Y174">
        <f>HYPERLINK("https://klasma.github.io/Logging_2309/tillsynsmail/A 61692-2024 tillsynsbegäran mail.docx", "A 61692-2024")</f>
        <v/>
      </c>
      <c r="Z174">
        <f>HYPERLINK("https://klasma.github.io/Logging_2309/fåglar/A 61692-2024 prioriterade fågelarter.docx", "A 61692-2024")</f>
        <v/>
      </c>
    </row>
    <row r="175" ht="15" customHeight="1">
      <c r="A175" t="inlineStr">
        <is>
          <t>A 60419-2024</t>
        </is>
      </c>
      <c r="B175" s="1" t="n">
        <v>45643.53393518519</v>
      </c>
      <c r="C175" s="1" t="n">
        <v>45900</v>
      </c>
      <c r="D175" t="inlineStr">
        <is>
          <t>JÄMTLANDS LÄN</t>
        </is>
      </c>
      <c r="E175" t="inlineStr">
        <is>
          <t>KROKOM</t>
        </is>
      </c>
      <c r="G175" t="n">
        <v>7.9</v>
      </c>
      <c r="H175" t="n">
        <v>1</v>
      </c>
      <c r="I175" t="n">
        <v>2</v>
      </c>
      <c r="J175" t="n">
        <v>0</v>
      </c>
      <c r="K175" t="n">
        <v>0</v>
      </c>
      <c r="L175" t="n">
        <v>0</v>
      </c>
      <c r="M175" t="n">
        <v>0</v>
      </c>
      <c r="N175" t="n">
        <v>0</v>
      </c>
      <c r="O175" t="n">
        <v>0</v>
      </c>
      <c r="P175" t="n">
        <v>0</v>
      </c>
      <c r="Q175" t="n">
        <v>2</v>
      </c>
      <c r="R175" s="2" t="inlineStr">
        <is>
          <t>Grönkulla
Kransrams</t>
        </is>
      </c>
      <c r="S175">
        <f>HYPERLINK("https://klasma.github.io/Logging_2309/artfynd/A 60419-2024 artfynd.xlsx", "A 60419-2024")</f>
        <v/>
      </c>
      <c r="T175">
        <f>HYPERLINK("https://klasma.github.io/Logging_2309/kartor/A 60419-2024 karta.png", "A 60419-2024")</f>
        <v/>
      </c>
      <c r="V175">
        <f>HYPERLINK("https://klasma.github.io/Logging_2309/klagomål/A 60419-2024 FSC-klagomål.docx", "A 60419-2024")</f>
        <v/>
      </c>
      <c r="W175">
        <f>HYPERLINK("https://klasma.github.io/Logging_2309/klagomålsmail/A 60419-2024 FSC-klagomål mail.docx", "A 60419-2024")</f>
        <v/>
      </c>
      <c r="X175">
        <f>HYPERLINK("https://klasma.github.io/Logging_2309/tillsyn/A 60419-2024 tillsynsbegäran.docx", "A 60419-2024")</f>
        <v/>
      </c>
      <c r="Y175">
        <f>HYPERLINK("https://klasma.github.io/Logging_2309/tillsynsmail/A 60419-2024 tillsynsbegäran mail.docx", "A 60419-2024")</f>
        <v/>
      </c>
    </row>
    <row r="176" ht="15" customHeight="1">
      <c r="A176" t="inlineStr">
        <is>
          <t>A 62125-2024</t>
        </is>
      </c>
      <c r="B176" s="1" t="n">
        <v>45656.59703703703</v>
      </c>
      <c r="C176" s="1" t="n">
        <v>45900</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14589-2021</t>
        </is>
      </c>
      <c r="B177" s="1" t="n">
        <v>44279</v>
      </c>
      <c r="C177" s="1" t="n">
        <v>45900</v>
      </c>
      <c r="D177" t="inlineStr">
        <is>
          <t>JÄMTLANDS LÄN</t>
        </is>
      </c>
      <c r="E177" t="inlineStr">
        <is>
          <t>KROKOM</t>
        </is>
      </c>
      <c r="G177" t="n">
        <v>8.800000000000001</v>
      </c>
      <c r="H177" t="n">
        <v>2</v>
      </c>
      <c r="I177" t="n">
        <v>0</v>
      </c>
      <c r="J177" t="n">
        <v>1</v>
      </c>
      <c r="K177" t="n">
        <v>0</v>
      </c>
      <c r="L177" t="n">
        <v>0</v>
      </c>
      <c r="M177" t="n">
        <v>0</v>
      </c>
      <c r="N177" t="n">
        <v>0</v>
      </c>
      <c r="O177" t="n">
        <v>1</v>
      </c>
      <c r="P177" t="n">
        <v>0</v>
      </c>
      <c r="Q177" t="n">
        <v>2</v>
      </c>
      <c r="R177" s="2" t="inlineStr">
        <is>
          <t>Utter
Fläcknycklar</t>
        </is>
      </c>
      <c r="S177">
        <f>HYPERLINK("https://klasma.github.io/Logging_2309/artfynd/A 14589-2021 artfynd.xlsx", "A 14589-2021")</f>
        <v/>
      </c>
      <c r="T177">
        <f>HYPERLINK("https://klasma.github.io/Logging_2309/kartor/A 14589-2021 karta.png", "A 14589-2021")</f>
        <v/>
      </c>
      <c r="V177">
        <f>HYPERLINK("https://klasma.github.io/Logging_2309/klagomål/A 14589-2021 FSC-klagomål.docx", "A 14589-2021")</f>
        <v/>
      </c>
      <c r="W177">
        <f>HYPERLINK("https://klasma.github.io/Logging_2309/klagomålsmail/A 14589-2021 FSC-klagomål mail.docx", "A 14589-2021")</f>
        <v/>
      </c>
      <c r="X177">
        <f>HYPERLINK("https://klasma.github.io/Logging_2309/tillsyn/A 14589-2021 tillsynsbegäran.docx", "A 14589-2021")</f>
        <v/>
      </c>
      <c r="Y177">
        <f>HYPERLINK("https://klasma.github.io/Logging_2309/tillsynsmail/A 14589-2021 tillsynsbegäran mail.docx", "A 14589-2021")</f>
        <v/>
      </c>
    </row>
    <row r="178" ht="15" customHeight="1">
      <c r="A178" t="inlineStr">
        <is>
          <t>A 54189-2022</t>
        </is>
      </c>
      <c r="B178" s="1" t="n">
        <v>44879</v>
      </c>
      <c r="C178" s="1" t="n">
        <v>45900</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45900</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48863-2020</t>
        </is>
      </c>
      <c r="B180" s="1" t="n">
        <v>44099</v>
      </c>
      <c r="C180" s="1" t="n">
        <v>45900</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45900</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45900</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45900</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45900</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45900</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45900</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45900</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1112-2021</t>
        </is>
      </c>
      <c r="B188" s="1" t="n">
        <v>44207</v>
      </c>
      <c r="C188" s="1" t="n">
        <v>45900</v>
      </c>
      <c r="D188" t="inlineStr">
        <is>
          <t>JÄMTLANDS LÄN</t>
        </is>
      </c>
      <c r="E188" t="inlineStr">
        <is>
          <t>KROKOM</t>
        </is>
      </c>
      <c r="F188" t="inlineStr">
        <is>
          <t>Övriga Aktiebolag</t>
        </is>
      </c>
      <c r="G188" t="n">
        <v>90.7</v>
      </c>
      <c r="H188" t="n">
        <v>0</v>
      </c>
      <c r="I188" t="n">
        <v>1</v>
      </c>
      <c r="J188" t="n">
        <v>0</v>
      </c>
      <c r="K188" t="n">
        <v>0</v>
      </c>
      <c r="L188" t="n">
        <v>0</v>
      </c>
      <c r="M188" t="n">
        <v>0</v>
      </c>
      <c r="N188" t="n">
        <v>0</v>
      </c>
      <c r="O188" t="n">
        <v>0</v>
      </c>
      <c r="P188" t="n">
        <v>0</v>
      </c>
      <c r="Q188" t="n">
        <v>1</v>
      </c>
      <c r="R188" s="2" t="inlineStr">
        <is>
          <t>Kambräken</t>
        </is>
      </c>
      <c r="S188">
        <f>HYPERLINK("https://klasma.github.io/Logging_2309/artfynd/A 1112-2021 artfynd.xlsx", "A 1112-2021")</f>
        <v/>
      </c>
      <c r="T188">
        <f>HYPERLINK("https://klasma.github.io/Logging_2309/kartor/A 1112-2021 karta.png", "A 1112-2021")</f>
        <v/>
      </c>
      <c r="V188">
        <f>HYPERLINK("https://klasma.github.io/Logging_2309/klagomål/A 1112-2021 FSC-klagomål.docx", "A 1112-2021")</f>
        <v/>
      </c>
      <c r="W188">
        <f>HYPERLINK("https://klasma.github.io/Logging_2309/klagomålsmail/A 1112-2021 FSC-klagomål mail.docx", "A 1112-2021")</f>
        <v/>
      </c>
      <c r="X188">
        <f>HYPERLINK("https://klasma.github.io/Logging_2309/tillsyn/A 1112-2021 tillsynsbegäran.docx", "A 1112-2021")</f>
        <v/>
      </c>
      <c r="Y188">
        <f>HYPERLINK("https://klasma.github.io/Logging_2309/tillsynsmail/A 1112-2021 tillsynsbegäran mail.docx", "A 1112-2021")</f>
        <v/>
      </c>
    </row>
    <row r="189" ht="15" customHeight="1">
      <c r="A189" t="inlineStr">
        <is>
          <t>A 35246-2022</t>
        </is>
      </c>
      <c r="B189" s="1" t="n">
        <v>44797</v>
      </c>
      <c r="C189" s="1" t="n">
        <v>45900</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27579-2022</t>
        </is>
      </c>
      <c r="B190" s="1" t="n">
        <v>44742</v>
      </c>
      <c r="C190" s="1" t="n">
        <v>45900</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45900</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32756-2023</t>
        </is>
      </c>
      <c r="B192" s="1" t="n">
        <v>45123</v>
      </c>
      <c r="C192" s="1" t="n">
        <v>45900</v>
      </c>
      <c r="D192" t="inlineStr">
        <is>
          <t>JÄMTLANDS LÄN</t>
        </is>
      </c>
      <c r="E192" t="inlineStr">
        <is>
          <t>KROKOM</t>
        </is>
      </c>
      <c r="F192" t="inlineStr">
        <is>
          <t>Övriga Aktiebolag</t>
        </is>
      </c>
      <c r="G192" t="n">
        <v>6.8</v>
      </c>
      <c r="H192" t="n">
        <v>0</v>
      </c>
      <c r="I192" t="n">
        <v>1</v>
      </c>
      <c r="J192" t="n">
        <v>0</v>
      </c>
      <c r="K192" t="n">
        <v>0</v>
      </c>
      <c r="L192" t="n">
        <v>0</v>
      </c>
      <c r="M192" t="n">
        <v>0</v>
      </c>
      <c r="N192" t="n">
        <v>0</v>
      </c>
      <c r="O192" t="n">
        <v>0</v>
      </c>
      <c r="P192" t="n">
        <v>0</v>
      </c>
      <c r="Q192" t="n">
        <v>1</v>
      </c>
      <c r="R192" s="2" t="inlineStr">
        <is>
          <t>Kransrams</t>
        </is>
      </c>
      <c r="S192">
        <f>HYPERLINK("https://klasma.github.io/Logging_2309/artfynd/A 32756-2023 artfynd.xlsx", "A 32756-2023")</f>
        <v/>
      </c>
      <c r="T192">
        <f>HYPERLINK("https://klasma.github.io/Logging_2309/kartor/A 32756-2023 karta.png", "A 32756-2023")</f>
        <v/>
      </c>
      <c r="V192">
        <f>HYPERLINK("https://klasma.github.io/Logging_2309/klagomål/A 32756-2023 FSC-klagomål.docx", "A 32756-2023")</f>
        <v/>
      </c>
      <c r="W192">
        <f>HYPERLINK("https://klasma.github.io/Logging_2309/klagomålsmail/A 32756-2023 FSC-klagomål mail.docx", "A 32756-2023")</f>
        <v/>
      </c>
      <c r="X192">
        <f>HYPERLINK("https://klasma.github.io/Logging_2309/tillsyn/A 32756-2023 tillsynsbegäran.docx", "A 32756-2023")</f>
        <v/>
      </c>
      <c r="Y192">
        <f>HYPERLINK("https://klasma.github.io/Logging_2309/tillsynsmail/A 32756-2023 tillsynsbegäran mail.docx", "A 32756-2023")</f>
        <v/>
      </c>
    </row>
    <row r="193" ht="15" customHeight="1">
      <c r="A193" t="inlineStr">
        <is>
          <t>A 55387-2024</t>
        </is>
      </c>
      <c r="B193" s="1" t="n">
        <v>45622</v>
      </c>
      <c r="C193" s="1" t="n">
        <v>45900</v>
      </c>
      <c r="D193" t="inlineStr">
        <is>
          <t>JÄMTLANDS LÄN</t>
        </is>
      </c>
      <c r="E193" t="inlineStr">
        <is>
          <t>KROKOM</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55387-2024 artfynd.xlsx", "A 55387-2024")</f>
        <v/>
      </c>
      <c r="T193">
        <f>HYPERLINK("https://klasma.github.io/Logging_2309/kartor/A 55387-2024 karta.png", "A 55387-2024")</f>
        <v/>
      </c>
      <c r="V193">
        <f>HYPERLINK("https://klasma.github.io/Logging_2309/klagomål/A 55387-2024 FSC-klagomål.docx", "A 55387-2024")</f>
        <v/>
      </c>
      <c r="W193">
        <f>HYPERLINK("https://klasma.github.io/Logging_2309/klagomålsmail/A 55387-2024 FSC-klagomål mail.docx", "A 55387-2024")</f>
        <v/>
      </c>
      <c r="X193">
        <f>HYPERLINK("https://klasma.github.io/Logging_2309/tillsyn/A 55387-2024 tillsynsbegäran.docx", "A 55387-2024")</f>
        <v/>
      </c>
      <c r="Y193">
        <f>HYPERLINK("https://klasma.github.io/Logging_2309/tillsynsmail/A 55387-2024 tillsynsbegäran mail.docx", "A 55387-2024")</f>
        <v/>
      </c>
      <c r="Z193">
        <f>HYPERLINK("https://klasma.github.io/Logging_2309/fåglar/A 55387-2024 prioriterade fågelarter.docx", "A 55387-2024")</f>
        <v/>
      </c>
    </row>
    <row r="194" ht="15" customHeight="1">
      <c r="A194" t="inlineStr">
        <is>
          <t>A 7005-2022</t>
        </is>
      </c>
      <c r="B194" s="1" t="n">
        <v>44603</v>
      </c>
      <c r="C194" s="1" t="n">
        <v>45900</v>
      </c>
      <c r="D194" t="inlineStr">
        <is>
          <t>JÄMTLANDS LÄN</t>
        </is>
      </c>
      <c r="E194" t="inlineStr">
        <is>
          <t>KROKOM</t>
        </is>
      </c>
      <c r="G194" t="n">
        <v>46</v>
      </c>
      <c r="H194" t="n">
        <v>0</v>
      </c>
      <c r="I194" t="n">
        <v>1</v>
      </c>
      <c r="J194" t="n">
        <v>0</v>
      </c>
      <c r="K194" t="n">
        <v>0</v>
      </c>
      <c r="L194" t="n">
        <v>0</v>
      </c>
      <c r="M194" t="n">
        <v>0</v>
      </c>
      <c r="N194" t="n">
        <v>0</v>
      </c>
      <c r="O194" t="n">
        <v>0</v>
      </c>
      <c r="P194" t="n">
        <v>0</v>
      </c>
      <c r="Q194" t="n">
        <v>1</v>
      </c>
      <c r="R194" s="2" t="inlineStr">
        <is>
          <t>Stuplav</t>
        </is>
      </c>
      <c r="S194">
        <f>HYPERLINK("https://klasma.github.io/Logging_2309/artfynd/A 7005-2022 artfynd.xlsx", "A 7005-2022")</f>
        <v/>
      </c>
      <c r="T194">
        <f>HYPERLINK("https://klasma.github.io/Logging_2309/kartor/A 7005-2022 karta.png", "A 7005-2022")</f>
        <v/>
      </c>
      <c r="V194">
        <f>HYPERLINK("https://klasma.github.io/Logging_2309/klagomål/A 7005-2022 FSC-klagomål.docx", "A 7005-2022")</f>
        <v/>
      </c>
      <c r="W194">
        <f>HYPERLINK("https://klasma.github.io/Logging_2309/klagomålsmail/A 7005-2022 FSC-klagomål mail.docx", "A 7005-2022")</f>
        <v/>
      </c>
      <c r="X194">
        <f>HYPERLINK("https://klasma.github.io/Logging_2309/tillsyn/A 7005-2022 tillsynsbegäran.docx", "A 7005-2022")</f>
        <v/>
      </c>
      <c r="Y194">
        <f>HYPERLINK("https://klasma.github.io/Logging_2309/tillsynsmail/A 7005-2022 tillsynsbegäran mail.docx", "A 7005-2022")</f>
        <v/>
      </c>
    </row>
    <row r="195" ht="15" customHeight="1">
      <c r="A195" t="inlineStr">
        <is>
          <t>A 49388-2024</t>
        </is>
      </c>
      <c r="B195" s="1" t="n">
        <v>45595</v>
      </c>
      <c r="C195" s="1" t="n">
        <v>45900</v>
      </c>
      <c r="D195" t="inlineStr">
        <is>
          <t>JÄMTLANDS LÄN</t>
        </is>
      </c>
      <c r="E195" t="inlineStr">
        <is>
          <t>KROKOM</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49388-2024 artfynd.xlsx", "A 49388-2024")</f>
        <v/>
      </c>
      <c r="T195">
        <f>HYPERLINK("https://klasma.github.io/Logging_2309/kartor/A 49388-2024 karta.png", "A 49388-2024")</f>
        <v/>
      </c>
      <c r="V195">
        <f>HYPERLINK("https://klasma.github.io/Logging_2309/klagomål/A 49388-2024 FSC-klagomål.docx", "A 49388-2024")</f>
        <v/>
      </c>
      <c r="W195">
        <f>HYPERLINK("https://klasma.github.io/Logging_2309/klagomålsmail/A 49388-2024 FSC-klagomål mail.docx", "A 49388-2024")</f>
        <v/>
      </c>
      <c r="X195">
        <f>HYPERLINK("https://klasma.github.io/Logging_2309/tillsyn/A 49388-2024 tillsynsbegäran.docx", "A 49388-2024")</f>
        <v/>
      </c>
      <c r="Y195">
        <f>HYPERLINK("https://klasma.github.io/Logging_2309/tillsynsmail/A 49388-2024 tillsynsbegäran mail.docx", "A 49388-2024")</f>
        <v/>
      </c>
      <c r="Z195">
        <f>HYPERLINK("https://klasma.github.io/Logging_2309/fåglar/A 49388-2024 prioriterade fågelarter.docx", "A 49388-2024")</f>
        <v/>
      </c>
    </row>
    <row r="196" ht="15" customHeight="1">
      <c r="A196" t="inlineStr">
        <is>
          <t>A 25285-2023</t>
        </is>
      </c>
      <c r="B196" s="1" t="n">
        <v>45079</v>
      </c>
      <c r="C196" s="1" t="n">
        <v>45900</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45900</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11413-2022</t>
        </is>
      </c>
      <c r="B198" s="1" t="n">
        <v>44630</v>
      </c>
      <c r="C198" s="1" t="n">
        <v>45900</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36639-2023</t>
        </is>
      </c>
      <c r="B199" s="1" t="n">
        <v>45153</v>
      </c>
      <c r="C199" s="1" t="n">
        <v>45900</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61240-2024</t>
        </is>
      </c>
      <c r="B200" s="1" t="n">
        <v>45645.67945601852</v>
      </c>
      <c r="C200" s="1" t="n">
        <v>45900</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814-2022</t>
        </is>
      </c>
      <c r="B201" s="1" t="n">
        <v>44568</v>
      </c>
      <c r="C201" s="1" t="n">
        <v>45900</v>
      </c>
      <c r="D201" t="inlineStr">
        <is>
          <t>JÄMTLANDS LÄN</t>
        </is>
      </c>
      <c r="E201" t="inlineStr">
        <is>
          <t>KROKOM</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814-2022 artfynd.xlsx", "A 814-2022")</f>
        <v/>
      </c>
      <c r="T201">
        <f>HYPERLINK("https://klasma.github.io/Logging_2309/kartor/A 814-2022 karta.png", "A 814-2022")</f>
        <v/>
      </c>
      <c r="V201">
        <f>HYPERLINK("https://klasma.github.io/Logging_2309/klagomål/A 814-2022 FSC-klagomål.docx", "A 814-2022")</f>
        <v/>
      </c>
      <c r="W201">
        <f>HYPERLINK("https://klasma.github.io/Logging_2309/klagomålsmail/A 814-2022 FSC-klagomål mail.docx", "A 814-2022")</f>
        <v/>
      </c>
      <c r="X201">
        <f>HYPERLINK("https://klasma.github.io/Logging_2309/tillsyn/A 814-2022 tillsynsbegäran.docx", "A 814-2022")</f>
        <v/>
      </c>
      <c r="Y201">
        <f>HYPERLINK("https://klasma.github.io/Logging_2309/tillsynsmail/A 814-2022 tillsynsbegäran mail.docx", "A 814-2022")</f>
        <v/>
      </c>
      <c r="Z201">
        <f>HYPERLINK("https://klasma.github.io/Logging_2309/fåglar/A 814-2022 prioriterade fågelarter.docx", "A 814-2022")</f>
        <v/>
      </c>
    </row>
    <row r="202" ht="15" customHeight="1">
      <c r="A202" t="inlineStr">
        <is>
          <t>A 28660-2025</t>
        </is>
      </c>
      <c r="B202" s="1" t="n">
        <v>45819.65796296296</v>
      </c>
      <c r="C202" s="1" t="n">
        <v>45900</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29941-2025</t>
        </is>
      </c>
      <c r="B203" s="1" t="n">
        <v>45826.45174768518</v>
      </c>
      <c r="C203" s="1" t="n">
        <v>45900</v>
      </c>
      <c r="D203" t="inlineStr">
        <is>
          <t>JÄMTLANDS LÄN</t>
        </is>
      </c>
      <c r="E203" t="inlineStr">
        <is>
          <t>KROKOM</t>
        </is>
      </c>
      <c r="G203" t="n">
        <v>12.4</v>
      </c>
      <c r="H203" t="n">
        <v>0</v>
      </c>
      <c r="I203" t="n">
        <v>0</v>
      </c>
      <c r="J203" t="n">
        <v>0</v>
      </c>
      <c r="K203" t="n">
        <v>0</v>
      </c>
      <c r="L203" t="n">
        <v>1</v>
      </c>
      <c r="M203" t="n">
        <v>0</v>
      </c>
      <c r="N203" t="n">
        <v>0</v>
      </c>
      <c r="O203" t="n">
        <v>1</v>
      </c>
      <c r="P203" t="n">
        <v>1</v>
      </c>
      <c r="Q203" t="n">
        <v>1</v>
      </c>
      <c r="R203" s="2" t="inlineStr">
        <is>
          <t>Lilafotad fingersvamp</t>
        </is>
      </c>
      <c r="S203">
        <f>HYPERLINK("https://klasma.github.io/Logging_2309/artfynd/A 29941-2025 artfynd.xlsx", "A 29941-2025")</f>
        <v/>
      </c>
      <c r="T203">
        <f>HYPERLINK("https://klasma.github.io/Logging_2309/kartor/A 29941-2025 karta.png", "A 29941-2025")</f>
        <v/>
      </c>
      <c r="V203">
        <f>HYPERLINK("https://klasma.github.io/Logging_2309/klagomål/A 29941-2025 FSC-klagomål.docx", "A 29941-2025")</f>
        <v/>
      </c>
      <c r="W203">
        <f>HYPERLINK("https://klasma.github.io/Logging_2309/klagomålsmail/A 29941-2025 FSC-klagomål mail.docx", "A 29941-2025")</f>
        <v/>
      </c>
      <c r="X203">
        <f>HYPERLINK("https://klasma.github.io/Logging_2309/tillsyn/A 29941-2025 tillsynsbegäran.docx", "A 29941-2025")</f>
        <v/>
      </c>
      <c r="Y203">
        <f>HYPERLINK("https://klasma.github.io/Logging_2309/tillsynsmail/A 29941-2025 tillsynsbegäran mail.docx", "A 29941-2025")</f>
        <v/>
      </c>
    </row>
    <row r="204" ht="15" customHeight="1">
      <c r="A204" t="inlineStr">
        <is>
          <t>A 52486-2024</t>
        </is>
      </c>
      <c r="B204" s="1" t="n">
        <v>45609</v>
      </c>
      <c r="C204" s="1" t="n">
        <v>45900</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52486-2024 artfynd.xlsx", "A 52486-2024")</f>
        <v/>
      </c>
      <c r="T204">
        <f>HYPERLINK("https://klasma.github.io/Logging_2309/kartor/A 52486-2024 karta.png", "A 52486-2024")</f>
        <v/>
      </c>
      <c r="V204">
        <f>HYPERLINK("https://klasma.github.io/Logging_2309/klagomål/A 52486-2024 FSC-klagomål.docx", "A 52486-2024")</f>
        <v/>
      </c>
      <c r="W204">
        <f>HYPERLINK("https://klasma.github.io/Logging_2309/klagomålsmail/A 52486-2024 FSC-klagomål mail.docx", "A 52486-2024")</f>
        <v/>
      </c>
      <c r="X204">
        <f>HYPERLINK("https://klasma.github.io/Logging_2309/tillsyn/A 52486-2024 tillsynsbegäran.docx", "A 52486-2024")</f>
        <v/>
      </c>
      <c r="Y204">
        <f>HYPERLINK("https://klasma.github.io/Logging_2309/tillsynsmail/A 52486-2024 tillsynsbegäran mail.docx", "A 52486-2024")</f>
        <v/>
      </c>
      <c r="Z204">
        <f>HYPERLINK("https://klasma.github.io/Logging_2309/fåglar/A 52486-2024 prioriterade fågelarter.docx", "A 52486-2024")</f>
        <v/>
      </c>
    </row>
    <row r="205" ht="15" customHeight="1">
      <c r="A205" t="inlineStr">
        <is>
          <t>A 49175-2024</t>
        </is>
      </c>
      <c r="B205" s="1" t="n">
        <v>45595</v>
      </c>
      <c r="C205" s="1" t="n">
        <v>45900</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52473-2024</t>
        </is>
      </c>
      <c r="B206" s="1" t="n">
        <v>45609</v>
      </c>
      <c r="C206" s="1" t="n">
        <v>45900</v>
      </c>
      <c r="D206" t="inlineStr">
        <is>
          <t>JÄMTLANDS LÄN</t>
        </is>
      </c>
      <c r="E206" t="inlineStr">
        <is>
          <t>KROKOM</t>
        </is>
      </c>
      <c r="G206" t="n">
        <v>38.5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52473-2024 artfynd.xlsx", "A 52473-2024")</f>
        <v/>
      </c>
      <c r="T206">
        <f>HYPERLINK("https://klasma.github.io/Logging_2309/kartor/A 52473-2024 karta.png", "A 52473-2024")</f>
        <v/>
      </c>
      <c r="V206">
        <f>HYPERLINK("https://klasma.github.io/Logging_2309/klagomål/A 52473-2024 FSC-klagomål.docx", "A 52473-2024")</f>
        <v/>
      </c>
      <c r="W206">
        <f>HYPERLINK("https://klasma.github.io/Logging_2309/klagomålsmail/A 52473-2024 FSC-klagomål mail.docx", "A 52473-2024")</f>
        <v/>
      </c>
      <c r="X206">
        <f>HYPERLINK("https://klasma.github.io/Logging_2309/tillsyn/A 52473-2024 tillsynsbegäran.docx", "A 52473-2024")</f>
        <v/>
      </c>
      <c r="Y206">
        <f>HYPERLINK("https://klasma.github.io/Logging_2309/tillsynsmail/A 52473-2024 tillsynsbegäran mail.docx", "A 52473-2024")</f>
        <v/>
      </c>
      <c r="Z206">
        <f>HYPERLINK("https://klasma.github.io/Logging_2309/fåglar/A 52473-2024 prioriterade fågelarter.docx", "A 52473-2024")</f>
        <v/>
      </c>
    </row>
    <row r="207" ht="15" customHeight="1">
      <c r="A207" t="inlineStr">
        <is>
          <t>A 6705-2025</t>
        </is>
      </c>
      <c r="B207" s="1" t="n">
        <v>45700</v>
      </c>
      <c r="C207" s="1" t="n">
        <v>45900</v>
      </c>
      <c r="D207" t="inlineStr">
        <is>
          <t>JÄMTLANDS LÄN</t>
        </is>
      </c>
      <c r="E207" t="inlineStr">
        <is>
          <t>KROKOM</t>
        </is>
      </c>
      <c r="G207" t="n">
        <v>20.4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6705-2025 artfynd.xlsx", "A 6705-2025")</f>
        <v/>
      </c>
      <c r="T207">
        <f>HYPERLINK("https://klasma.github.io/Logging_2309/kartor/A 6705-2025 karta.png", "A 6705-2025")</f>
        <v/>
      </c>
      <c r="V207">
        <f>HYPERLINK("https://klasma.github.io/Logging_2309/klagomål/A 6705-2025 FSC-klagomål.docx", "A 6705-2025")</f>
        <v/>
      </c>
      <c r="W207">
        <f>HYPERLINK("https://klasma.github.io/Logging_2309/klagomålsmail/A 6705-2025 FSC-klagomål mail.docx", "A 6705-2025")</f>
        <v/>
      </c>
      <c r="X207">
        <f>HYPERLINK("https://klasma.github.io/Logging_2309/tillsyn/A 6705-2025 tillsynsbegäran.docx", "A 6705-2025")</f>
        <v/>
      </c>
      <c r="Y207">
        <f>HYPERLINK("https://klasma.github.io/Logging_2309/tillsynsmail/A 6705-2025 tillsynsbegäran mail.docx", "A 6705-2025")</f>
        <v/>
      </c>
      <c r="Z207">
        <f>HYPERLINK("https://klasma.github.io/Logging_2309/fåglar/A 6705-2025 prioriterade fågelarter.docx", "A 6705-2025")</f>
        <v/>
      </c>
    </row>
    <row r="208" ht="15" customHeight="1">
      <c r="A208" t="inlineStr">
        <is>
          <t>A 18032-2022</t>
        </is>
      </c>
      <c r="B208" s="1" t="n">
        <v>44683</v>
      </c>
      <c r="C208" s="1" t="n">
        <v>45900</v>
      </c>
      <c r="D208" t="inlineStr">
        <is>
          <t>JÄMTLANDS LÄN</t>
        </is>
      </c>
      <c r="E208" t="inlineStr">
        <is>
          <t>KROKOM</t>
        </is>
      </c>
      <c r="G208" t="n">
        <v>15.8</v>
      </c>
      <c r="H208" t="n">
        <v>0</v>
      </c>
      <c r="I208" t="n">
        <v>0</v>
      </c>
      <c r="J208" t="n">
        <v>1</v>
      </c>
      <c r="K208" t="n">
        <v>0</v>
      </c>
      <c r="L208" t="n">
        <v>0</v>
      </c>
      <c r="M208" t="n">
        <v>0</v>
      </c>
      <c r="N208" t="n">
        <v>0</v>
      </c>
      <c r="O208" t="n">
        <v>1</v>
      </c>
      <c r="P208" t="n">
        <v>0</v>
      </c>
      <c r="Q208" t="n">
        <v>1</v>
      </c>
      <c r="R208" s="2" t="inlineStr">
        <is>
          <t>Brunklöver</t>
        </is>
      </c>
      <c r="S208">
        <f>HYPERLINK("https://klasma.github.io/Logging_2309/artfynd/A 18032-2022 artfynd.xlsx", "A 18032-2022")</f>
        <v/>
      </c>
      <c r="T208">
        <f>HYPERLINK("https://klasma.github.io/Logging_2309/kartor/A 18032-2022 karta.png", "A 18032-2022")</f>
        <v/>
      </c>
      <c r="V208">
        <f>HYPERLINK("https://klasma.github.io/Logging_2309/klagomål/A 18032-2022 FSC-klagomål.docx", "A 18032-2022")</f>
        <v/>
      </c>
      <c r="W208">
        <f>HYPERLINK("https://klasma.github.io/Logging_2309/klagomålsmail/A 18032-2022 FSC-klagomål mail.docx", "A 18032-2022")</f>
        <v/>
      </c>
      <c r="X208">
        <f>HYPERLINK("https://klasma.github.io/Logging_2309/tillsyn/A 18032-2022 tillsynsbegäran.docx", "A 18032-2022")</f>
        <v/>
      </c>
      <c r="Y208">
        <f>HYPERLINK("https://klasma.github.io/Logging_2309/tillsynsmail/A 18032-2022 tillsynsbegäran mail.docx", "A 18032-2022")</f>
        <v/>
      </c>
    </row>
    <row r="209" ht="15" customHeight="1">
      <c r="A209" t="inlineStr">
        <is>
          <t>A 32656-2025</t>
        </is>
      </c>
      <c r="B209" s="1" t="n">
        <v>45838.67815972222</v>
      </c>
      <c r="C209" s="1" t="n">
        <v>45900</v>
      </c>
      <c r="D209" t="inlineStr">
        <is>
          <t>JÄMTLANDS LÄN</t>
        </is>
      </c>
      <c r="E209" t="inlineStr">
        <is>
          <t>KROKOM</t>
        </is>
      </c>
      <c r="F209" t="inlineStr">
        <is>
          <t>SCA</t>
        </is>
      </c>
      <c r="G209" t="n">
        <v>9.1</v>
      </c>
      <c r="H209" t="n">
        <v>0</v>
      </c>
      <c r="I209" t="n">
        <v>0</v>
      </c>
      <c r="J209" t="n">
        <v>1</v>
      </c>
      <c r="K209" t="n">
        <v>0</v>
      </c>
      <c r="L209" t="n">
        <v>0</v>
      </c>
      <c r="M209" t="n">
        <v>0</v>
      </c>
      <c r="N209" t="n">
        <v>0</v>
      </c>
      <c r="O209" t="n">
        <v>1</v>
      </c>
      <c r="P209" t="n">
        <v>0</v>
      </c>
      <c r="Q209" t="n">
        <v>1</v>
      </c>
      <c r="R209" s="2" t="inlineStr">
        <is>
          <t>Skrovellav</t>
        </is>
      </c>
      <c r="S209">
        <f>HYPERLINK("https://klasma.github.io/Logging_2309/artfynd/A 32656-2025 artfynd.xlsx", "A 32656-2025")</f>
        <v/>
      </c>
      <c r="T209">
        <f>HYPERLINK("https://klasma.github.io/Logging_2309/kartor/A 32656-2025 karta.png", "A 32656-2025")</f>
        <v/>
      </c>
      <c r="V209">
        <f>HYPERLINK("https://klasma.github.io/Logging_2309/klagomål/A 32656-2025 FSC-klagomål.docx", "A 32656-2025")</f>
        <v/>
      </c>
      <c r="W209">
        <f>HYPERLINK("https://klasma.github.io/Logging_2309/klagomålsmail/A 32656-2025 FSC-klagomål mail.docx", "A 32656-2025")</f>
        <v/>
      </c>
      <c r="X209">
        <f>HYPERLINK("https://klasma.github.io/Logging_2309/tillsyn/A 32656-2025 tillsynsbegäran.docx", "A 32656-2025")</f>
        <v/>
      </c>
      <c r="Y209">
        <f>HYPERLINK("https://klasma.github.io/Logging_2309/tillsynsmail/A 32656-2025 tillsynsbegäran mail.docx", "A 32656-2025")</f>
        <v/>
      </c>
    </row>
    <row r="210" ht="15" customHeight="1">
      <c r="A210" t="inlineStr">
        <is>
          <t>A 32465-2025</t>
        </is>
      </c>
      <c r="B210" s="1" t="n">
        <v>45838</v>
      </c>
      <c r="C210" s="1" t="n">
        <v>45900</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32888-2025</t>
        </is>
      </c>
      <c r="B211" s="1" t="n">
        <v>45839.60460648148</v>
      </c>
      <c r="C211" s="1" t="n">
        <v>45900</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33513-2025</t>
        </is>
      </c>
      <c r="B212" s="1" t="n">
        <v>45841.52454861111</v>
      </c>
      <c r="C212" s="1" t="n">
        <v>45900</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15430-2023</t>
        </is>
      </c>
      <c r="B213" s="1" t="n">
        <v>45020</v>
      </c>
      <c r="C213" s="1" t="n">
        <v>45900</v>
      </c>
      <c r="D213" t="inlineStr">
        <is>
          <t>JÄMTLANDS LÄN</t>
        </is>
      </c>
      <c r="E213" t="inlineStr">
        <is>
          <t>KROKOM</t>
        </is>
      </c>
      <c r="G213" t="n">
        <v>31.8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15430-2023 artfynd.xlsx", "A 15430-2023")</f>
        <v/>
      </c>
      <c r="T213">
        <f>HYPERLINK("https://klasma.github.io/Logging_2309/kartor/A 15430-2023 karta.png", "A 15430-2023")</f>
        <v/>
      </c>
      <c r="V213">
        <f>HYPERLINK("https://klasma.github.io/Logging_2309/klagomål/A 15430-2023 FSC-klagomål.docx", "A 15430-2023")</f>
        <v/>
      </c>
      <c r="W213">
        <f>HYPERLINK("https://klasma.github.io/Logging_2309/klagomålsmail/A 15430-2023 FSC-klagomål mail.docx", "A 15430-2023")</f>
        <v/>
      </c>
      <c r="X213">
        <f>HYPERLINK("https://klasma.github.io/Logging_2309/tillsyn/A 15430-2023 tillsynsbegäran.docx", "A 15430-2023")</f>
        <v/>
      </c>
      <c r="Y213">
        <f>HYPERLINK("https://klasma.github.io/Logging_2309/tillsynsmail/A 15430-2023 tillsynsbegäran mail.docx", "A 15430-2023")</f>
        <v/>
      </c>
      <c r="Z213">
        <f>HYPERLINK("https://klasma.github.io/Logging_2309/fåglar/A 15430-2023 prioriterade fågelarter.docx", "A 15430-2023")</f>
        <v/>
      </c>
    </row>
    <row r="214" ht="15" customHeight="1">
      <c r="A214" t="inlineStr">
        <is>
          <t>A 34534-2025</t>
        </is>
      </c>
      <c r="B214" s="1" t="n">
        <v>45847.51078703703</v>
      </c>
      <c r="C214" s="1" t="n">
        <v>45900</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4331-2025</t>
        </is>
      </c>
      <c r="B215" s="1" t="n">
        <v>45685.78776620371</v>
      </c>
      <c r="C215" s="1" t="n">
        <v>45900</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34520-2025</t>
        </is>
      </c>
      <c r="B216" s="1" t="n">
        <v>45847.46962962963</v>
      </c>
      <c r="C216" s="1" t="n">
        <v>45900</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27753-2023</t>
        </is>
      </c>
      <c r="B217" s="1" t="n">
        <v>45098</v>
      </c>
      <c r="C217" s="1" t="n">
        <v>45900</v>
      </c>
      <c r="D217" t="inlineStr">
        <is>
          <t>JÄMTLANDS LÄN</t>
        </is>
      </c>
      <c r="E217" t="inlineStr">
        <is>
          <t>KROKOM</t>
        </is>
      </c>
      <c r="F217" t="inlineStr">
        <is>
          <t>Övriga Aktiebolag</t>
        </is>
      </c>
      <c r="G217" t="n">
        <v>20.9</v>
      </c>
      <c r="H217" t="n">
        <v>0</v>
      </c>
      <c r="I217" t="n">
        <v>0</v>
      </c>
      <c r="J217" t="n">
        <v>1</v>
      </c>
      <c r="K217" t="n">
        <v>0</v>
      </c>
      <c r="L217" t="n">
        <v>0</v>
      </c>
      <c r="M217" t="n">
        <v>0</v>
      </c>
      <c r="N217" t="n">
        <v>0</v>
      </c>
      <c r="O217" t="n">
        <v>1</v>
      </c>
      <c r="P217" t="n">
        <v>0</v>
      </c>
      <c r="Q217" t="n">
        <v>1</v>
      </c>
      <c r="R217" s="2" t="inlineStr">
        <is>
          <t>Mörk kolflarnlav</t>
        </is>
      </c>
      <c r="S217">
        <f>HYPERLINK("https://klasma.github.io/Logging_2309/artfynd/A 27753-2023 artfynd.xlsx", "A 27753-2023")</f>
        <v/>
      </c>
      <c r="T217">
        <f>HYPERLINK("https://klasma.github.io/Logging_2309/kartor/A 27753-2023 karta.png", "A 27753-2023")</f>
        <v/>
      </c>
      <c r="V217">
        <f>HYPERLINK("https://klasma.github.io/Logging_2309/klagomål/A 27753-2023 FSC-klagomål.docx", "A 27753-2023")</f>
        <v/>
      </c>
      <c r="W217">
        <f>HYPERLINK("https://klasma.github.io/Logging_2309/klagomålsmail/A 27753-2023 FSC-klagomål mail.docx", "A 27753-2023")</f>
        <v/>
      </c>
      <c r="X217">
        <f>HYPERLINK("https://klasma.github.io/Logging_2309/tillsyn/A 27753-2023 tillsynsbegäran.docx", "A 27753-2023")</f>
        <v/>
      </c>
      <c r="Y217">
        <f>HYPERLINK("https://klasma.github.io/Logging_2309/tillsynsmail/A 27753-2023 tillsynsbegäran mail.docx", "A 27753-2023")</f>
        <v/>
      </c>
    </row>
    <row r="218" ht="15" customHeight="1">
      <c r="A218" t="inlineStr">
        <is>
          <t>A 49387-2024</t>
        </is>
      </c>
      <c r="B218" s="1" t="n">
        <v>45595</v>
      </c>
      <c r="C218" s="1" t="n">
        <v>45900</v>
      </c>
      <c r="D218" t="inlineStr">
        <is>
          <t>JÄMTLANDS LÄN</t>
        </is>
      </c>
      <c r="E218" t="inlineStr">
        <is>
          <t>KROKOM</t>
        </is>
      </c>
      <c r="G218" t="n">
        <v>0.8</v>
      </c>
      <c r="H218" t="n">
        <v>0</v>
      </c>
      <c r="I218" t="n">
        <v>0</v>
      </c>
      <c r="J218" t="n">
        <v>1</v>
      </c>
      <c r="K218" t="n">
        <v>0</v>
      </c>
      <c r="L218" t="n">
        <v>0</v>
      </c>
      <c r="M218" t="n">
        <v>0</v>
      </c>
      <c r="N218" t="n">
        <v>0</v>
      </c>
      <c r="O218" t="n">
        <v>1</v>
      </c>
      <c r="P218" t="n">
        <v>0</v>
      </c>
      <c r="Q218" t="n">
        <v>1</v>
      </c>
      <c r="R218" s="2" t="inlineStr">
        <is>
          <t>Garnlav</t>
        </is>
      </c>
      <c r="S218">
        <f>HYPERLINK("https://klasma.github.io/Logging_2309/artfynd/A 49387-2024 artfynd.xlsx", "A 49387-2024")</f>
        <v/>
      </c>
      <c r="T218">
        <f>HYPERLINK("https://klasma.github.io/Logging_2309/kartor/A 49387-2024 karta.png", "A 49387-2024")</f>
        <v/>
      </c>
      <c r="V218">
        <f>HYPERLINK("https://klasma.github.io/Logging_2309/klagomål/A 49387-2024 FSC-klagomål.docx", "A 49387-2024")</f>
        <v/>
      </c>
      <c r="W218">
        <f>HYPERLINK("https://klasma.github.io/Logging_2309/klagomålsmail/A 49387-2024 FSC-klagomål mail.docx", "A 49387-2024")</f>
        <v/>
      </c>
      <c r="X218">
        <f>HYPERLINK("https://klasma.github.io/Logging_2309/tillsyn/A 49387-2024 tillsynsbegäran.docx", "A 49387-2024")</f>
        <v/>
      </c>
      <c r="Y218">
        <f>HYPERLINK("https://klasma.github.io/Logging_2309/tillsynsmail/A 49387-2024 tillsynsbegäran mail.docx", "A 49387-2024")</f>
        <v/>
      </c>
    </row>
    <row r="219" ht="15" customHeight="1">
      <c r="A219" t="inlineStr">
        <is>
          <t>A 49385-2024</t>
        </is>
      </c>
      <c r="B219" s="1" t="n">
        <v>45595</v>
      </c>
      <c r="C219" s="1" t="n">
        <v>45900</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7208-2025</t>
        </is>
      </c>
      <c r="B220" s="1" t="n">
        <v>45702.47149305556</v>
      </c>
      <c r="C220" s="1" t="n">
        <v>45900</v>
      </c>
      <c r="D220" t="inlineStr">
        <is>
          <t>JÄMTLANDS LÄN</t>
        </is>
      </c>
      <c r="E220" t="inlineStr">
        <is>
          <t>KROKOM</t>
        </is>
      </c>
      <c r="F220" t="inlineStr">
        <is>
          <t>Övriga Aktiebolag</t>
        </is>
      </c>
      <c r="G220" t="n">
        <v>39.4</v>
      </c>
      <c r="H220" t="n">
        <v>0</v>
      </c>
      <c r="I220" t="n">
        <v>0</v>
      </c>
      <c r="J220" t="n">
        <v>1</v>
      </c>
      <c r="K220" t="n">
        <v>0</v>
      </c>
      <c r="L220" t="n">
        <v>0</v>
      </c>
      <c r="M220" t="n">
        <v>0</v>
      </c>
      <c r="N220" t="n">
        <v>0</v>
      </c>
      <c r="O220" t="n">
        <v>1</v>
      </c>
      <c r="P220" t="n">
        <v>0</v>
      </c>
      <c r="Q220" t="n">
        <v>1</v>
      </c>
      <c r="R220" s="2" t="inlineStr">
        <is>
          <t>Ullticka</t>
        </is>
      </c>
      <c r="S220">
        <f>HYPERLINK("https://klasma.github.io/Logging_2309/artfynd/A 7208-2025 artfynd.xlsx", "A 7208-2025")</f>
        <v/>
      </c>
      <c r="T220">
        <f>HYPERLINK("https://klasma.github.io/Logging_2309/kartor/A 7208-2025 karta.png", "A 7208-2025")</f>
        <v/>
      </c>
      <c r="V220">
        <f>HYPERLINK("https://klasma.github.io/Logging_2309/klagomål/A 7208-2025 FSC-klagomål.docx", "A 7208-2025")</f>
        <v/>
      </c>
      <c r="W220">
        <f>HYPERLINK("https://klasma.github.io/Logging_2309/klagomålsmail/A 7208-2025 FSC-klagomål mail.docx", "A 7208-2025")</f>
        <v/>
      </c>
      <c r="X220">
        <f>HYPERLINK("https://klasma.github.io/Logging_2309/tillsyn/A 7208-2025 tillsynsbegäran.docx", "A 7208-2025")</f>
        <v/>
      </c>
      <c r="Y220">
        <f>HYPERLINK("https://klasma.github.io/Logging_2309/tillsynsmail/A 7208-2025 tillsynsbegäran mail.docx", "A 7208-2025")</f>
        <v/>
      </c>
    </row>
    <row r="221" ht="15" customHeight="1">
      <c r="A221" t="inlineStr">
        <is>
          <t>A 5919-2025</t>
        </is>
      </c>
      <c r="B221" s="1" t="n">
        <v>45695.42197916667</v>
      </c>
      <c r="C221" s="1" t="n">
        <v>45900</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4348-2025</t>
        </is>
      </c>
      <c r="B222" s="1" t="n">
        <v>45686.27208333334</v>
      </c>
      <c r="C222" s="1" t="n">
        <v>45900</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806-2022</t>
        </is>
      </c>
      <c r="B223" s="1" t="n">
        <v>44568</v>
      </c>
      <c r="C223" s="1" t="n">
        <v>45900</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16125-2025</t>
        </is>
      </c>
      <c r="B224" s="1" t="n">
        <v>45750.42127314815</v>
      </c>
      <c r="C224" s="1" t="n">
        <v>45900</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45900</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42493-2020</t>
        </is>
      </c>
      <c r="B226" s="1" t="n">
        <v>44075</v>
      </c>
      <c r="C226" s="1" t="n">
        <v>45900</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42493-2020 artfynd.xlsx", "A 42493-2020")</f>
        <v/>
      </c>
      <c r="T226">
        <f>HYPERLINK("https://klasma.github.io/Logging_2309/kartor/A 42493-2020 karta.png", "A 42493-2020")</f>
        <v/>
      </c>
      <c r="V226">
        <f>HYPERLINK("https://klasma.github.io/Logging_2309/klagomål/A 42493-2020 FSC-klagomål.docx", "A 42493-2020")</f>
        <v/>
      </c>
      <c r="W226">
        <f>HYPERLINK("https://klasma.github.io/Logging_2309/klagomålsmail/A 42493-2020 FSC-klagomål mail.docx", "A 42493-2020")</f>
        <v/>
      </c>
      <c r="X226">
        <f>HYPERLINK("https://klasma.github.io/Logging_2309/tillsyn/A 42493-2020 tillsynsbegäran.docx", "A 42493-2020")</f>
        <v/>
      </c>
      <c r="Y226">
        <f>HYPERLINK("https://klasma.github.io/Logging_2309/tillsynsmail/A 42493-2020 tillsynsbegäran mail.docx", "A 42493-2020")</f>
        <v/>
      </c>
      <c r="Z226">
        <f>HYPERLINK("https://klasma.github.io/Logging_2309/fåglar/A 42493-2020 prioriterade fågelarter.docx", "A 42493-2020")</f>
        <v/>
      </c>
    </row>
    <row r="227" ht="15" customHeight="1">
      <c r="A227" t="inlineStr">
        <is>
          <t>A 804-2022</t>
        </is>
      </c>
      <c r="B227" s="1" t="n">
        <v>44568</v>
      </c>
      <c r="C227" s="1" t="n">
        <v>45900</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42258-2023</t>
        </is>
      </c>
      <c r="B228" s="1" t="n">
        <v>45180</v>
      </c>
      <c r="C228" s="1" t="n">
        <v>45900</v>
      </c>
      <c r="D228" t="inlineStr">
        <is>
          <t>JÄMTLANDS LÄN</t>
        </is>
      </c>
      <c r="E228" t="inlineStr">
        <is>
          <t>KROKOM</t>
        </is>
      </c>
      <c r="F228" t="inlineStr">
        <is>
          <t>Övriga Aktiebolag</t>
        </is>
      </c>
      <c r="G228" t="n">
        <v>0.2</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42258-2023 artfynd.xlsx", "A 42258-2023")</f>
        <v/>
      </c>
      <c r="T228">
        <f>HYPERLINK("https://klasma.github.io/Logging_2309/kartor/A 42258-2023 karta.png", "A 42258-2023")</f>
        <v/>
      </c>
      <c r="V228">
        <f>HYPERLINK("https://klasma.github.io/Logging_2309/klagomål/A 42258-2023 FSC-klagomål.docx", "A 42258-2023")</f>
        <v/>
      </c>
      <c r="W228">
        <f>HYPERLINK("https://klasma.github.io/Logging_2309/klagomålsmail/A 42258-2023 FSC-klagomål mail.docx", "A 42258-2023")</f>
        <v/>
      </c>
      <c r="X228">
        <f>HYPERLINK("https://klasma.github.io/Logging_2309/tillsyn/A 42258-2023 tillsynsbegäran.docx", "A 42258-2023")</f>
        <v/>
      </c>
      <c r="Y228">
        <f>HYPERLINK("https://klasma.github.io/Logging_2309/tillsynsmail/A 42258-2023 tillsynsbegäran mail.docx", "A 42258-2023")</f>
        <v/>
      </c>
      <c r="Z228">
        <f>HYPERLINK("https://klasma.github.io/Logging_2309/fåglar/A 42258-2023 prioriterade fågelarter.docx", "A 42258-2023")</f>
        <v/>
      </c>
    </row>
    <row r="229" ht="15" customHeight="1">
      <c r="A229" t="inlineStr">
        <is>
          <t>A 26231-2024</t>
        </is>
      </c>
      <c r="B229" s="1" t="n">
        <v>45467</v>
      </c>
      <c r="C229" s="1" t="n">
        <v>45900</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13485-2025</t>
        </is>
      </c>
      <c r="B230" s="1" t="n">
        <v>45736.42743055556</v>
      </c>
      <c r="C230" s="1" t="n">
        <v>45900</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16426-2024</t>
        </is>
      </c>
      <c r="B231" s="1" t="n">
        <v>45407</v>
      </c>
      <c r="C231" s="1" t="n">
        <v>45900</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58805-2024</t>
        </is>
      </c>
      <c r="B232" s="1" t="n">
        <v>45635</v>
      </c>
      <c r="C232" s="1" t="n">
        <v>45900</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56628-2023</t>
        </is>
      </c>
      <c r="B233" s="1" t="n">
        <v>45243</v>
      </c>
      <c r="C233" s="1" t="n">
        <v>45900</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19282-2021</t>
        </is>
      </c>
      <c r="B234" s="1" t="n">
        <v>44308</v>
      </c>
      <c r="C234" s="1" t="n">
        <v>45900</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19984-2021</t>
        </is>
      </c>
      <c r="B235" s="1" t="n">
        <v>44313</v>
      </c>
      <c r="C235" s="1" t="n">
        <v>45900</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45900</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45900</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45900</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45900</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45900</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45900</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45900</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45900</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45900</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45900</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45900</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45900</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45900</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45900</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45900</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45900</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45900</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45900</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45900</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45900</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45900</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45900</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45900</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45900</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45900</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45900</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45900</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45900</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45900</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45900</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45900</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45900</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45900</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45900</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45900</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45900</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45900</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45900</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45900</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45900</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45900</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45900</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45900</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45900</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45900</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45900</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45900</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45900</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45900</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45900</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45900</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45900</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45900</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45900</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45900</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45900</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45900</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45900</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45900</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45900</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45900</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45900</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45900</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45900</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45900</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45900</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45900</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45900</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45900</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45900</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45900</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45900</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45900</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57375-2020</t>
        </is>
      </c>
      <c r="B309" s="1" t="n">
        <v>44139</v>
      </c>
      <c r="C309" s="1" t="n">
        <v>45900</v>
      </c>
      <c r="D309" t="inlineStr">
        <is>
          <t>JÄMTLANDS LÄN</t>
        </is>
      </c>
      <c r="E309" t="inlineStr">
        <is>
          <t>KROKOM</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54152-2021</t>
        </is>
      </c>
      <c r="B310" s="1" t="n">
        <v>44470</v>
      </c>
      <c r="C310" s="1" t="n">
        <v>45900</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61091-2020</t>
        </is>
      </c>
      <c r="B311" s="1" t="n">
        <v>44153</v>
      </c>
      <c r="C311" s="1" t="n">
        <v>45900</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42550-2020</t>
        </is>
      </c>
      <c r="B312" s="1" t="n">
        <v>44077</v>
      </c>
      <c r="C312" s="1" t="n">
        <v>45900</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22611-2022</t>
        </is>
      </c>
      <c r="B313" s="1" t="n">
        <v>44714</v>
      </c>
      <c r="C313" s="1" t="n">
        <v>45900</v>
      </c>
      <c r="D313" t="inlineStr">
        <is>
          <t>JÄMTLANDS LÄN</t>
        </is>
      </c>
      <c r="E313" t="inlineStr">
        <is>
          <t>KROKOM</t>
        </is>
      </c>
      <c r="G313" t="n">
        <v>2.6</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45900</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45900</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45900</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45900</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45900</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45900</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45900</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45900</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45900</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45900</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45900</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51717-2020</t>
        </is>
      </c>
      <c r="B325" s="1" t="n">
        <v>44113</v>
      </c>
      <c r="C325" s="1" t="n">
        <v>45900</v>
      </c>
      <c r="D325" t="inlineStr">
        <is>
          <t>JÄMTLANDS LÄN</t>
        </is>
      </c>
      <c r="E325" t="inlineStr">
        <is>
          <t>KROKOM</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42385-2020</t>
        </is>
      </c>
      <c r="B326" s="1" t="n">
        <v>44076</v>
      </c>
      <c r="C326" s="1" t="n">
        <v>45900</v>
      </c>
      <c r="D326" t="inlineStr">
        <is>
          <t>JÄMTLANDS LÄN</t>
        </is>
      </c>
      <c r="E326" t="inlineStr">
        <is>
          <t>KROKOM</t>
        </is>
      </c>
      <c r="G326" t="n">
        <v>2.9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45900</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45900</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53500-2020</t>
        </is>
      </c>
      <c r="B329" s="1" t="n">
        <v>44123</v>
      </c>
      <c r="C329" s="1" t="n">
        <v>45900</v>
      </c>
      <c r="D329" t="inlineStr">
        <is>
          <t>JÄMTLANDS LÄN</t>
        </is>
      </c>
      <c r="E329" t="inlineStr">
        <is>
          <t>KROKOM</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45900</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24436-2021</t>
        </is>
      </c>
      <c r="B331" s="1" t="n">
        <v>44337</v>
      </c>
      <c r="C331" s="1" t="n">
        <v>45900</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45900</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53501-2020</t>
        </is>
      </c>
      <c r="B333" s="1" t="n">
        <v>44123</v>
      </c>
      <c r="C333" s="1" t="n">
        <v>45900</v>
      </c>
      <c r="D333" t="inlineStr">
        <is>
          <t>JÄMTLANDS LÄN</t>
        </is>
      </c>
      <c r="E333" t="inlineStr">
        <is>
          <t>KROKOM</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8569-2022</t>
        </is>
      </c>
      <c r="B334" s="1" t="n">
        <v>44610</v>
      </c>
      <c r="C334" s="1" t="n">
        <v>45900</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53241-2020</t>
        </is>
      </c>
      <c r="B335" s="1" t="n">
        <v>44123</v>
      </c>
      <c r="C335" s="1" t="n">
        <v>45900</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24612-2022</t>
        </is>
      </c>
      <c r="B336" s="1" t="n">
        <v>44727</v>
      </c>
      <c r="C336" s="1" t="n">
        <v>45900</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20074-2022</t>
        </is>
      </c>
      <c r="B337" s="1" t="n">
        <v>44697.94231481481</v>
      </c>
      <c r="C337" s="1" t="n">
        <v>45900</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66683-2021</t>
        </is>
      </c>
      <c r="B338" s="1" t="n">
        <v>44519.63436342592</v>
      </c>
      <c r="C338" s="1" t="n">
        <v>45900</v>
      </c>
      <c r="D338" t="inlineStr">
        <is>
          <t>JÄMTLANDS LÄN</t>
        </is>
      </c>
      <c r="E338" t="inlineStr">
        <is>
          <t>KROKOM</t>
        </is>
      </c>
      <c r="G338" t="n">
        <v>5.4</v>
      </c>
      <c r="H338" t="n">
        <v>0</v>
      </c>
      <c r="I338" t="n">
        <v>0</v>
      </c>
      <c r="J338" t="n">
        <v>0</v>
      </c>
      <c r="K338" t="n">
        <v>0</v>
      </c>
      <c r="L338" t="n">
        <v>0</v>
      </c>
      <c r="M338" t="n">
        <v>0</v>
      </c>
      <c r="N338" t="n">
        <v>0</v>
      </c>
      <c r="O338" t="n">
        <v>0</v>
      </c>
      <c r="P338" t="n">
        <v>0</v>
      </c>
      <c r="Q338" t="n">
        <v>0</v>
      </c>
      <c r="R338" s="2" t="inlineStr"/>
    </row>
    <row r="339" ht="15" customHeight="1">
      <c r="A339" t="inlineStr">
        <is>
          <t>A 54037-2021</t>
        </is>
      </c>
      <c r="B339" s="1" t="n">
        <v>44470</v>
      </c>
      <c r="C339" s="1" t="n">
        <v>45900</v>
      </c>
      <c r="D339" t="inlineStr">
        <is>
          <t>JÄMTLANDS LÄN</t>
        </is>
      </c>
      <c r="E339" t="inlineStr">
        <is>
          <t>KROKOM</t>
        </is>
      </c>
      <c r="G339" t="n">
        <v>6.3</v>
      </c>
      <c r="H339" t="n">
        <v>0</v>
      </c>
      <c r="I339" t="n">
        <v>0</v>
      </c>
      <c r="J339" t="n">
        <v>0</v>
      </c>
      <c r="K339" t="n">
        <v>0</v>
      </c>
      <c r="L339" t="n">
        <v>0</v>
      </c>
      <c r="M339" t="n">
        <v>0</v>
      </c>
      <c r="N339" t="n">
        <v>0</v>
      </c>
      <c r="O339" t="n">
        <v>0</v>
      </c>
      <c r="P339" t="n">
        <v>0</v>
      </c>
      <c r="Q339" t="n">
        <v>0</v>
      </c>
      <c r="R339" s="2" t="inlineStr"/>
    </row>
    <row r="340" ht="15" customHeight="1">
      <c r="A340" t="inlineStr">
        <is>
          <t>A 2356-2021</t>
        </is>
      </c>
      <c r="B340" s="1" t="n">
        <v>44214</v>
      </c>
      <c r="C340" s="1" t="n">
        <v>45900</v>
      </c>
      <c r="D340" t="inlineStr">
        <is>
          <t>JÄMTLANDS LÄN</t>
        </is>
      </c>
      <c r="E340" t="inlineStr">
        <is>
          <t>KROKOM</t>
        </is>
      </c>
      <c r="G340" t="n">
        <v>22.6</v>
      </c>
      <c r="H340" t="n">
        <v>0</v>
      </c>
      <c r="I340" t="n">
        <v>0</v>
      </c>
      <c r="J340" t="n">
        <v>0</v>
      </c>
      <c r="K340" t="n">
        <v>0</v>
      </c>
      <c r="L340" t="n">
        <v>0</v>
      </c>
      <c r="M340" t="n">
        <v>0</v>
      </c>
      <c r="N340" t="n">
        <v>0</v>
      </c>
      <c r="O340" t="n">
        <v>0</v>
      </c>
      <c r="P340" t="n">
        <v>0</v>
      </c>
      <c r="Q340" t="n">
        <v>0</v>
      </c>
      <c r="R340" s="2" t="inlineStr"/>
    </row>
    <row r="341" ht="15" customHeight="1">
      <c r="A341" t="inlineStr">
        <is>
          <t>A 14598-2021</t>
        </is>
      </c>
      <c r="B341" s="1" t="n">
        <v>44279</v>
      </c>
      <c r="C341" s="1" t="n">
        <v>45900</v>
      </c>
      <c r="D341" t="inlineStr">
        <is>
          <t>JÄMTLANDS LÄN</t>
        </is>
      </c>
      <c r="E341" t="inlineStr">
        <is>
          <t>KROKOM</t>
        </is>
      </c>
      <c r="G341" t="n">
        <v>25.4</v>
      </c>
      <c r="H341" t="n">
        <v>0</v>
      </c>
      <c r="I341" t="n">
        <v>0</v>
      </c>
      <c r="J341" t="n">
        <v>0</v>
      </c>
      <c r="K341" t="n">
        <v>0</v>
      </c>
      <c r="L341" t="n">
        <v>0</v>
      </c>
      <c r="M341" t="n">
        <v>0</v>
      </c>
      <c r="N341" t="n">
        <v>0</v>
      </c>
      <c r="O341" t="n">
        <v>0</v>
      </c>
      <c r="P341" t="n">
        <v>0</v>
      </c>
      <c r="Q341" t="n">
        <v>0</v>
      </c>
      <c r="R341" s="2" t="inlineStr"/>
    </row>
    <row r="342" ht="15" customHeight="1">
      <c r="A342" t="inlineStr">
        <is>
          <t>A 1756-2021</t>
        </is>
      </c>
      <c r="B342" s="1" t="n">
        <v>44209</v>
      </c>
      <c r="C342" s="1" t="n">
        <v>45900</v>
      </c>
      <c r="D342" t="inlineStr">
        <is>
          <t>JÄMTLANDS LÄN</t>
        </is>
      </c>
      <c r="E342" t="inlineStr">
        <is>
          <t>KROKOM</t>
        </is>
      </c>
      <c r="G342" t="n">
        <v>7.4</v>
      </c>
      <c r="H342" t="n">
        <v>0</v>
      </c>
      <c r="I342" t="n">
        <v>0</v>
      </c>
      <c r="J342" t="n">
        <v>0</v>
      </c>
      <c r="K342" t="n">
        <v>0</v>
      </c>
      <c r="L342" t="n">
        <v>0</v>
      </c>
      <c r="M342" t="n">
        <v>0</v>
      </c>
      <c r="N342" t="n">
        <v>0</v>
      </c>
      <c r="O342" t="n">
        <v>0</v>
      </c>
      <c r="P342" t="n">
        <v>0</v>
      </c>
      <c r="Q342" t="n">
        <v>0</v>
      </c>
      <c r="R342" s="2" t="inlineStr"/>
    </row>
    <row r="343" ht="15" customHeight="1">
      <c r="A343" t="inlineStr">
        <is>
          <t>A 65433-2020</t>
        </is>
      </c>
      <c r="B343" s="1" t="n">
        <v>44169</v>
      </c>
      <c r="C343" s="1" t="n">
        <v>45900</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45900</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45900</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52626-2020</t>
        </is>
      </c>
      <c r="B346" s="1" t="n">
        <v>44118.98730324074</v>
      </c>
      <c r="C346" s="1" t="n">
        <v>45900</v>
      </c>
      <c r="D346" t="inlineStr">
        <is>
          <t>JÄMTLANDS LÄN</t>
        </is>
      </c>
      <c r="E346" t="inlineStr">
        <is>
          <t>KROKOM</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44374-2021</t>
        </is>
      </c>
      <c r="B347" s="1" t="n">
        <v>44447</v>
      </c>
      <c r="C347" s="1" t="n">
        <v>45900</v>
      </c>
      <c r="D347" t="inlineStr">
        <is>
          <t>JÄMTLANDS LÄN</t>
        </is>
      </c>
      <c r="E347" t="inlineStr">
        <is>
          <t>KROKOM</t>
        </is>
      </c>
      <c r="G347" t="n">
        <v>7.8</v>
      </c>
      <c r="H347" t="n">
        <v>0</v>
      </c>
      <c r="I347" t="n">
        <v>0</v>
      </c>
      <c r="J347" t="n">
        <v>0</v>
      </c>
      <c r="K347" t="n">
        <v>0</v>
      </c>
      <c r="L347" t="n">
        <v>0</v>
      </c>
      <c r="M347" t="n">
        <v>0</v>
      </c>
      <c r="N347" t="n">
        <v>0</v>
      </c>
      <c r="O347" t="n">
        <v>0</v>
      </c>
      <c r="P347" t="n">
        <v>0</v>
      </c>
      <c r="Q347" t="n">
        <v>0</v>
      </c>
      <c r="R347" s="2" t="inlineStr"/>
    </row>
    <row r="348" ht="15" customHeight="1">
      <c r="A348" t="inlineStr">
        <is>
          <t>A 18731-2021</t>
        </is>
      </c>
      <c r="B348" s="1" t="n">
        <v>44307.42378472222</v>
      </c>
      <c r="C348" s="1" t="n">
        <v>45900</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45900</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53191-2021</t>
        </is>
      </c>
      <c r="B350" s="1" t="n">
        <v>44468</v>
      </c>
      <c r="C350" s="1" t="n">
        <v>45900</v>
      </c>
      <c r="D350" t="inlineStr">
        <is>
          <t>JÄMTLANDS LÄN</t>
        </is>
      </c>
      <c r="E350" t="inlineStr">
        <is>
          <t>KROKOM</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15455-2021</t>
        </is>
      </c>
      <c r="B351" s="1" t="n">
        <v>44285</v>
      </c>
      <c r="C351" s="1" t="n">
        <v>45900</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11059-2024</t>
        </is>
      </c>
      <c r="B352" s="1" t="n">
        <v>45370</v>
      </c>
      <c r="C352" s="1" t="n">
        <v>45900</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46506-2022</t>
        </is>
      </c>
      <c r="B353" s="1" t="n">
        <v>44848</v>
      </c>
      <c r="C353" s="1" t="n">
        <v>45900</v>
      </c>
      <c r="D353" t="inlineStr">
        <is>
          <t>JÄMTLANDS LÄN</t>
        </is>
      </c>
      <c r="E353" t="inlineStr">
        <is>
          <t>KROKOM</t>
        </is>
      </c>
      <c r="G353" t="n">
        <v>1.9</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45900</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58677-2023</t>
        </is>
      </c>
      <c r="B355" s="1" t="n">
        <v>45251.65152777778</v>
      </c>
      <c r="C355" s="1" t="n">
        <v>45900</v>
      </c>
      <c r="D355" t="inlineStr">
        <is>
          <t>JÄMTLANDS LÄN</t>
        </is>
      </c>
      <c r="E355" t="inlineStr">
        <is>
          <t>KROKOM</t>
        </is>
      </c>
      <c r="G355" t="n">
        <v>3.6</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45900</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45900</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9027-2025</t>
        </is>
      </c>
      <c r="B358" s="1" t="n">
        <v>45713.60719907407</v>
      </c>
      <c r="C358" s="1" t="n">
        <v>45900</v>
      </c>
      <c r="D358" t="inlineStr">
        <is>
          <t>JÄMTLANDS LÄN</t>
        </is>
      </c>
      <c r="E358" t="inlineStr">
        <is>
          <t>KROKOM</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45900</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16247-2025</t>
        </is>
      </c>
      <c r="B360" s="1" t="n">
        <v>45749</v>
      </c>
      <c r="C360" s="1" t="n">
        <v>45900</v>
      </c>
      <c r="D360" t="inlineStr">
        <is>
          <t>JÄMTLANDS LÄN</t>
        </is>
      </c>
      <c r="E360" t="inlineStr">
        <is>
          <t>KROKOM</t>
        </is>
      </c>
      <c r="G360" t="n">
        <v>3.9</v>
      </c>
      <c r="H360" t="n">
        <v>0</v>
      </c>
      <c r="I360" t="n">
        <v>0</v>
      </c>
      <c r="J360" t="n">
        <v>0</v>
      </c>
      <c r="K360" t="n">
        <v>0</v>
      </c>
      <c r="L360" t="n">
        <v>0</v>
      </c>
      <c r="M360" t="n">
        <v>0</v>
      </c>
      <c r="N360" t="n">
        <v>0</v>
      </c>
      <c r="O360" t="n">
        <v>0</v>
      </c>
      <c r="P360" t="n">
        <v>0</v>
      </c>
      <c r="Q360" t="n">
        <v>0</v>
      </c>
      <c r="R360" s="2" t="inlineStr"/>
    </row>
    <row r="361" ht="15" customHeight="1">
      <c r="A361" t="inlineStr">
        <is>
          <t>A 10220-2025</t>
        </is>
      </c>
      <c r="B361" s="1" t="n">
        <v>45720</v>
      </c>
      <c r="C361" s="1" t="n">
        <v>45900</v>
      </c>
      <c r="D361" t="inlineStr">
        <is>
          <t>JÄMTLANDS LÄN</t>
        </is>
      </c>
      <c r="E361" t="inlineStr">
        <is>
          <t>KROKOM</t>
        </is>
      </c>
      <c r="G361" t="n">
        <v>0.2</v>
      </c>
      <c r="H361" t="n">
        <v>0</v>
      </c>
      <c r="I361" t="n">
        <v>0</v>
      </c>
      <c r="J361" t="n">
        <v>0</v>
      </c>
      <c r="K361" t="n">
        <v>0</v>
      </c>
      <c r="L361" t="n">
        <v>0</v>
      </c>
      <c r="M361" t="n">
        <v>0</v>
      </c>
      <c r="N361" t="n">
        <v>0</v>
      </c>
      <c r="O361" t="n">
        <v>0</v>
      </c>
      <c r="P361" t="n">
        <v>0</v>
      </c>
      <c r="Q361" t="n">
        <v>0</v>
      </c>
      <c r="R361" s="2" t="inlineStr"/>
    </row>
    <row r="362" ht="15" customHeight="1">
      <c r="A362" t="inlineStr">
        <is>
          <t>A 17383-2023</t>
        </is>
      </c>
      <c r="B362" s="1" t="n">
        <v>45035</v>
      </c>
      <c r="C362" s="1" t="n">
        <v>45900</v>
      </c>
      <c r="D362" t="inlineStr">
        <is>
          <t>JÄMTLANDS LÄN</t>
        </is>
      </c>
      <c r="E362" t="inlineStr">
        <is>
          <t>KROKOM</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6627-2025</t>
        </is>
      </c>
      <c r="B363" s="1" t="n">
        <v>45700.37127314815</v>
      </c>
      <c r="C363" s="1" t="n">
        <v>45900</v>
      </c>
      <c r="D363" t="inlineStr">
        <is>
          <t>JÄMTLANDS LÄN</t>
        </is>
      </c>
      <c r="E363" t="inlineStr">
        <is>
          <t>KROKOM</t>
        </is>
      </c>
      <c r="G363" t="n">
        <v>1.6</v>
      </c>
      <c r="H363" t="n">
        <v>0</v>
      </c>
      <c r="I363" t="n">
        <v>0</v>
      </c>
      <c r="J363" t="n">
        <v>0</v>
      </c>
      <c r="K363" t="n">
        <v>0</v>
      </c>
      <c r="L363" t="n">
        <v>0</v>
      </c>
      <c r="M363" t="n">
        <v>0</v>
      </c>
      <c r="N363" t="n">
        <v>0</v>
      </c>
      <c r="O363" t="n">
        <v>0</v>
      </c>
      <c r="P363" t="n">
        <v>0</v>
      </c>
      <c r="Q363" t="n">
        <v>0</v>
      </c>
      <c r="R363" s="2" t="inlineStr"/>
    </row>
    <row r="364" ht="15" customHeight="1">
      <c r="A364" t="inlineStr">
        <is>
          <t>A 6629-2025</t>
        </is>
      </c>
      <c r="B364" s="1" t="n">
        <v>45700.37481481482</v>
      </c>
      <c r="C364" s="1" t="n">
        <v>45900</v>
      </c>
      <c r="D364" t="inlineStr">
        <is>
          <t>JÄMTLANDS LÄN</t>
        </is>
      </c>
      <c r="E364" t="inlineStr">
        <is>
          <t>KROKOM</t>
        </is>
      </c>
      <c r="F364" t="inlineStr">
        <is>
          <t>Övriga Aktiebolag</t>
        </is>
      </c>
      <c r="G364" t="n">
        <v>24.8</v>
      </c>
      <c r="H364" t="n">
        <v>0</v>
      </c>
      <c r="I364" t="n">
        <v>0</v>
      </c>
      <c r="J364" t="n">
        <v>0</v>
      </c>
      <c r="K364" t="n">
        <v>0</v>
      </c>
      <c r="L364" t="n">
        <v>0</v>
      </c>
      <c r="M364" t="n">
        <v>0</v>
      </c>
      <c r="N364" t="n">
        <v>0</v>
      </c>
      <c r="O364" t="n">
        <v>0</v>
      </c>
      <c r="P364" t="n">
        <v>0</v>
      </c>
      <c r="Q364" t="n">
        <v>0</v>
      </c>
      <c r="R364" s="2" t="inlineStr"/>
    </row>
    <row r="365" ht="15" customHeight="1">
      <c r="A365" t="inlineStr">
        <is>
          <t>A 13249-2024</t>
        </is>
      </c>
      <c r="B365" s="1" t="n">
        <v>45386</v>
      </c>
      <c r="C365" s="1" t="n">
        <v>45900</v>
      </c>
      <c r="D365" t="inlineStr">
        <is>
          <t>JÄMTLANDS LÄN</t>
        </is>
      </c>
      <c r="E365" t="inlineStr">
        <is>
          <t>KROKOM</t>
        </is>
      </c>
      <c r="G365" t="n">
        <v>2.4</v>
      </c>
      <c r="H365" t="n">
        <v>0</v>
      </c>
      <c r="I365" t="n">
        <v>0</v>
      </c>
      <c r="J365" t="n">
        <v>0</v>
      </c>
      <c r="K365" t="n">
        <v>0</v>
      </c>
      <c r="L365" t="n">
        <v>0</v>
      </c>
      <c r="M365" t="n">
        <v>0</v>
      </c>
      <c r="N365" t="n">
        <v>0</v>
      </c>
      <c r="O365" t="n">
        <v>0</v>
      </c>
      <c r="P365" t="n">
        <v>0</v>
      </c>
      <c r="Q365" t="n">
        <v>0</v>
      </c>
      <c r="R365" s="2" t="inlineStr"/>
    </row>
    <row r="366" ht="15" customHeight="1">
      <c r="A366" t="inlineStr">
        <is>
          <t>A 9755-2024</t>
        </is>
      </c>
      <c r="B366" s="1" t="n">
        <v>45362</v>
      </c>
      <c r="C366" s="1" t="n">
        <v>45900</v>
      </c>
      <c r="D366" t="inlineStr">
        <is>
          <t>JÄMTLANDS LÄN</t>
        </is>
      </c>
      <c r="E366" t="inlineStr">
        <is>
          <t>KROKOM</t>
        </is>
      </c>
      <c r="G366" t="n">
        <v>2.4</v>
      </c>
      <c r="H366" t="n">
        <v>0</v>
      </c>
      <c r="I366" t="n">
        <v>0</v>
      </c>
      <c r="J366" t="n">
        <v>0</v>
      </c>
      <c r="K366" t="n">
        <v>0</v>
      </c>
      <c r="L366" t="n">
        <v>0</v>
      </c>
      <c r="M366" t="n">
        <v>0</v>
      </c>
      <c r="N366" t="n">
        <v>0</v>
      </c>
      <c r="O366" t="n">
        <v>0</v>
      </c>
      <c r="P366" t="n">
        <v>0</v>
      </c>
      <c r="Q366" t="n">
        <v>0</v>
      </c>
      <c r="R366" s="2" t="inlineStr"/>
    </row>
    <row r="367" ht="15" customHeight="1">
      <c r="A367" t="inlineStr">
        <is>
          <t>A 17298-2024</t>
        </is>
      </c>
      <c r="B367" s="1" t="n">
        <v>45414.486875</v>
      </c>
      <c r="C367" s="1" t="n">
        <v>45900</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39696-2024</t>
        </is>
      </c>
      <c r="B368" s="1" t="n">
        <v>45552.57210648148</v>
      </c>
      <c r="C368" s="1" t="n">
        <v>45900</v>
      </c>
      <c r="D368" t="inlineStr">
        <is>
          <t>JÄMTLANDS LÄN</t>
        </is>
      </c>
      <c r="E368" t="inlineStr">
        <is>
          <t>KROKOM</t>
        </is>
      </c>
      <c r="G368" t="n">
        <v>5.3</v>
      </c>
      <c r="H368" t="n">
        <v>0</v>
      </c>
      <c r="I368" t="n">
        <v>0</v>
      </c>
      <c r="J368" t="n">
        <v>0</v>
      </c>
      <c r="K368" t="n">
        <v>0</v>
      </c>
      <c r="L368" t="n">
        <v>0</v>
      </c>
      <c r="M368" t="n">
        <v>0</v>
      </c>
      <c r="N368" t="n">
        <v>0</v>
      </c>
      <c r="O368" t="n">
        <v>0</v>
      </c>
      <c r="P368" t="n">
        <v>0</v>
      </c>
      <c r="Q368" t="n">
        <v>0</v>
      </c>
      <c r="R368" s="2" t="inlineStr"/>
    </row>
    <row r="369" ht="15" customHeight="1">
      <c r="A369" t="inlineStr">
        <is>
          <t>A 59668-2023</t>
        </is>
      </c>
      <c r="B369" s="1" t="n">
        <v>45254</v>
      </c>
      <c r="C369" s="1" t="n">
        <v>45900</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45827-2023</t>
        </is>
      </c>
      <c r="B370" s="1" t="n">
        <v>45195</v>
      </c>
      <c r="C370" s="1" t="n">
        <v>45900</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17090-2024</t>
        </is>
      </c>
      <c r="B371" s="1" t="n">
        <v>45412.51260416667</v>
      </c>
      <c r="C371" s="1" t="n">
        <v>45900</v>
      </c>
      <c r="D371" t="inlineStr">
        <is>
          <t>JÄMTLANDS LÄN</t>
        </is>
      </c>
      <c r="E371" t="inlineStr">
        <is>
          <t>KROKOM</t>
        </is>
      </c>
      <c r="G371" t="n">
        <v>1.1</v>
      </c>
      <c r="H371" t="n">
        <v>0</v>
      </c>
      <c r="I371" t="n">
        <v>0</v>
      </c>
      <c r="J371" t="n">
        <v>0</v>
      </c>
      <c r="K371" t="n">
        <v>0</v>
      </c>
      <c r="L371" t="n">
        <v>0</v>
      </c>
      <c r="M371" t="n">
        <v>0</v>
      </c>
      <c r="N371" t="n">
        <v>0</v>
      </c>
      <c r="O371" t="n">
        <v>0</v>
      </c>
      <c r="P371" t="n">
        <v>0</v>
      </c>
      <c r="Q371" t="n">
        <v>0</v>
      </c>
      <c r="R371" s="2" t="inlineStr"/>
    </row>
    <row r="372" ht="15" customHeight="1">
      <c r="A372" t="inlineStr">
        <is>
          <t>A 9156-2025</t>
        </is>
      </c>
      <c r="B372" s="1" t="n">
        <v>45714.34859953704</v>
      </c>
      <c r="C372" s="1" t="n">
        <v>45900</v>
      </c>
      <c r="D372" t="inlineStr">
        <is>
          <t>JÄMTLANDS LÄN</t>
        </is>
      </c>
      <c r="E372" t="inlineStr">
        <is>
          <t>KROKOM</t>
        </is>
      </c>
      <c r="F372" t="inlineStr">
        <is>
          <t>Övriga Aktiebolag</t>
        </is>
      </c>
      <c r="G372" t="n">
        <v>26.7</v>
      </c>
      <c r="H372" t="n">
        <v>0</v>
      </c>
      <c r="I372" t="n">
        <v>0</v>
      </c>
      <c r="J372" t="n">
        <v>0</v>
      </c>
      <c r="K372" t="n">
        <v>0</v>
      </c>
      <c r="L372" t="n">
        <v>0</v>
      </c>
      <c r="M372" t="n">
        <v>0</v>
      </c>
      <c r="N372" t="n">
        <v>0</v>
      </c>
      <c r="O372" t="n">
        <v>0</v>
      </c>
      <c r="P372" t="n">
        <v>0</v>
      </c>
      <c r="Q372" t="n">
        <v>0</v>
      </c>
      <c r="R372" s="2" t="inlineStr"/>
      <c r="U372">
        <f>HYPERLINK("https://klasma.github.io/Logging_2309/knärot/A 9156-2025 karta knärot.png", "A 9156-2025")</f>
        <v/>
      </c>
      <c r="V372">
        <f>HYPERLINK("https://klasma.github.io/Logging_2309/klagomål/A 9156-2025 FSC-klagomål.docx", "A 9156-2025")</f>
        <v/>
      </c>
      <c r="W372">
        <f>HYPERLINK("https://klasma.github.io/Logging_2309/klagomålsmail/A 9156-2025 FSC-klagomål mail.docx", "A 9156-2025")</f>
        <v/>
      </c>
      <c r="X372">
        <f>HYPERLINK("https://klasma.github.io/Logging_2309/tillsyn/A 9156-2025 tillsynsbegäran.docx", "A 9156-2025")</f>
        <v/>
      </c>
      <c r="Y372">
        <f>HYPERLINK("https://klasma.github.io/Logging_2309/tillsynsmail/A 9156-2025 tillsynsbegäran mail.docx", "A 9156-2025")</f>
        <v/>
      </c>
    </row>
    <row r="373" ht="15" customHeight="1">
      <c r="A373" t="inlineStr">
        <is>
          <t>A 9948-2025</t>
        </is>
      </c>
      <c r="B373" s="1" t="n">
        <v>45719.32584490741</v>
      </c>
      <c r="C373" s="1" t="n">
        <v>45900</v>
      </c>
      <c r="D373" t="inlineStr">
        <is>
          <t>JÄMTLANDS LÄN</t>
        </is>
      </c>
      <c r="E373" t="inlineStr">
        <is>
          <t>KROKOM</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11092-2024</t>
        </is>
      </c>
      <c r="B374" s="1" t="n">
        <v>45370.94969907407</v>
      </c>
      <c r="C374" s="1" t="n">
        <v>45900</v>
      </c>
      <c r="D374" t="inlineStr">
        <is>
          <t>JÄMTLANDS LÄN</t>
        </is>
      </c>
      <c r="E374" t="inlineStr">
        <is>
          <t>KROKOM</t>
        </is>
      </c>
      <c r="F374" t="inlineStr">
        <is>
          <t>SCA</t>
        </is>
      </c>
      <c r="G374" t="n">
        <v>27.2</v>
      </c>
      <c r="H374" t="n">
        <v>0</v>
      </c>
      <c r="I374" t="n">
        <v>0</v>
      </c>
      <c r="J374" t="n">
        <v>0</v>
      </c>
      <c r="K374" t="n">
        <v>0</v>
      </c>
      <c r="L374" t="n">
        <v>0</v>
      </c>
      <c r="M374" t="n">
        <v>0</v>
      </c>
      <c r="N374" t="n">
        <v>0</v>
      </c>
      <c r="O374" t="n">
        <v>0</v>
      </c>
      <c r="P374" t="n">
        <v>0</v>
      </c>
      <c r="Q374" t="n">
        <v>0</v>
      </c>
      <c r="R374" s="2" t="inlineStr"/>
    </row>
    <row r="375" ht="15" customHeight="1">
      <c r="A375" t="inlineStr">
        <is>
          <t>A 47606-2023</t>
        </is>
      </c>
      <c r="B375" s="1" t="n">
        <v>45203.46523148148</v>
      </c>
      <c r="C375" s="1" t="n">
        <v>45900</v>
      </c>
      <c r="D375" t="inlineStr">
        <is>
          <t>JÄMTLANDS LÄN</t>
        </is>
      </c>
      <c r="E375" t="inlineStr">
        <is>
          <t>KROKOM</t>
        </is>
      </c>
      <c r="G375" t="n">
        <v>5.5</v>
      </c>
      <c r="H375" t="n">
        <v>0</v>
      </c>
      <c r="I375" t="n">
        <v>0</v>
      </c>
      <c r="J375" t="n">
        <v>0</v>
      </c>
      <c r="K375" t="n">
        <v>0</v>
      </c>
      <c r="L375" t="n">
        <v>0</v>
      </c>
      <c r="M375" t="n">
        <v>0</v>
      </c>
      <c r="N375" t="n">
        <v>0</v>
      </c>
      <c r="O375" t="n">
        <v>0</v>
      </c>
      <c r="P375" t="n">
        <v>0</v>
      </c>
      <c r="Q375" t="n">
        <v>0</v>
      </c>
      <c r="R375" s="2" t="inlineStr"/>
    </row>
    <row r="376" ht="15" customHeight="1">
      <c r="A376" t="inlineStr">
        <is>
          <t>A 30771-2023</t>
        </is>
      </c>
      <c r="B376" s="1" t="n">
        <v>45112</v>
      </c>
      <c r="C376" s="1" t="n">
        <v>45900</v>
      </c>
      <c r="D376" t="inlineStr">
        <is>
          <t>JÄMTLANDS LÄN</t>
        </is>
      </c>
      <c r="E376" t="inlineStr">
        <is>
          <t>KROKOM</t>
        </is>
      </c>
      <c r="G376" t="n">
        <v>10.6</v>
      </c>
      <c r="H376" t="n">
        <v>0</v>
      </c>
      <c r="I376" t="n">
        <v>0</v>
      </c>
      <c r="J376" t="n">
        <v>0</v>
      </c>
      <c r="K376" t="n">
        <v>0</v>
      </c>
      <c r="L376" t="n">
        <v>0</v>
      </c>
      <c r="M376" t="n">
        <v>0</v>
      </c>
      <c r="N376" t="n">
        <v>0</v>
      </c>
      <c r="O376" t="n">
        <v>0</v>
      </c>
      <c r="P376" t="n">
        <v>0</v>
      </c>
      <c r="Q376" t="n">
        <v>0</v>
      </c>
      <c r="R376" s="2" t="inlineStr"/>
    </row>
    <row r="377" ht="15" customHeight="1">
      <c r="A377" t="inlineStr">
        <is>
          <t>A 35559-2024</t>
        </is>
      </c>
      <c r="B377" s="1" t="n">
        <v>45531.62141203704</v>
      </c>
      <c r="C377" s="1" t="n">
        <v>45900</v>
      </c>
      <c r="D377" t="inlineStr">
        <is>
          <t>JÄMTLANDS LÄN</t>
        </is>
      </c>
      <c r="E377" t="inlineStr">
        <is>
          <t>KROKOM</t>
        </is>
      </c>
      <c r="G377" t="n">
        <v>0.5</v>
      </c>
      <c r="H377" t="n">
        <v>0</v>
      </c>
      <c r="I377" t="n">
        <v>0</v>
      </c>
      <c r="J377" t="n">
        <v>0</v>
      </c>
      <c r="K377" t="n">
        <v>0</v>
      </c>
      <c r="L377" t="n">
        <v>0</v>
      </c>
      <c r="M377" t="n">
        <v>0</v>
      </c>
      <c r="N377" t="n">
        <v>0</v>
      </c>
      <c r="O377" t="n">
        <v>0</v>
      </c>
      <c r="P377" t="n">
        <v>0</v>
      </c>
      <c r="Q377" t="n">
        <v>0</v>
      </c>
      <c r="R377" s="2" t="inlineStr"/>
    </row>
    <row r="378" ht="15" customHeight="1">
      <c r="A378" t="inlineStr">
        <is>
          <t>A 34502-2023</t>
        </is>
      </c>
      <c r="B378" s="1" t="n">
        <v>45133</v>
      </c>
      <c r="C378" s="1" t="n">
        <v>45900</v>
      </c>
      <c r="D378" t="inlineStr">
        <is>
          <t>JÄMTLANDS LÄN</t>
        </is>
      </c>
      <c r="E378" t="inlineStr">
        <is>
          <t>KROKOM</t>
        </is>
      </c>
      <c r="G378" t="n">
        <v>6.9</v>
      </c>
      <c r="H378" t="n">
        <v>0</v>
      </c>
      <c r="I378" t="n">
        <v>0</v>
      </c>
      <c r="J378" t="n">
        <v>0</v>
      </c>
      <c r="K378" t="n">
        <v>0</v>
      </c>
      <c r="L378" t="n">
        <v>0</v>
      </c>
      <c r="M378" t="n">
        <v>0</v>
      </c>
      <c r="N378" t="n">
        <v>0</v>
      </c>
      <c r="O378" t="n">
        <v>0</v>
      </c>
      <c r="P378" t="n">
        <v>0</v>
      </c>
      <c r="Q378" t="n">
        <v>0</v>
      </c>
      <c r="R378" s="2" t="inlineStr"/>
    </row>
    <row r="379" ht="15" customHeight="1">
      <c r="A379" t="inlineStr">
        <is>
          <t>A 6145-2025</t>
        </is>
      </c>
      <c r="B379" s="1" t="n">
        <v>45698.39486111111</v>
      </c>
      <c r="C379" s="1" t="n">
        <v>45900</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71307-2021</t>
        </is>
      </c>
      <c r="B380" s="1" t="n">
        <v>44539</v>
      </c>
      <c r="C380" s="1" t="n">
        <v>45900</v>
      </c>
      <c r="D380" t="inlineStr">
        <is>
          <t>JÄMTLANDS LÄN</t>
        </is>
      </c>
      <c r="E380" t="inlineStr">
        <is>
          <t>KROKOM</t>
        </is>
      </c>
      <c r="G380" t="n">
        <v>21.5</v>
      </c>
      <c r="H380" t="n">
        <v>0</v>
      </c>
      <c r="I380" t="n">
        <v>0</v>
      </c>
      <c r="J380" t="n">
        <v>0</v>
      </c>
      <c r="K380" t="n">
        <v>0</v>
      </c>
      <c r="L380" t="n">
        <v>0</v>
      </c>
      <c r="M380" t="n">
        <v>0</v>
      </c>
      <c r="N380" t="n">
        <v>0</v>
      </c>
      <c r="O380" t="n">
        <v>0</v>
      </c>
      <c r="P380" t="n">
        <v>0</v>
      </c>
      <c r="Q380" t="n">
        <v>0</v>
      </c>
      <c r="R380" s="2" t="inlineStr"/>
    </row>
    <row r="381" ht="15" customHeight="1">
      <c r="A381" t="inlineStr">
        <is>
          <t>A 16874-2024</t>
        </is>
      </c>
      <c r="B381" s="1" t="n">
        <v>45411</v>
      </c>
      <c r="C381" s="1" t="n">
        <v>45900</v>
      </c>
      <c r="D381" t="inlineStr">
        <is>
          <t>JÄMTLANDS LÄN</t>
        </is>
      </c>
      <c r="E381" t="inlineStr">
        <is>
          <t>KROKOM</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41628-2024</t>
        </is>
      </c>
      <c r="B382" s="1" t="n">
        <v>45560</v>
      </c>
      <c r="C382" s="1" t="n">
        <v>45900</v>
      </c>
      <c r="D382" t="inlineStr">
        <is>
          <t>JÄMTLANDS LÄN</t>
        </is>
      </c>
      <c r="E382" t="inlineStr">
        <is>
          <t>KROKOM</t>
        </is>
      </c>
      <c r="F382" t="inlineStr">
        <is>
          <t>Övriga Aktiebolag</t>
        </is>
      </c>
      <c r="G382" t="n">
        <v>7.3</v>
      </c>
      <c r="H382" t="n">
        <v>0</v>
      </c>
      <c r="I382" t="n">
        <v>0</v>
      </c>
      <c r="J382" t="n">
        <v>0</v>
      </c>
      <c r="K382" t="n">
        <v>0</v>
      </c>
      <c r="L382" t="n">
        <v>0</v>
      </c>
      <c r="M382" t="n">
        <v>0</v>
      </c>
      <c r="N382" t="n">
        <v>0</v>
      </c>
      <c r="O382" t="n">
        <v>0</v>
      </c>
      <c r="P382" t="n">
        <v>0</v>
      </c>
      <c r="Q382" t="n">
        <v>0</v>
      </c>
      <c r="R382" s="2" t="inlineStr"/>
    </row>
    <row r="383" ht="15" customHeight="1">
      <c r="A383" t="inlineStr">
        <is>
          <t>A 15432-2025</t>
        </is>
      </c>
      <c r="B383" s="1" t="n">
        <v>45747.47025462963</v>
      </c>
      <c r="C383" s="1" t="n">
        <v>45900</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42210-2022</t>
        </is>
      </c>
      <c r="B384" s="1" t="n">
        <v>44830</v>
      </c>
      <c r="C384" s="1" t="n">
        <v>45900</v>
      </c>
      <c r="D384" t="inlineStr">
        <is>
          <t>JÄMTLANDS LÄN</t>
        </is>
      </c>
      <c r="E384" t="inlineStr">
        <is>
          <t>KROKOM</t>
        </is>
      </c>
      <c r="F384" t="inlineStr">
        <is>
          <t>Övriga Aktiebolag</t>
        </is>
      </c>
      <c r="G384" t="n">
        <v>11.6</v>
      </c>
      <c r="H384" t="n">
        <v>0</v>
      </c>
      <c r="I384" t="n">
        <v>0</v>
      </c>
      <c r="J384" t="n">
        <v>0</v>
      </c>
      <c r="K384" t="n">
        <v>0</v>
      </c>
      <c r="L384" t="n">
        <v>0</v>
      </c>
      <c r="M384" t="n">
        <v>0</v>
      </c>
      <c r="N384" t="n">
        <v>0</v>
      </c>
      <c r="O384" t="n">
        <v>0</v>
      </c>
      <c r="P384" t="n">
        <v>0</v>
      </c>
      <c r="Q384" t="n">
        <v>0</v>
      </c>
      <c r="R384" s="2" t="inlineStr"/>
    </row>
    <row r="385" ht="15" customHeight="1">
      <c r="A385" t="inlineStr">
        <is>
          <t>A 9750-2024</t>
        </is>
      </c>
      <c r="B385" s="1" t="n">
        <v>45362</v>
      </c>
      <c r="C385" s="1" t="n">
        <v>45900</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45900</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21000-2021</t>
        </is>
      </c>
      <c r="B387" s="1" t="n">
        <v>44316</v>
      </c>
      <c r="C387" s="1" t="n">
        <v>45900</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41197-2022</t>
        </is>
      </c>
      <c r="B388" s="1" t="n">
        <v>44825</v>
      </c>
      <c r="C388" s="1" t="n">
        <v>45900</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11639-2024</t>
        </is>
      </c>
      <c r="B389" s="1" t="n">
        <v>45373</v>
      </c>
      <c r="C389" s="1" t="n">
        <v>45900</v>
      </c>
      <c r="D389" t="inlineStr">
        <is>
          <t>JÄMTLANDS LÄN</t>
        </is>
      </c>
      <c r="E389" t="inlineStr">
        <is>
          <t>KROKOM</t>
        </is>
      </c>
      <c r="G389" t="n">
        <v>22.2</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45900</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17469-2024</t>
        </is>
      </c>
      <c r="B391" s="1" t="n">
        <v>45415.45006944444</v>
      </c>
      <c r="C391" s="1" t="n">
        <v>45900</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17950-2025</t>
        </is>
      </c>
      <c r="B392" s="1" t="n">
        <v>45760.81083333334</v>
      </c>
      <c r="C392" s="1" t="n">
        <v>45900</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50391-2024</t>
        </is>
      </c>
      <c r="B393" s="1" t="n">
        <v>45601.33743055556</v>
      </c>
      <c r="C393" s="1" t="n">
        <v>45900</v>
      </c>
      <c r="D393" t="inlineStr">
        <is>
          <t>JÄMTLANDS LÄN</t>
        </is>
      </c>
      <c r="E393" t="inlineStr">
        <is>
          <t>KROKOM</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56927-2023</t>
        </is>
      </c>
      <c r="B394" s="1" t="n">
        <v>45244</v>
      </c>
      <c r="C394" s="1" t="n">
        <v>45900</v>
      </c>
      <c r="D394" t="inlineStr">
        <is>
          <t>JÄMTLANDS LÄN</t>
        </is>
      </c>
      <c r="E394" t="inlineStr">
        <is>
          <t>KROKOM</t>
        </is>
      </c>
      <c r="G394" t="n">
        <v>14.1</v>
      </c>
      <c r="H394" t="n">
        <v>0</v>
      </c>
      <c r="I394" t="n">
        <v>0</v>
      </c>
      <c r="J394" t="n">
        <v>0</v>
      </c>
      <c r="K394" t="n">
        <v>0</v>
      </c>
      <c r="L394" t="n">
        <v>0</v>
      </c>
      <c r="M394" t="n">
        <v>0</v>
      </c>
      <c r="N394" t="n">
        <v>0</v>
      </c>
      <c r="O394" t="n">
        <v>0</v>
      </c>
      <c r="P394" t="n">
        <v>0</v>
      </c>
      <c r="Q394" t="n">
        <v>0</v>
      </c>
      <c r="R394" s="2" t="inlineStr"/>
    </row>
    <row r="395" ht="15" customHeight="1">
      <c r="A395" t="inlineStr">
        <is>
          <t>A 4355-2024</t>
        </is>
      </c>
      <c r="B395" s="1" t="n">
        <v>45324</v>
      </c>
      <c r="C395" s="1" t="n">
        <v>45900</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42828-2023</t>
        </is>
      </c>
      <c r="B396" s="1" t="n">
        <v>45182</v>
      </c>
      <c r="C396" s="1" t="n">
        <v>45900</v>
      </c>
      <c r="D396" t="inlineStr">
        <is>
          <t>JÄMTLANDS LÄN</t>
        </is>
      </c>
      <c r="E396" t="inlineStr">
        <is>
          <t>KROKOM</t>
        </is>
      </c>
      <c r="G396" t="n">
        <v>0.2</v>
      </c>
      <c r="H396" t="n">
        <v>0</v>
      </c>
      <c r="I396" t="n">
        <v>0</v>
      </c>
      <c r="J396" t="n">
        <v>0</v>
      </c>
      <c r="K396" t="n">
        <v>0</v>
      </c>
      <c r="L396" t="n">
        <v>0</v>
      </c>
      <c r="M396" t="n">
        <v>0</v>
      </c>
      <c r="N396" t="n">
        <v>0</v>
      </c>
      <c r="O396" t="n">
        <v>0</v>
      </c>
      <c r="P396" t="n">
        <v>0</v>
      </c>
      <c r="Q396" t="n">
        <v>0</v>
      </c>
      <c r="R396" s="2" t="inlineStr"/>
    </row>
    <row r="397" ht="15" customHeight="1">
      <c r="A397" t="inlineStr">
        <is>
          <t>A 18980-2025</t>
        </is>
      </c>
      <c r="B397" s="1" t="n">
        <v>45764.55260416667</v>
      </c>
      <c r="C397" s="1" t="n">
        <v>45900</v>
      </c>
      <c r="D397" t="inlineStr">
        <is>
          <t>JÄMTLANDS LÄN</t>
        </is>
      </c>
      <c r="E397" t="inlineStr">
        <is>
          <t>KROKOM</t>
        </is>
      </c>
      <c r="G397" t="n">
        <v>3.2</v>
      </c>
      <c r="H397" t="n">
        <v>0</v>
      </c>
      <c r="I397" t="n">
        <v>0</v>
      </c>
      <c r="J397" t="n">
        <v>0</v>
      </c>
      <c r="K397" t="n">
        <v>0</v>
      </c>
      <c r="L397" t="n">
        <v>0</v>
      </c>
      <c r="M397" t="n">
        <v>0</v>
      </c>
      <c r="N397" t="n">
        <v>0</v>
      </c>
      <c r="O397" t="n">
        <v>0</v>
      </c>
      <c r="P397" t="n">
        <v>0</v>
      </c>
      <c r="Q397" t="n">
        <v>0</v>
      </c>
      <c r="R397" s="2" t="inlineStr"/>
    </row>
    <row r="398" ht="15" customHeight="1">
      <c r="A398" t="inlineStr">
        <is>
          <t>A 53765-2022</t>
        </is>
      </c>
      <c r="B398" s="1" t="n">
        <v>44875</v>
      </c>
      <c r="C398" s="1" t="n">
        <v>45900</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50782-2023</t>
        </is>
      </c>
      <c r="B399" s="1" t="n">
        <v>45217</v>
      </c>
      <c r="C399" s="1" t="n">
        <v>45900</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43426-2022</t>
        </is>
      </c>
      <c r="B400" s="1" t="n">
        <v>44834.95019675926</v>
      </c>
      <c r="C400" s="1" t="n">
        <v>45900</v>
      </c>
      <c r="D400" t="inlineStr">
        <is>
          <t>JÄMTLANDS LÄN</t>
        </is>
      </c>
      <c r="E400" t="inlineStr">
        <is>
          <t>KROKOM</t>
        </is>
      </c>
      <c r="F400" t="inlineStr">
        <is>
          <t>SCA</t>
        </is>
      </c>
      <c r="G400" t="n">
        <v>34.4</v>
      </c>
      <c r="H400" t="n">
        <v>0</v>
      </c>
      <c r="I400" t="n">
        <v>0</v>
      </c>
      <c r="J400" t="n">
        <v>0</v>
      </c>
      <c r="K400" t="n">
        <v>0</v>
      </c>
      <c r="L400" t="n">
        <v>0</v>
      </c>
      <c r="M400" t="n">
        <v>0</v>
      </c>
      <c r="N400" t="n">
        <v>0</v>
      </c>
      <c r="O400" t="n">
        <v>0</v>
      </c>
      <c r="P400" t="n">
        <v>0</v>
      </c>
      <c r="Q400" t="n">
        <v>0</v>
      </c>
      <c r="R400" s="2" t="inlineStr"/>
    </row>
    <row r="401" ht="15" customHeight="1">
      <c r="A401" t="inlineStr">
        <is>
          <t>A 39126-2023</t>
        </is>
      </c>
      <c r="B401" s="1" t="n">
        <v>45165.69965277778</v>
      </c>
      <c r="C401" s="1" t="n">
        <v>45900</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47635-2023</t>
        </is>
      </c>
      <c r="B402" s="1" t="n">
        <v>45203</v>
      </c>
      <c r="C402" s="1" t="n">
        <v>45900</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785-2024</t>
        </is>
      </c>
      <c r="B403" s="1" t="n">
        <v>45300</v>
      </c>
      <c r="C403" s="1" t="n">
        <v>45900</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24387-2023</t>
        </is>
      </c>
      <c r="B404" s="1" t="n">
        <v>45082</v>
      </c>
      <c r="C404" s="1" t="n">
        <v>45900</v>
      </c>
      <c r="D404" t="inlineStr">
        <is>
          <t>JÄMTLANDS LÄN</t>
        </is>
      </c>
      <c r="E404" t="inlineStr">
        <is>
          <t>KROKOM</t>
        </is>
      </c>
      <c r="F404" t="inlineStr">
        <is>
          <t>Kyrkan</t>
        </is>
      </c>
      <c r="G404" t="n">
        <v>21.2</v>
      </c>
      <c r="H404" t="n">
        <v>0</v>
      </c>
      <c r="I404" t="n">
        <v>0</v>
      </c>
      <c r="J404" t="n">
        <v>0</v>
      </c>
      <c r="K404" t="n">
        <v>0</v>
      </c>
      <c r="L404" t="n">
        <v>0</v>
      </c>
      <c r="M404" t="n">
        <v>0</v>
      </c>
      <c r="N404" t="n">
        <v>0</v>
      </c>
      <c r="O404" t="n">
        <v>0</v>
      </c>
      <c r="P404" t="n">
        <v>0</v>
      </c>
      <c r="Q404" t="n">
        <v>0</v>
      </c>
      <c r="R404" s="2" t="inlineStr"/>
    </row>
    <row r="405" ht="15" customHeight="1">
      <c r="A405" t="inlineStr">
        <is>
          <t>A 4354-2025</t>
        </is>
      </c>
      <c r="B405" s="1" t="n">
        <v>45686.32671296296</v>
      </c>
      <c r="C405" s="1" t="n">
        <v>45900</v>
      </c>
      <c r="D405" t="inlineStr">
        <is>
          <t>JÄMTLANDS LÄN</t>
        </is>
      </c>
      <c r="E405" t="inlineStr">
        <is>
          <t>KROKOM</t>
        </is>
      </c>
      <c r="F405" t="inlineStr">
        <is>
          <t>SCA</t>
        </is>
      </c>
      <c r="G405" t="n">
        <v>12.8</v>
      </c>
      <c r="H405" t="n">
        <v>0</v>
      </c>
      <c r="I405" t="n">
        <v>0</v>
      </c>
      <c r="J405" t="n">
        <v>0</v>
      </c>
      <c r="K405" t="n">
        <v>0</v>
      </c>
      <c r="L405" t="n">
        <v>0</v>
      </c>
      <c r="M405" t="n">
        <v>0</v>
      </c>
      <c r="N405" t="n">
        <v>0</v>
      </c>
      <c r="O405" t="n">
        <v>0</v>
      </c>
      <c r="P405" t="n">
        <v>0</v>
      </c>
      <c r="Q405" t="n">
        <v>0</v>
      </c>
      <c r="R405" s="2" t="inlineStr"/>
    </row>
    <row r="406" ht="15" customHeight="1">
      <c r="A406" t="inlineStr">
        <is>
          <t>A 14184-2024</t>
        </is>
      </c>
      <c r="B406" s="1" t="n">
        <v>45393</v>
      </c>
      <c r="C406" s="1" t="n">
        <v>45900</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7072-2025</t>
        </is>
      </c>
      <c r="B407" s="1" t="n">
        <v>45701</v>
      </c>
      <c r="C407" s="1" t="n">
        <v>45900</v>
      </c>
      <c r="D407" t="inlineStr">
        <is>
          <t>JÄMTLANDS LÄN</t>
        </is>
      </c>
      <c r="E407" t="inlineStr">
        <is>
          <t>KROKOM</t>
        </is>
      </c>
      <c r="G407" t="n">
        <v>7.2</v>
      </c>
      <c r="H407" t="n">
        <v>0</v>
      </c>
      <c r="I407" t="n">
        <v>0</v>
      </c>
      <c r="J407" t="n">
        <v>0</v>
      </c>
      <c r="K407" t="n">
        <v>0</v>
      </c>
      <c r="L407" t="n">
        <v>0</v>
      </c>
      <c r="M407" t="n">
        <v>0</v>
      </c>
      <c r="N407" t="n">
        <v>0</v>
      </c>
      <c r="O407" t="n">
        <v>0</v>
      </c>
      <c r="P407" t="n">
        <v>0</v>
      </c>
      <c r="Q407" t="n">
        <v>0</v>
      </c>
      <c r="R407" s="2" t="inlineStr"/>
    </row>
    <row r="408" ht="15" customHeight="1">
      <c r="A408" t="inlineStr">
        <is>
          <t>A 14293-2025</t>
        </is>
      </c>
      <c r="B408" s="1" t="n">
        <v>45740</v>
      </c>
      <c r="C408" s="1" t="n">
        <v>45900</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53402-2022</t>
        </is>
      </c>
      <c r="B409" s="1" t="n">
        <v>44874</v>
      </c>
      <c r="C409" s="1" t="n">
        <v>45900</v>
      </c>
      <c r="D409" t="inlineStr">
        <is>
          <t>JÄMTLANDS LÄN</t>
        </is>
      </c>
      <c r="E409" t="inlineStr">
        <is>
          <t>KROKOM</t>
        </is>
      </c>
      <c r="G409" t="n">
        <v>36.7</v>
      </c>
      <c r="H409" t="n">
        <v>0</v>
      </c>
      <c r="I409" t="n">
        <v>0</v>
      </c>
      <c r="J409" t="n">
        <v>0</v>
      </c>
      <c r="K409" t="n">
        <v>0</v>
      </c>
      <c r="L409" t="n">
        <v>0</v>
      </c>
      <c r="M409" t="n">
        <v>0</v>
      </c>
      <c r="N409" t="n">
        <v>0</v>
      </c>
      <c r="O409" t="n">
        <v>0</v>
      </c>
      <c r="P409" t="n">
        <v>0</v>
      </c>
      <c r="Q409" t="n">
        <v>0</v>
      </c>
      <c r="R409" s="2" t="inlineStr"/>
    </row>
    <row r="410" ht="15" customHeight="1">
      <c r="A410" t="inlineStr">
        <is>
          <t>A 73174-2021</t>
        </is>
      </c>
      <c r="B410" s="1" t="n">
        <v>44550</v>
      </c>
      <c r="C410" s="1" t="n">
        <v>45900</v>
      </c>
      <c r="D410" t="inlineStr">
        <is>
          <t>JÄMTLANDS LÄN</t>
        </is>
      </c>
      <c r="E410" t="inlineStr">
        <is>
          <t>KROKOM</t>
        </is>
      </c>
      <c r="G410" t="n">
        <v>152.9</v>
      </c>
      <c r="H410" t="n">
        <v>0</v>
      </c>
      <c r="I410" t="n">
        <v>0</v>
      </c>
      <c r="J410" t="n">
        <v>0</v>
      </c>
      <c r="K410" t="n">
        <v>0</v>
      </c>
      <c r="L410" t="n">
        <v>0</v>
      </c>
      <c r="M410" t="n">
        <v>0</v>
      </c>
      <c r="N410" t="n">
        <v>0</v>
      </c>
      <c r="O410" t="n">
        <v>0</v>
      </c>
      <c r="P410" t="n">
        <v>0</v>
      </c>
      <c r="Q410" t="n">
        <v>0</v>
      </c>
      <c r="R410" s="2" t="inlineStr"/>
    </row>
    <row r="411" ht="15" customHeight="1">
      <c r="A411" t="inlineStr">
        <is>
          <t>A 9623-2025</t>
        </is>
      </c>
      <c r="B411" s="1" t="n">
        <v>45715</v>
      </c>
      <c r="C411" s="1" t="n">
        <v>45900</v>
      </c>
      <c r="D411" t="inlineStr">
        <is>
          <t>JÄMTLANDS LÄN</t>
        </is>
      </c>
      <c r="E411" t="inlineStr">
        <is>
          <t>KROKOM</t>
        </is>
      </c>
      <c r="F411" t="inlineStr">
        <is>
          <t>Kyrkan</t>
        </is>
      </c>
      <c r="G411" t="n">
        <v>2.8</v>
      </c>
      <c r="H411" t="n">
        <v>0</v>
      </c>
      <c r="I411" t="n">
        <v>0</v>
      </c>
      <c r="J411" t="n">
        <v>0</v>
      </c>
      <c r="K411" t="n">
        <v>0</v>
      </c>
      <c r="L411" t="n">
        <v>0</v>
      </c>
      <c r="M411" t="n">
        <v>0</v>
      </c>
      <c r="N411" t="n">
        <v>0</v>
      </c>
      <c r="O411" t="n">
        <v>0</v>
      </c>
      <c r="P411" t="n">
        <v>0</v>
      </c>
      <c r="Q411" t="n">
        <v>0</v>
      </c>
      <c r="R411" s="2" t="inlineStr"/>
    </row>
    <row r="412" ht="15" customHeight="1">
      <c r="A412" t="inlineStr">
        <is>
          <t>A 20798-2025</t>
        </is>
      </c>
      <c r="B412" s="1" t="n">
        <v>45776</v>
      </c>
      <c r="C412" s="1" t="n">
        <v>45900</v>
      </c>
      <c r="D412" t="inlineStr">
        <is>
          <t>JÄMTLANDS LÄN</t>
        </is>
      </c>
      <c r="E412" t="inlineStr">
        <is>
          <t>KROKOM</t>
        </is>
      </c>
      <c r="G412" t="n">
        <v>2.2</v>
      </c>
      <c r="H412" t="n">
        <v>0</v>
      </c>
      <c r="I412" t="n">
        <v>0</v>
      </c>
      <c r="J412" t="n">
        <v>0</v>
      </c>
      <c r="K412" t="n">
        <v>0</v>
      </c>
      <c r="L412" t="n">
        <v>0</v>
      </c>
      <c r="M412" t="n">
        <v>0</v>
      </c>
      <c r="N412" t="n">
        <v>0</v>
      </c>
      <c r="O412" t="n">
        <v>0</v>
      </c>
      <c r="P412" t="n">
        <v>0</v>
      </c>
      <c r="Q412" t="n">
        <v>0</v>
      </c>
      <c r="R412" s="2" t="inlineStr"/>
    </row>
    <row r="413" ht="15" customHeight="1">
      <c r="A413" t="inlineStr">
        <is>
          <t>A 9132-2023</t>
        </is>
      </c>
      <c r="B413" s="1" t="n">
        <v>44974</v>
      </c>
      <c r="C413" s="1" t="n">
        <v>45900</v>
      </c>
      <c r="D413" t="inlineStr">
        <is>
          <t>JÄMTLANDS LÄN</t>
        </is>
      </c>
      <c r="E413" t="inlineStr">
        <is>
          <t>KROKOM</t>
        </is>
      </c>
      <c r="F413" t="inlineStr">
        <is>
          <t>SCA</t>
        </is>
      </c>
      <c r="G413" t="n">
        <v>22.7</v>
      </c>
      <c r="H413" t="n">
        <v>0</v>
      </c>
      <c r="I413" t="n">
        <v>0</v>
      </c>
      <c r="J413" t="n">
        <v>0</v>
      </c>
      <c r="K413" t="n">
        <v>0</v>
      </c>
      <c r="L413" t="n">
        <v>0</v>
      </c>
      <c r="M413" t="n">
        <v>0</v>
      </c>
      <c r="N413" t="n">
        <v>0</v>
      </c>
      <c r="O413" t="n">
        <v>0</v>
      </c>
      <c r="P413" t="n">
        <v>0</v>
      </c>
      <c r="Q413" t="n">
        <v>0</v>
      </c>
      <c r="R413" s="2" t="inlineStr"/>
    </row>
    <row r="414" ht="15" customHeight="1">
      <c r="A414" t="inlineStr">
        <is>
          <t>A 5498-2025</t>
        </is>
      </c>
      <c r="B414" s="1" t="n">
        <v>45693</v>
      </c>
      <c r="C414" s="1" t="n">
        <v>45900</v>
      </c>
      <c r="D414" t="inlineStr">
        <is>
          <t>JÄMTLANDS LÄN</t>
        </is>
      </c>
      <c r="E414" t="inlineStr">
        <is>
          <t>KROKOM</t>
        </is>
      </c>
      <c r="G414" t="n">
        <v>2.7</v>
      </c>
      <c r="H414" t="n">
        <v>0</v>
      </c>
      <c r="I414" t="n">
        <v>0</v>
      </c>
      <c r="J414" t="n">
        <v>0</v>
      </c>
      <c r="K414" t="n">
        <v>0</v>
      </c>
      <c r="L414" t="n">
        <v>0</v>
      </c>
      <c r="M414" t="n">
        <v>0</v>
      </c>
      <c r="N414" t="n">
        <v>0</v>
      </c>
      <c r="O414" t="n">
        <v>0</v>
      </c>
      <c r="P414" t="n">
        <v>0</v>
      </c>
      <c r="Q414" t="n">
        <v>0</v>
      </c>
      <c r="R414" s="2" t="inlineStr"/>
    </row>
    <row r="415" ht="15" customHeight="1">
      <c r="A415" t="inlineStr">
        <is>
          <t>A 21153-2025</t>
        </is>
      </c>
      <c r="B415" s="1" t="n">
        <v>45777</v>
      </c>
      <c r="C415" s="1" t="n">
        <v>45900</v>
      </c>
      <c r="D415" t="inlineStr">
        <is>
          <t>JÄMTLANDS LÄN</t>
        </is>
      </c>
      <c r="E415" t="inlineStr">
        <is>
          <t>KROKOM</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8784-2025</t>
        </is>
      </c>
      <c r="B416" s="1" t="n">
        <v>45712</v>
      </c>
      <c r="C416" s="1" t="n">
        <v>45900</v>
      </c>
      <c r="D416" t="inlineStr">
        <is>
          <t>JÄMTLANDS LÄN</t>
        </is>
      </c>
      <c r="E416" t="inlineStr">
        <is>
          <t>KROKOM</t>
        </is>
      </c>
      <c r="G416" t="n">
        <v>10.1</v>
      </c>
      <c r="H416" t="n">
        <v>0</v>
      </c>
      <c r="I416" t="n">
        <v>0</v>
      </c>
      <c r="J416" t="n">
        <v>0</v>
      </c>
      <c r="K416" t="n">
        <v>0</v>
      </c>
      <c r="L416" t="n">
        <v>0</v>
      </c>
      <c r="M416" t="n">
        <v>0</v>
      </c>
      <c r="N416" t="n">
        <v>0</v>
      </c>
      <c r="O416" t="n">
        <v>0</v>
      </c>
      <c r="P416" t="n">
        <v>0</v>
      </c>
      <c r="Q416" t="n">
        <v>0</v>
      </c>
      <c r="R416" s="2" t="inlineStr"/>
    </row>
    <row r="417" ht="15" customHeight="1">
      <c r="A417" t="inlineStr">
        <is>
          <t>A 21027-2025</t>
        </is>
      </c>
      <c r="B417" s="1" t="n">
        <v>45777</v>
      </c>
      <c r="C417" s="1" t="n">
        <v>45900</v>
      </c>
      <c r="D417" t="inlineStr">
        <is>
          <t>JÄMTLANDS LÄN</t>
        </is>
      </c>
      <c r="E417" t="inlineStr">
        <is>
          <t>KROKOM</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21029-2025</t>
        </is>
      </c>
      <c r="B418" s="1" t="n">
        <v>45777</v>
      </c>
      <c r="C418" s="1" t="n">
        <v>45900</v>
      </c>
      <c r="D418" t="inlineStr">
        <is>
          <t>JÄMTLANDS LÄN</t>
        </is>
      </c>
      <c r="E418" t="inlineStr">
        <is>
          <t>KROKOM</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57304-2021</t>
        </is>
      </c>
      <c r="B419" s="1" t="n">
        <v>44483.42253472222</v>
      </c>
      <c r="C419" s="1" t="n">
        <v>45900</v>
      </c>
      <c r="D419" t="inlineStr">
        <is>
          <t>JÄMTLANDS LÄN</t>
        </is>
      </c>
      <c r="E419" t="inlineStr">
        <is>
          <t>KROKOM</t>
        </is>
      </c>
      <c r="G419" t="n">
        <v>2.9</v>
      </c>
      <c r="H419" t="n">
        <v>0</v>
      </c>
      <c r="I419" t="n">
        <v>0</v>
      </c>
      <c r="J419" t="n">
        <v>0</v>
      </c>
      <c r="K419" t="n">
        <v>0</v>
      </c>
      <c r="L419" t="n">
        <v>0</v>
      </c>
      <c r="M419" t="n">
        <v>0</v>
      </c>
      <c r="N419" t="n">
        <v>0</v>
      </c>
      <c r="O419" t="n">
        <v>0</v>
      </c>
      <c r="P419" t="n">
        <v>0</v>
      </c>
      <c r="Q419" t="n">
        <v>0</v>
      </c>
      <c r="R419" s="2" t="inlineStr"/>
    </row>
    <row r="420" ht="15" customHeight="1">
      <c r="A420" t="inlineStr">
        <is>
          <t>A 21239-2025</t>
        </is>
      </c>
      <c r="B420" s="1" t="n">
        <v>45779.56659722222</v>
      </c>
      <c r="C420" s="1" t="n">
        <v>45900</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58347-2022</t>
        </is>
      </c>
      <c r="B421" s="1" t="n">
        <v>44901.59349537037</v>
      </c>
      <c r="C421" s="1" t="n">
        <v>45900</v>
      </c>
      <c r="D421" t="inlineStr">
        <is>
          <t>JÄMTLANDS LÄN</t>
        </is>
      </c>
      <c r="E421" t="inlineStr">
        <is>
          <t>KROKOM</t>
        </is>
      </c>
      <c r="F421" t="inlineStr">
        <is>
          <t>Övriga Aktiebolag</t>
        </is>
      </c>
      <c r="G421" t="n">
        <v>5.6</v>
      </c>
      <c r="H421" t="n">
        <v>0</v>
      </c>
      <c r="I421" t="n">
        <v>0</v>
      </c>
      <c r="J421" t="n">
        <v>0</v>
      </c>
      <c r="K421" t="n">
        <v>0</v>
      </c>
      <c r="L421" t="n">
        <v>0</v>
      </c>
      <c r="M421" t="n">
        <v>0</v>
      </c>
      <c r="N421" t="n">
        <v>0</v>
      </c>
      <c r="O421" t="n">
        <v>0</v>
      </c>
      <c r="P421" t="n">
        <v>0</v>
      </c>
      <c r="Q421" t="n">
        <v>0</v>
      </c>
      <c r="R421" s="2" t="inlineStr"/>
    </row>
    <row r="422" ht="15" customHeight="1">
      <c r="A422" t="inlineStr">
        <is>
          <t>A 40271-2024</t>
        </is>
      </c>
      <c r="B422" s="1" t="n">
        <v>45554</v>
      </c>
      <c r="C422" s="1" t="n">
        <v>45900</v>
      </c>
      <c r="D422" t="inlineStr">
        <is>
          <t>JÄMTLANDS LÄN</t>
        </is>
      </c>
      <c r="E422" t="inlineStr">
        <is>
          <t>KROKOM</t>
        </is>
      </c>
      <c r="F422" t="inlineStr">
        <is>
          <t>Övriga Aktiebolag</t>
        </is>
      </c>
      <c r="G422" t="n">
        <v>3</v>
      </c>
      <c r="H422" t="n">
        <v>0</v>
      </c>
      <c r="I422" t="n">
        <v>0</v>
      </c>
      <c r="J422" t="n">
        <v>0</v>
      </c>
      <c r="K422" t="n">
        <v>0</v>
      </c>
      <c r="L422" t="n">
        <v>0</v>
      </c>
      <c r="M422" t="n">
        <v>0</v>
      </c>
      <c r="N422" t="n">
        <v>0</v>
      </c>
      <c r="O422" t="n">
        <v>0</v>
      </c>
      <c r="P422" t="n">
        <v>0</v>
      </c>
      <c r="Q422" t="n">
        <v>0</v>
      </c>
      <c r="R422" s="2" t="inlineStr"/>
    </row>
    <row r="423" ht="15" customHeight="1">
      <c r="A423" t="inlineStr">
        <is>
          <t>A 21276-2025</t>
        </is>
      </c>
      <c r="B423" s="1" t="n">
        <v>45779.63834490741</v>
      </c>
      <c r="C423" s="1" t="n">
        <v>45900</v>
      </c>
      <c r="D423" t="inlineStr">
        <is>
          <t>JÄMTLANDS LÄN</t>
        </is>
      </c>
      <c r="E423" t="inlineStr">
        <is>
          <t>KROKOM</t>
        </is>
      </c>
      <c r="G423" t="n">
        <v>4.3</v>
      </c>
      <c r="H423" t="n">
        <v>0</v>
      </c>
      <c r="I423" t="n">
        <v>0</v>
      </c>
      <c r="J423" t="n">
        <v>0</v>
      </c>
      <c r="K423" t="n">
        <v>0</v>
      </c>
      <c r="L423" t="n">
        <v>0</v>
      </c>
      <c r="M423" t="n">
        <v>0</v>
      </c>
      <c r="N423" t="n">
        <v>0</v>
      </c>
      <c r="O423" t="n">
        <v>0</v>
      </c>
      <c r="P423" t="n">
        <v>0</v>
      </c>
      <c r="Q423" t="n">
        <v>0</v>
      </c>
      <c r="R423" s="2" t="inlineStr"/>
    </row>
    <row r="424" ht="15" customHeight="1">
      <c r="A424" t="inlineStr">
        <is>
          <t>A 21254-2025</t>
        </is>
      </c>
      <c r="B424" s="1" t="n">
        <v>45779.57626157408</v>
      </c>
      <c r="C424" s="1" t="n">
        <v>45900</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27224-2024</t>
        </is>
      </c>
      <c r="B425" s="1" t="n">
        <v>45471.63390046296</v>
      </c>
      <c r="C425" s="1" t="n">
        <v>45900</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27440-2024</t>
        </is>
      </c>
      <c r="B426" s="1" t="n">
        <v>45474</v>
      </c>
      <c r="C426" s="1" t="n">
        <v>45900</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64764-2023</t>
        </is>
      </c>
      <c r="B427" s="1" t="n">
        <v>45282</v>
      </c>
      <c r="C427" s="1" t="n">
        <v>45900</v>
      </c>
      <c r="D427" t="inlineStr">
        <is>
          <t>JÄMTLANDS LÄN</t>
        </is>
      </c>
      <c r="E427" t="inlineStr">
        <is>
          <t>KROKOM</t>
        </is>
      </c>
      <c r="G427" t="n">
        <v>1.6</v>
      </c>
      <c r="H427" t="n">
        <v>0</v>
      </c>
      <c r="I427" t="n">
        <v>0</v>
      </c>
      <c r="J427" t="n">
        <v>0</v>
      </c>
      <c r="K427" t="n">
        <v>0</v>
      </c>
      <c r="L427" t="n">
        <v>0</v>
      </c>
      <c r="M427" t="n">
        <v>0</v>
      </c>
      <c r="N427" t="n">
        <v>0</v>
      </c>
      <c r="O427" t="n">
        <v>0</v>
      </c>
      <c r="P427" t="n">
        <v>0</v>
      </c>
      <c r="Q427" t="n">
        <v>0</v>
      </c>
      <c r="R427" s="2" t="inlineStr"/>
    </row>
    <row r="428" ht="15" customHeight="1">
      <c r="A428" t="inlineStr">
        <is>
          <t>A 55914-2023</t>
        </is>
      </c>
      <c r="B428" s="1" t="n">
        <v>45239.9681712963</v>
      </c>
      <c r="C428" s="1" t="n">
        <v>45900</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45900</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21280-2025</t>
        </is>
      </c>
      <c r="B430" s="1" t="n">
        <v>45779.65980324074</v>
      </c>
      <c r="C430" s="1" t="n">
        <v>45900</v>
      </c>
      <c r="D430" t="inlineStr">
        <is>
          <t>JÄMTLANDS LÄN</t>
        </is>
      </c>
      <c r="E430" t="inlineStr">
        <is>
          <t>KROKOM</t>
        </is>
      </c>
      <c r="G430" t="n">
        <v>30.9</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45900</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45900</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21172-2025</t>
        </is>
      </c>
      <c r="B433" s="1" t="n">
        <v>45779.42630787037</v>
      </c>
      <c r="C433" s="1" t="n">
        <v>45900</v>
      </c>
      <c r="D433" t="inlineStr">
        <is>
          <t>JÄMTLANDS LÄN</t>
        </is>
      </c>
      <c r="E433" t="inlineStr">
        <is>
          <t>KROKOM</t>
        </is>
      </c>
      <c r="G433" t="n">
        <v>3.7</v>
      </c>
      <c r="H433" t="n">
        <v>0</v>
      </c>
      <c r="I433" t="n">
        <v>0</v>
      </c>
      <c r="J433" t="n">
        <v>0</v>
      </c>
      <c r="K433" t="n">
        <v>0</v>
      </c>
      <c r="L433" t="n">
        <v>0</v>
      </c>
      <c r="M433" t="n">
        <v>0</v>
      </c>
      <c r="N433" t="n">
        <v>0</v>
      </c>
      <c r="O433" t="n">
        <v>0</v>
      </c>
      <c r="P433" t="n">
        <v>0</v>
      </c>
      <c r="Q433" t="n">
        <v>0</v>
      </c>
      <c r="R433" s="2" t="inlineStr"/>
    </row>
    <row r="434" ht="15" customHeight="1">
      <c r="A434" t="inlineStr">
        <is>
          <t>A 21240-2025</t>
        </is>
      </c>
      <c r="B434" s="1" t="n">
        <v>45779.5674074074</v>
      </c>
      <c r="C434" s="1" t="n">
        <v>45900</v>
      </c>
      <c r="D434" t="inlineStr">
        <is>
          <t>JÄMTLANDS LÄN</t>
        </is>
      </c>
      <c r="E434" t="inlineStr">
        <is>
          <t>KROKOM</t>
        </is>
      </c>
      <c r="G434" t="n">
        <v>3.3</v>
      </c>
      <c r="H434" t="n">
        <v>0</v>
      </c>
      <c r="I434" t="n">
        <v>0</v>
      </c>
      <c r="J434" t="n">
        <v>0</v>
      </c>
      <c r="K434" t="n">
        <v>0</v>
      </c>
      <c r="L434" t="n">
        <v>0</v>
      </c>
      <c r="M434" t="n">
        <v>0</v>
      </c>
      <c r="N434" t="n">
        <v>0</v>
      </c>
      <c r="O434" t="n">
        <v>0</v>
      </c>
      <c r="P434" t="n">
        <v>0</v>
      </c>
      <c r="Q434" t="n">
        <v>0</v>
      </c>
      <c r="R434" s="2" t="inlineStr"/>
    </row>
    <row r="435" ht="15" customHeight="1">
      <c r="A435" t="inlineStr">
        <is>
          <t>A 65508-2021</t>
        </is>
      </c>
      <c r="B435" s="1" t="n">
        <v>44516</v>
      </c>
      <c r="C435" s="1" t="n">
        <v>45900</v>
      </c>
      <c r="D435" t="inlineStr">
        <is>
          <t>JÄMTLANDS LÄN</t>
        </is>
      </c>
      <c r="E435" t="inlineStr">
        <is>
          <t>KROKOM</t>
        </is>
      </c>
      <c r="G435" t="n">
        <v>0.3</v>
      </c>
      <c r="H435" t="n">
        <v>0</v>
      </c>
      <c r="I435" t="n">
        <v>0</v>
      </c>
      <c r="J435" t="n">
        <v>0</v>
      </c>
      <c r="K435" t="n">
        <v>0</v>
      </c>
      <c r="L435" t="n">
        <v>0</v>
      </c>
      <c r="M435" t="n">
        <v>0</v>
      </c>
      <c r="N435" t="n">
        <v>0</v>
      </c>
      <c r="O435" t="n">
        <v>0</v>
      </c>
      <c r="P435" t="n">
        <v>0</v>
      </c>
      <c r="Q435" t="n">
        <v>0</v>
      </c>
      <c r="R435" s="2" t="inlineStr"/>
    </row>
    <row r="436" ht="15" customHeight="1">
      <c r="A436" t="inlineStr">
        <is>
          <t>A 56361-2023</t>
        </is>
      </c>
      <c r="B436" s="1" t="n">
        <v>45243.37567129629</v>
      </c>
      <c r="C436" s="1" t="n">
        <v>45900</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36439-2023</t>
        </is>
      </c>
      <c r="B437" s="1" t="n">
        <v>45152</v>
      </c>
      <c r="C437" s="1" t="n">
        <v>45900</v>
      </c>
      <c r="D437" t="inlineStr">
        <is>
          <t>JÄMTLANDS LÄN</t>
        </is>
      </c>
      <c r="E437" t="inlineStr">
        <is>
          <t>KROKOM</t>
        </is>
      </c>
      <c r="F437" t="inlineStr">
        <is>
          <t>Övriga Aktiebolag</t>
        </is>
      </c>
      <c r="G437" t="n">
        <v>7.4</v>
      </c>
      <c r="H437" t="n">
        <v>0</v>
      </c>
      <c r="I437" t="n">
        <v>0</v>
      </c>
      <c r="J437" t="n">
        <v>0</v>
      </c>
      <c r="K437" t="n">
        <v>0</v>
      </c>
      <c r="L437" t="n">
        <v>0</v>
      </c>
      <c r="M437" t="n">
        <v>0</v>
      </c>
      <c r="N437" t="n">
        <v>0</v>
      </c>
      <c r="O437" t="n">
        <v>0</v>
      </c>
      <c r="P437" t="n">
        <v>0</v>
      </c>
      <c r="Q437" t="n">
        <v>0</v>
      </c>
      <c r="R437" s="2" t="inlineStr"/>
    </row>
    <row r="438" ht="15" customHeight="1">
      <c r="A438" t="inlineStr">
        <is>
          <t>A 14827-2024</t>
        </is>
      </c>
      <c r="B438" s="1" t="n">
        <v>45398</v>
      </c>
      <c r="C438" s="1" t="n">
        <v>45900</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6068-2025</t>
        </is>
      </c>
      <c r="B439" s="1" t="n">
        <v>45696</v>
      </c>
      <c r="C439" s="1" t="n">
        <v>45900</v>
      </c>
      <c r="D439" t="inlineStr">
        <is>
          <t>JÄMTLANDS LÄN</t>
        </is>
      </c>
      <c r="E439" t="inlineStr">
        <is>
          <t>KROKOM</t>
        </is>
      </c>
      <c r="F439" t="inlineStr">
        <is>
          <t>Övriga Aktiebolag</t>
        </is>
      </c>
      <c r="G439" t="n">
        <v>17.2</v>
      </c>
      <c r="H439" t="n">
        <v>0</v>
      </c>
      <c r="I439" t="n">
        <v>0</v>
      </c>
      <c r="J439" t="n">
        <v>0</v>
      </c>
      <c r="K439" t="n">
        <v>0</v>
      </c>
      <c r="L439" t="n">
        <v>0</v>
      </c>
      <c r="M439" t="n">
        <v>0</v>
      </c>
      <c r="N439" t="n">
        <v>0</v>
      </c>
      <c r="O439" t="n">
        <v>0</v>
      </c>
      <c r="P439" t="n">
        <v>0</v>
      </c>
      <c r="Q439" t="n">
        <v>0</v>
      </c>
      <c r="R439" s="2" t="inlineStr"/>
    </row>
    <row r="440" ht="15" customHeight="1">
      <c r="A440" t="inlineStr">
        <is>
          <t>A 24333-2024</t>
        </is>
      </c>
      <c r="B440" s="1" t="n">
        <v>45457.55922453704</v>
      </c>
      <c r="C440" s="1" t="n">
        <v>45900</v>
      </c>
      <c r="D440" t="inlineStr">
        <is>
          <t>JÄMTLANDS LÄN</t>
        </is>
      </c>
      <c r="E440" t="inlineStr">
        <is>
          <t>KROKOM</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61615-2023</t>
        </is>
      </c>
      <c r="B441" s="1" t="n">
        <v>45265.52887731481</v>
      </c>
      <c r="C441" s="1" t="n">
        <v>45900</v>
      </c>
      <c r="D441" t="inlineStr">
        <is>
          <t>JÄMTLANDS LÄN</t>
        </is>
      </c>
      <c r="E441" t="inlineStr">
        <is>
          <t>KROKOM</t>
        </is>
      </c>
      <c r="G441" t="n">
        <v>3.9</v>
      </c>
      <c r="H441" t="n">
        <v>0</v>
      </c>
      <c r="I441" t="n">
        <v>0</v>
      </c>
      <c r="J441" t="n">
        <v>0</v>
      </c>
      <c r="K441" t="n">
        <v>0</v>
      </c>
      <c r="L441" t="n">
        <v>0</v>
      </c>
      <c r="M441" t="n">
        <v>0</v>
      </c>
      <c r="N441" t="n">
        <v>0</v>
      </c>
      <c r="O441" t="n">
        <v>0</v>
      </c>
      <c r="P441" t="n">
        <v>0</v>
      </c>
      <c r="Q441" t="n">
        <v>0</v>
      </c>
      <c r="R441" s="2" t="inlineStr"/>
    </row>
    <row r="442" ht="15" customHeight="1">
      <c r="A442" t="inlineStr">
        <is>
          <t>A 21652-2025</t>
        </is>
      </c>
      <c r="B442" s="1" t="n">
        <v>45783.44828703703</v>
      </c>
      <c r="C442" s="1" t="n">
        <v>45900</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21663-2025</t>
        </is>
      </c>
      <c r="B443" s="1" t="n">
        <v>45783</v>
      </c>
      <c r="C443" s="1" t="n">
        <v>45900</v>
      </c>
      <c r="D443" t="inlineStr">
        <is>
          <t>JÄMTLANDS LÄN</t>
        </is>
      </c>
      <c r="E443" t="inlineStr">
        <is>
          <t>KROKOM</t>
        </is>
      </c>
      <c r="G443" t="n">
        <v>5.2</v>
      </c>
      <c r="H443" t="n">
        <v>0</v>
      </c>
      <c r="I443" t="n">
        <v>0</v>
      </c>
      <c r="J443" t="n">
        <v>0</v>
      </c>
      <c r="K443" t="n">
        <v>0</v>
      </c>
      <c r="L443" t="n">
        <v>0</v>
      </c>
      <c r="M443" t="n">
        <v>0</v>
      </c>
      <c r="N443" t="n">
        <v>0</v>
      </c>
      <c r="O443" t="n">
        <v>0</v>
      </c>
      <c r="P443" t="n">
        <v>0</v>
      </c>
      <c r="Q443" t="n">
        <v>0</v>
      </c>
      <c r="R443" s="2" t="inlineStr"/>
    </row>
    <row r="444" ht="15" customHeight="1">
      <c r="A444" t="inlineStr">
        <is>
          <t>A 15638-2025</t>
        </is>
      </c>
      <c r="B444" s="1" t="n">
        <v>45748.3822337963</v>
      </c>
      <c r="C444" s="1" t="n">
        <v>45900</v>
      </c>
      <c r="D444" t="inlineStr">
        <is>
          <t>JÄMTLANDS LÄN</t>
        </is>
      </c>
      <c r="E444" t="inlineStr">
        <is>
          <t>KROKOM</t>
        </is>
      </c>
      <c r="F444" t="inlineStr">
        <is>
          <t>Kyrkan</t>
        </is>
      </c>
      <c r="G444" t="n">
        <v>5.9</v>
      </c>
      <c r="H444" t="n">
        <v>0</v>
      </c>
      <c r="I444" t="n">
        <v>0</v>
      </c>
      <c r="J444" t="n">
        <v>0</v>
      </c>
      <c r="K444" t="n">
        <v>0</v>
      </c>
      <c r="L444" t="n">
        <v>0</v>
      </c>
      <c r="M444" t="n">
        <v>0</v>
      </c>
      <c r="N444" t="n">
        <v>0</v>
      </c>
      <c r="O444" t="n">
        <v>0</v>
      </c>
      <c r="P444" t="n">
        <v>0</v>
      </c>
      <c r="Q444" t="n">
        <v>0</v>
      </c>
      <c r="R444" s="2" t="inlineStr"/>
    </row>
    <row r="445" ht="15" customHeight="1">
      <c r="A445" t="inlineStr">
        <is>
          <t>A 23665-2024</t>
        </is>
      </c>
      <c r="B445" s="1" t="n">
        <v>45454.57899305555</v>
      </c>
      <c r="C445" s="1" t="n">
        <v>45900</v>
      </c>
      <c r="D445" t="inlineStr">
        <is>
          <t>JÄMTLANDS LÄN</t>
        </is>
      </c>
      <c r="E445" t="inlineStr">
        <is>
          <t>KROKOM</t>
        </is>
      </c>
      <c r="G445" t="n">
        <v>1.1</v>
      </c>
      <c r="H445" t="n">
        <v>0</v>
      </c>
      <c r="I445" t="n">
        <v>0</v>
      </c>
      <c r="J445" t="n">
        <v>0</v>
      </c>
      <c r="K445" t="n">
        <v>0</v>
      </c>
      <c r="L445" t="n">
        <v>0</v>
      </c>
      <c r="M445" t="n">
        <v>0</v>
      </c>
      <c r="N445" t="n">
        <v>0</v>
      </c>
      <c r="O445" t="n">
        <v>0</v>
      </c>
      <c r="P445" t="n">
        <v>0</v>
      </c>
      <c r="Q445" t="n">
        <v>0</v>
      </c>
      <c r="R445" s="2" t="inlineStr"/>
    </row>
    <row r="446" ht="15" customHeight="1">
      <c r="A446" t="inlineStr">
        <is>
          <t>A 58355-2023</t>
        </is>
      </c>
      <c r="B446" s="1" t="n">
        <v>45250</v>
      </c>
      <c r="C446" s="1" t="n">
        <v>45900</v>
      </c>
      <c r="D446" t="inlineStr">
        <is>
          <t>JÄMTLANDS LÄN</t>
        </is>
      </c>
      <c r="E446" t="inlineStr">
        <is>
          <t>KROKOM</t>
        </is>
      </c>
      <c r="F446" t="inlineStr">
        <is>
          <t>Övriga Aktiebolag</t>
        </is>
      </c>
      <c r="G446" t="n">
        <v>6.6</v>
      </c>
      <c r="H446" t="n">
        <v>0</v>
      </c>
      <c r="I446" t="n">
        <v>0</v>
      </c>
      <c r="J446" t="n">
        <v>0</v>
      </c>
      <c r="K446" t="n">
        <v>0</v>
      </c>
      <c r="L446" t="n">
        <v>0</v>
      </c>
      <c r="M446" t="n">
        <v>0</v>
      </c>
      <c r="N446" t="n">
        <v>0</v>
      </c>
      <c r="O446" t="n">
        <v>0</v>
      </c>
      <c r="P446" t="n">
        <v>0</v>
      </c>
      <c r="Q446" t="n">
        <v>0</v>
      </c>
      <c r="R446" s="2" t="inlineStr"/>
    </row>
    <row r="447" ht="15" customHeight="1">
      <c r="A447" t="inlineStr">
        <is>
          <t>A 21617-2025</t>
        </is>
      </c>
      <c r="B447" s="1" t="n">
        <v>45783</v>
      </c>
      <c r="C447" s="1" t="n">
        <v>45900</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24234-2024</t>
        </is>
      </c>
      <c r="B448" s="1" t="n">
        <v>45457.35388888889</v>
      </c>
      <c r="C448" s="1" t="n">
        <v>45900</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52911-2023</t>
        </is>
      </c>
      <c r="B449" s="1" t="n">
        <v>45226</v>
      </c>
      <c r="C449" s="1" t="n">
        <v>45900</v>
      </c>
      <c r="D449" t="inlineStr">
        <is>
          <t>JÄMTLANDS LÄN</t>
        </is>
      </c>
      <c r="E449" t="inlineStr">
        <is>
          <t>KROKOM</t>
        </is>
      </c>
      <c r="G449" t="n">
        <v>0.4</v>
      </c>
      <c r="H449" t="n">
        <v>0</v>
      </c>
      <c r="I449" t="n">
        <v>0</v>
      </c>
      <c r="J449" t="n">
        <v>0</v>
      </c>
      <c r="K449" t="n">
        <v>0</v>
      </c>
      <c r="L449" t="n">
        <v>0</v>
      </c>
      <c r="M449" t="n">
        <v>0</v>
      </c>
      <c r="N449" t="n">
        <v>0</v>
      </c>
      <c r="O449" t="n">
        <v>0</v>
      </c>
      <c r="P449" t="n">
        <v>0</v>
      </c>
      <c r="Q449" t="n">
        <v>0</v>
      </c>
      <c r="R449" s="2" t="inlineStr"/>
    </row>
    <row r="450" ht="15" customHeight="1">
      <c r="A450" t="inlineStr">
        <is>
          <t>A 62739-2021</t>
        </is>
      </c>
      <c r="B450" s="1" t="n">
        <v>44504</v>
      </c>
      <c r="C450" s="1" t="n">
        <v>45900</v>
      </c>
      <c r="D450" t="inlineStr">
        <is>
          <t>JÄMTLANDS LÄN</t>
        </is>
      </c>
      <c r="E450" t="inlineStr">
        <is>
          <t>KROKOM</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21654-2025</t>
        </is>
      </c>
      <c r="B451" s="1" t="n">
        <v>45783.45121527778</v>
      </c>
      <c r="C451" s="1" t="n">
        <v>45900</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16817-2024</t>
        </is>
      </c>
      <c r="B452" s="1" t="n">
        <v>45411.4666087963</v>
      </c>
      <c r="C452" s="1" t="n">
        <v>45900</v>
      </c>
      <c r="D452" t="inlineStr">
        <is>
          <t>JÄMTLANDS LÄN</t>
        </is>
      </c>
      <c r="E452" t="inlineStr">
        <is>
          <t>KROKOM</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21643-2025</t>
        </is>
      </c>
      <c r="B453" s="1" t="n">
        <v>45783.43409722222</v>
      </c>
      <c r="C453" s="1" t="n">
        <v>45900</v>
      </c>
      <c r="D453" t="inlineStr">
        <is>
          <t>JÄMTLANDS LÄN</t>
        </is>
      </c>
      <c r="E453" t="inlineStr">
        <is>
          <t>KROKOM</t>
        </is>
      </c>
      <c r="G453" t="n">
        <v>4.6</v>
      </c>
      <c r="H453" t="n">
        <v>0</v>
      </c>
      <c r="I453" t="n">
        <v>0</v>
      </c>
      <c r="J453" t="n">
        <v>0</v>
      </c>
      <c r="K453" t="n">
        <v>0</v>
      </c>
      <c r="L453" t="n">
        <v>0</v>
      </c>
      <c r="M453" t="n">
        <v>0</v>
      </c>
      <c r="N453" t="n">
        <v>0</v>
      </c>
      <c r="O453" t="n">
        <v>0</v>
      </c>
      <c r="P453" t="n">
        <v>0</v>
      </c>
      <c r="Q453" t="n">
        <v>0</v>
      </c>
      <c r="R453" s="2" t="inlineStr"/>
    </row>
    <row r="454" ht="15" customHeight="1">
      <c r="A454" t="inlineStr">
        <is>
          <t>A 8872-2025</t>
        </is>
      </c>
      <c r="B454" s="1" t="n">
        <v>45713.37111111111</v>
      </c>
      <c r="C454" s="1" t="n">
        <v>45900</v>
      </c>
      <c r="D454" t="inlineStr">
        <is>
          <t>JÄMTLANDS LÄN</t>
        </is>
      </c>
      <c r="E454" t="inlineStr">
        <is>
          <t>KROKOM</t>
        </is>
      </c>
      <c r="F454" t="inlineStr">
        <is>
          <t>Övriga Aktiebolag</t>
        </is>
      </c>
      <c r="G454" t="n">
        <v>4</v>
      </c>
      <c r="H454" t="n">
        <v>0</v>
      </c>
      <c r="I454" t="n">
        <v>0</v>
      </c>
      <c r="J454" t="n">
        <v>0</v>
      </c>
      <c r="K454" t="n">
        <v>0</v>
      </c>
      <c r="L454" t="n">
        <v>0</v>
      </c>
      <c r="M454" t="n">
        <v>0</v>
      </c>
      <c r="N454" t="n">
        <v>0</v>
      </c>
      <c r="O454" t="n">
        <v>0</v>
      </c>
      <c r="P454" t="n">
        <v>0</v>
      </c>
      <c r="Q454" t="n">
        <v>0</v>
      </c>
      <c r="R454" s="2" t="inlineStr"/>
    </row>
    <row r="455" ht="15" customHeight="1">
      <c r="A455" t="inlineStr">
        <is>
          <t>A 4707-2025</t>
        </is>
      </c>
      <c r="B455" s="1" t="n">
        <v>45688.38393518519</v>
      </c>
      <c r="C455" s="1" t="n">
        <v>45900</v>
      </c>
      <c r="D455" t="inlineStr">
        <is>
          <t>JÄMTLANDS LÄN</t>
        </is>
      </c>
      <c r="E455" t="inlineStr">
        <is>
          <t>KROKOM</t>
        </is>
      </c>
      <c r="G455" t="n">
        <v>8.9</v>
      </c>
      <c r="H455" t="n">
        <v>0</v>
      </c>
      <c r="I455" t="n">
        <v>0</v>
      </c>
      <c r="J455" t="n">
        <v>0</v>
      </c>
      <c r="K455" t="n">
        <v>0</v>
      </c>
      <c r="L455" t="n">
        <v>0</v>
      </c>
      <c r="M455" t="n">
        <v>0</v>
      </c>
      <c r="N455" t="n">
        <v>0</v>
      </c>
      <c r="O455" t="n">
        <v>0</v>
      </c>
      <c r="P455" t="n">
        <v>0</v>
      </c>
      <c r="Q455" t="n">
        <v>0</v>
      </c>
      <c r="R455" s="2" t="inlineStr"/>
    </row>
    <row r="456" ht="15" customHeight="1">
      <c r="A456" t="inlineStr">
        <is>
          <t>A 14032-2024</t>
        </is>
      </c>
      <c r="B456" s="1" t="n">
        <v>45392</v>
      </c>
      <c r="C456" s="1" t="n">
        <v>45900</v>
      </c>
      <c r="D456" t="inlineStr">
        <is>
          <t>JÄMTLANDS LÄN</t>
        </is>
      </c>
      <c r="E456" t="inlineStr">
        <is>
          <t>KROKOM</t>
        </is>
      </c>
      <c r="F456" t="inlineStr">
        <is>
          <t>Kyrkan</t>
        </is>
      </c>
      <c r="G456" t="n">
        <v>1.1</v>
      </c>
      <c r="H456" t="n">
        <v>0</v>
      </c>
      <c r="I456" t="n">
        <v>0</v>
      </c>
      <c r="J456" t="n">
        <v>0</v>
      </c>
      <c r="K456" t="n">
        <v>0</v>
      </c>
      <c r="L456" t="n">
        <v>0</v>
      </c>
      <c r="M456" t="n">
        <v>0</v>
      </c>
      <c r="N456" t="n">
        <v>0</v>
      </c>
      <c r="O456" t="n">
        <v>0</v>
      </c>
      <c r="P456" t="n">
        <v>0</v>
      </c>
      <c r="Q456" t="n">
        <v>0</v>
      </c>
      <c r="R456" s="2" t="inlineStr"/>
    </row>
    <row r="457" ht="15" customHeight="1">
      <c r="A457" t="inlineStr">
        <is>
          <t>A 14240-2025</t>
        </is>
      </c>
      <c r="B457" s="1" t="n">
        <v>45740</v>
      </c>
      <c r="C457" s="1" t="n">
        <v>45900</v>
      </c>
      <c r="D457" t="inlineStr">
        <is>
          <t>JÄMTLANDS LÄN</t>
        </is>
      </c>
      <c r="E457" t="inlineStr">
        <is>
          <t>KROKOM</t>
        </is>
      </c>
      <c r="G457" t="n">
        <v>30.3</v>
      </c>
      <c r="H457" t="n">
        <v>0</v>
      </c>
      <c r="I457" t="n">
        <v>0</v>
      </c>
      <c r="J457" t="n">
        <v>0</v>
      </c>
      <c r="K457" t="n">
        <v>0</v>
      </c>
      <c r="L457" t="n">
        <v>0</v>
      </c>
      <c r="M457" t="n">
        <v>0</v>
      </c>
      <c r="N457" t="n">
        <v>0</v>
      </c>
      <c r="O457" t="n">
        <v>0</v>
      </c>
      <c r="P457" t="n">
        <v>0</v>
      </c>
      <c r="Q457" t="n">
        <v>0</v>
      </c>
      <c r="R457" s="2" t="inlineStr"/>
    </row>
    <row r="458" ht="15" customHeight="1">
      <c r="A458" t="inlineStr">
        <is>
          <t>A 17417-2024</t>
        </is>
      </c>
      <c r="B458" s="1" t="n">
        <v>45414.96341435185</v>
      </c>
      <c r="C458" s="1" t="n">
        <v>45900</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2609-2023</t>
        </is>
      </c>
      <c r="B459" s="1" t="n">
        <v>44939</v>
      </c>
      <c r="C459" s="1" t="n">
        <v>45900</v>
      </c>
      <c r="D459" t="inlineStr">
        <is>
          <t>JÄMTLANDS LÄN</t>
        </is>
      </c>
      <c r="E459" t="inlineStr">
        <is>
          <t>KROKOM</t>
        </is>
      </c>
      <c r="G459" t="n">
        <v>16.9</v>
      </c>
      <c r="H459" t="n">
        <v>0</v>
      </c>
      <c r="I459" t="n">
        <v>0</v>
      </c>
      <c r="J459" t="n">
        <v>0</v>
      </c>
      <c r="K459" t="n">
        <v>0</v>
      </c>
      <c r="L459" t="n">
        <v>0</v>
      </c>
      <c r="M459" t="n">
        <v>0</v>
      </c>
      <c r="N459" t="n">
        <v>0</v>
      </c>
      <c r="O459" t="n">
        <v>0</v>
      </c>
      <c r="P459" t="n">
        <v>0</v>
      </c>
      <c r="Q459" t="n">
        <v>0</v>
      </c>
      <c r="R459" s="2" t="inlineStr"/>
    </row>
    <row r="460" ht="15" customHeight="1">
      <c r="A460" t="inlineStr">
        <is>
          <t>A 39263-2024</t>
        </is>
      </c>
      <c r="B460" s="1" t="n">
        <v>45551.34414351852</v>
      </c>
      <c r="C460" s="1" t="n">
        <v>45900</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28137-2023</t>
        </is>
      </c>
      <c r="B461" s="1" t="n">
        <v>45096</v>
      </c>
      <c r="C461" s="1" t="n">
        <v>45900</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45869-2024</t>
        </is>
      </c>
      <c r="B462" s="1" t="n">
        <v>45580.36991898148</v>
      </c>
      <c r="C462" s="1" t="n">
        <v>45900</v>
      </c>
      <c r="D462" t="inlineStr">
        <is>
          <t>JÄMTLANDS LÄN</t>
        </is>
      </c>
      <c r="E462" t="inlineStr">
        <is>
          <t>KROKOM</t>
        </is>
      </c>
      <c r="F462" t="inlineStr">
        <is>
          <t>Övriga Aktiebolag</t>
        </is>
      </c>
      <c r="G462" t="n">
        <v>4.1</v>
      </c>
      <c r="H462" t="n">
        <v>0</v>
      </c>
      <c r="I462" t="n">
        <v>0</v>
      </c>
      <c r="J462" t="n">
        <v>0</v>
      </c>
      <c r="K462" t="n">
        <v>0</v>
      </c>
      <c r="L462" t="n">
        <v>0</v>
      </c>
      <c r="M462" t="n">
        <v>0</v>
      </c>
      <c r="N462" t="n">
        <v>0</v>
      </c>
      <c r="O462" t="n">
        <v>0</v>
      </c>
      <c r="P462" t="n">
        <v>0</v>
      </c>
      <c r="Q462" t="n">
        <v>0</v>
      </c>
      <c r="R462" s="2" t="inlineStr"/>
    </row>
    <row r="463" ht="15" customHeight="1">
      <c r="A463" t="inlineStr">
        <is>
          <t>A 22297-2025</t>
        </is>
      </c>
      <c r="B463" s="1" t="n">
        <v>45786.35219907408</v>
      </c>
      <c r="C463" s="1" t="n">
        <v>45900</v>
      </c>
      <c r="D463" t="inlineStr">
        <is>
          <t>JÄMTLANDS LÄN</t>
        </is>
      </c>
      <c r="E463" t="inlineStr">
        <is>
          <t>KROKOM</t>
        </is>
      </c>
      <c r="G463" t="n">
        <v>0.7</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45900</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22681-2025</t>
        </is>
      </c>
      <c r="B465" s="1" t="n">
        <v>45786</v>
      </c>
      <c r="C465" s="1" t="n">
        <v>45900</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22122-2025</t>
        </is>
      </c>
      <c r="B466" s="1" t="n">
        <v>45785.52112268518</v>
      </c>
      <c r="C466" s="1" t="n">
        <v>45900</v>
      </c>
      <c r="D466" t="inlineStr">
        <is>
          <t>JÄMTLANDS LÄN</t>
        </is>
      </c>
      <c r="E466" t="inlineStr">
        <is>
          <t>KROKOM</t>
        </is>
      </c>
      <c r="G466" t="n">
        <v>9.6</v>
      </c>
      <c r="H466" t="n">
        <v>0</v>
      </c>
      <c r="I466" t="n">
        <v>0</v>
      </c>
      <c r="J466" t="n">
        <v>0</v>
      </c>
      <c r="K466" t="n">
        <v>0</v>
      </c>
      <c r="L466" t="n">
        <v>0</v>
      </c>
      <c r="M466" t="n">
        <v>0</v>
      </c>
      <c r="N466" t="n">
        <v>0</v>
      </c>
      <c r="O466" t="n">
        <v>0</v>
      </c>
      <c r="P466" t="n">
        <v>0</v>
      </c>
      <c r="Q466" t="n">
        <v>0</v>
      </c>
      <c r="R466" s="2" t="inlineStr"/>
    </row>
    <row r="467" ht="15" customHeight="1">
      <c r="A467" t="inlineStr">
        <is>
          <t>A 22132-2025</t>
        </is>
      </c>
      <c r="B467" s="1" t="n">
        <v>45785.5403125</v>
      </c>
      <c r="C467" s="1" t="n">
        <v>45900</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52313-2024</t>
        </is>
      </c>
      <c r="B468" s="1" t="n">
        <v>45608.86341435185</v>
      </c>
      <c r="C468" s="1" t="n">
        <v>45900</v>
      </c>
      <c r="D468" t="inlineStr">
        <is>
          <t>JÄMTLANDS LÄN</t>
        </is>
      </c>
      <c r="E468" t="inlineStr">
        <is>
          <t>KROKOM</t>
        </is>
      </c>
      <c r="G468" t="n">
        <v>6.4</v>
      </c>
      <c r="H468" t="n">
        <v>0</v>
      </c>
      <c r="I468" t="n">
        <v>0</v>
      </c>
      <c r="J468" t="n">
        <v>0</v>
      </c>
      <c r="K468" t="n">
        <v>0</v>
      </c>
      <c r="L468" t="n">
        <v>0</v>
      </c>
      <c r="M468" t="n">
        <v>0</v>
      </c>
      <c r="N468" t="n">
        <v>0</v>
      </c>
      <c r="O468" t="n">
        <v>0</v>
      </c>
      <c r="P468" t="n">
        <v>0</v>
      </c>
      <c r="Q468" t="n">
        <v>0</v>
      </c>
      <c r="R468" s="2" t="inlineStr"/>
    </row>
    <row r="469" ht="15" customHeight="1">
      <c r="A469" t="inlineStr">
        <is>
          <t>A 22136-2025</t>
        </is>
      </c>
      <c r="B469" s="1" t="n">
        <v>45785.54635416667</v>
      </c>
      <c r="C469" s="1" t="n">
        <v>45900</v>
      </c>
      <c r="D469" t="inlineStr">
        <is>
          <t>JÄMTLANDS LÄN</t>
        </is>
      </c>
      <c r="E469" t="inlineStr">
        <is>
          <t>KROKOM</t>
        </is>
      </c>
      <c r="G469" t="n">
        <v>2.1</v>
      </c>
      <c r="H469" t="n">
        <v>0</v>
      </c>
      <c r="I469" t="n">
        <v>0</v>
      </c>
      <c r="J469" t="n">
        <v>0</v>
      </c>
      <c r="K469" t="n">
        <v>0</v>
      </c>
      <c r="L469" t="n">
        <v>0</v>
      </c>
      <c r="M469" t="n">
        <v>0</v>
      </c>
      <c r="N469" t="n">
        <v>0</v>
      </c>
      <c r="O469" t="n">
        <v>0</v>
      </c>
      <c r="P469" t="n">
        <v>0</v>
      </c>
      <c r="Q469" t="n">
        <v>0</v>
      </c>
      <c r="R469" s="2" t="inlineStr"/>
    </row>
    <row r="470" ht="15" customHeight="1">
      <c r="A470" t="inlineStr">
        <is>
          <t>A 22304-2025</t>
        </is>
      </c>
      <c r="B470" s="1" t="n">
        <v>45786</v>
      </c>
      <c r="C470" s="1" t="n">
        <v>45900</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22490-2025</t>
        </is>
      </c>
      <c r="B471" s="1" t="n">
        <v>45786.64972222222</v>
      </c>
      <c r="C471" s="1" t="n">
        <v>45900</v>
      </c>
      <c r="D471" t="inlineStr">
        <is>
          <t>JÄMTLANDS LÄN</t>
        </is>
      </c>
      <c r="E471" t="inlineStr">
        <is>
          <t>KROKOM</t>
        </is>
      </c>
      <c r="G471" t="n">
        <v>6.4</v>
      </c>
      <c r="H471" t="n">
        <v>0</v>
      </c>
      <c r="I471" t="n">
        <v>0</v>
      </c>
      <c r="J471" t="n">
        <v>0</v>
      </c>
      <c r="K471" t="n">
        <v>0</v>
      </c>
      <c r="L471" t="n">
        <v>0</v>
      </c>
      <c r="M471" t="n">
        <v>0</v>
      </c>
      <c r="N471" t="n">
        <v>0</v>
      </c>
      <c r="O471" t="n">
        <v>0</v>
      </c>
      <c r="P471" t="n">
        <v>0</v>
      </c>
      <c r="Q471" t="n">
        <v>0</v>
      </c>
      <c r="R471" s="2" t="inlineStr"/>
    </row>
    <row r="472" ht="15" customHeight="1">
      <c r="A472" t="inlineStr">
        <is>
          <t>A 22499-2025</t>
        </is>
      </c>
      <c r="B472" s="1" t="n">
        <v>45786.65702546296</v>
      </c>
      <c r="C472" s="1" t="n">
        <v>45900</v>
      </c>
      <c r="D472" t="inlineStr">
        <is>
          <t>JÄMTLANDS LÄN</t>
        </is>
      </c>
      <c r="E472" t="inlineStr">
        <is>
          <t>KROKOM</t>
        </is>
      </c>
      <c r="G472" t="n">
        <v>6.6</v>
      </c>
      <c r="H472" t="n">
        <v>0</v>
      </c>
      <c r="I472" t="n">
        <v>0</v>
      </c>
      <c r="J472" t="n">
        <v>0</v>
      </c>
      <c r="K472" t="n">
        <v>0</v>
      </c>
      <c r="L472" t="n">
        <v>0</v>
      </c>
      <c r="M472" t="n">
        <v>0</v>
      </c>
      <c r="N472" t="n">
        <v>0</v>
      </c>
      <c r="O472" t="n">
        <v>0</v>
      </c>
      <c r="P472" t="n">
        <v>0</v>
      </c>
      <c r="Q472" t="n">
        <v>0</v>
      </c>
      <c r="R472" s="2" t="inlineStr"/>
    </row>
    <row r="473" ht="15" customHeight="1">
      <c r="A473" t="inlineStr">
        <is>
          <t>A 32692-2023</t>
        </is>
      </c>
      <c r="B473" s="1" t="n">
        <v>45112</v>
      </c>
      <c r="C473" s="1" t="n">
        <v>45900</v>
      </c>
      <c r="D473" t="inlineStr">
        <is>
          <t>JÄMTLANDS LÄN</t>
        </is>
      </c>
      <c r="E473" t="inlineStr">
        <is>
          <t>KROKOM</t>
        </is>
      </c>
      <c r="G473" t="n">
        <v>6.6</v>
      </c>
      <c r="H473" t="n">
        <v>0</v>
      </c>
      <c r="I473" t="n">
        <v>0</v>
      </c>
      <c r="J473" t="n">
        <v>0</v>
      </c>
      <c r="K473" t="n">
        <v>0</v>
      </c>
      <c r="L473" t="n">
        <v>0</v>
      </c>
      <c r="M473" t="n">
        <v>0</v>
      </c>
      <c r="N473" t="n">
        <v>0</v>
      </c>
      <c r="O473" t="n">
        <v>0</v>
      </c>
      <c r="P473" t="n">
        <v>0</v>
      </c>
      <c r="Q473" t="n">
        <v>0</v>
      </c>
      <c r="R473" s="2" t="inlineStr"/>
    </row>
    <row r="474" ht="15" customHeight="1">
      <c r="A474" t="inlineStr">
        <is>
          <t>A 17820-2024</t>
        </is>
      </c>
      <c r="B474" s="1" t="n">
        <v>45418.94616898148</v>
      </c>
      <c r="C474" s="1" t="n">
        <v>45900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63960-2023</t>
        </is>
      </c>
      <c r="B475" s="1" t="n">
        <v>45278.65582175926</v>
      </c>
      <c r="C475" s="1" t="n">
        <v>45900</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22254-2025</t>
        </is>
      </c>
      <c r="B476" s="1" t="n">
        <v>45785</v>
      </c>
      <c r="C476" s="1" t="n">
        <v>45900</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26228-2024</t>
        </is>
      </c>
      <c r="B477" s="1" t="n">
        <v>45467</v>
      </c>
      <c r="C477" s="1" t="n">
        <v>45900</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45900</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45900</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31550-2023</t>
        </is>
      </c>
      <c r="B480" s="1" t="n">
        <v>45117</v>
      </c>
      <c r="C480" s="1" t="n">
        <v>45900</v>
      </c>
      <c r="D480" t="inlineStr">
        <is>
          <t>JÄMTLANDS LÄN</t>
        </is>
      </c>
      <c r="E480" t="inlineStr">
        <is>
          <t>KROKOM</t>
        </is>
      </c>
      <c r="G480" t="n">
        <v>4.5</v>
      </c>
      <c r="H480" t="n">
        <v>0</v>
      </c>
      <c r="I480" t="n">
        <v>0</v>
      </c>
      <c r="J480" t="n">
        <v>0</v>
      </c>
      <c r="K480" t="n">
        <v>0</v>
      </c>
      <c r="L480" t="n">
        <v>0</v>
      </c>
      <c r="M480" t="n">
        <v>0</v>
      </c>
      <c r="N480" t="n">
        <v>0</v>
      </c>
      <c r="O480" t="n">
        <v>0</v>
      </c>
      <c r="P480" t="n">
        <v>0</v>
      </c>
      <c r="Q480" t="n">
        <v>0</v>
      </c>
      <c r="R480" s="2" t="inlineStr"/>
    </row>
    <row r="481" ht="15" customHeight="1">
      <c r="A481" t="inlineStr">
        <is>
          <t>A 19635-2024</t>
        </is>
      </c>
      <c r="B481" s="1" t="n">
        <v>45432.36971064815</v>
      </c>
      <c r="C481" s="1" t="n">
        <v>45900</v>
      </c>
      <c r="D481" t="inlineStr">
        <is>
          <t>JÄMTLANDS LÄN</t>
        </is>
      </c>
      <c r="E481" t="inlineStr">
        <is>
          <t>KROKOM</t>
        </is>
      </c>
      <c r="G481" t="n">
        <v>14.5</v>
      </c>
      <c r="H481" t="n">
        <v>0</v>
      </c>
      <c r="I481" t="n">
        <v>0</v>
      </c>
      <c r="J481" t="n">
        <v>0</v>
      </c>
      <c r="K481" t="n">
        <v>0</v>
      </c>
      <c r="L481" t="n">
        <v>0</v>
      </c>
      <c r="M481" t="n">
        <v>0</v>
      </c>
      <c r="N481" t="n">
        <v>0</v>
      </c>
      <c r="O481" t="n">
        <v>0</v>
      </c>
      <c r="P481" t="n">
        <v>0</v>
      </c>
      <c r="Q481" t="n">
        <v>0</v>
      </c>
      <c r="R481" s="2" t="inlineStr"/>
    </row>
    <row r="482" ht="15" customHeight="1">
      <c r="A482" t="inlineStr">
        <is>
          <t>A 22411-2024</t>
        </is>
      </c>
      <c r="B482" s="1" t="n">
        <v>45446.68733796296</v>
      </c>
      <c r="C482" s="1" t="n">
        <v>45900</v>
      </c>
      <c r="D482" t="inlineStr">
        <is>
          <t>JÄMTLANDS LÄN</t>
        </is>
      </c>
      <c r="E482" t="inlineStr">
        <is>
          <t>KROKOM</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45900</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26207-2024</t>
        </is>
      </c>
      <c r="B484" s="1" t="n">
        <v>45467</v>
      </c>
      <c r="C484" s="1" t="n">
        <v>45900</v>
      </c>
      <c r="D484" t="inlineStr">
        <is>
          <t>JÄMTLANDS LÄN</t>
        </is>
      </c>
      <c r="E484" t="inlineStr">
        <is>
          <t>KROKOM</t>
        </is>
      </c>
      <c r="G484" t="n">
        <v>14.4</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45900</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28067-2023</t>
        </is>
      </c>
      <c r="B486" s="1" t="n">
        <v>45099.37211805556</v>
      </c>
      <c r="C486" s="1" t="n">
        <v>45900</v>
      </c>
      <c r="D486" t="inlineStr">
        <is>
          <t>JÄMTLANDS LÄN</t>
        </is>
      </c>
      <c r="E486" t="inlineStr">
        <is>
          <t>KROKOM</t>
        </is>
      </c>
      <c r="G486" t="n">
        <v>2.8</v>
      </c>
      <c r="H486" t="n">
        <v>0</v>
      </c>
      <c r="I486" t="n">
        <v>0</v>
      </c>
      <c r="J486" t="n">
        <v>0</v>
      </c>
      <c r="K486" t="n">
        <v>0</v>
      </c>
      <c r="L486" t="n">
        <v>0</v>
      </c>
      <c r="M486" t="n">
        <v>0</v>
      </c>
      <c r="N486" t="n">
        <v>0</v>
      </c>
      <c r="O486" t="n">
        <v>0</v>
      </c>
      <c r="P486" t="n">
        <v>0</v>
      </c>
      <c r="Q486" t="n">
        <v>0</v>
      </c>
      <c r="R486" s="2" t="inlineStr"/>
    </row>
    <row r="487" ht="15" customHeight="1">
      <c r="A487" t="inlineStr">
        <is>
          <t>A 31601-2023</t>
        </is>
      </c>
      <c r="B487" s="1" t="n">
        <v>45117</v>
      </c>
      <c r="C487" s="1" t="n">
        <v>45900</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45777-2024</t>
        </is>
      </c>
      <c r="B488" s="1" t="n">
        <v>45579.66459490741</v>
      </c>
      <c r="C488" s="1" t="n">
        <v>45900</v>
      </c>
      <c r="D488" t="inlineStr">
        <is>
          <t>JÄMTLANDS LÄN</t>
        </is>
      </c>
      <c r="E488" t="inlineStr">
        <is>
          <t>KROKOM</t>
        </is>
      </c>
      <c r="G488" t="n">
        <v>5.3</v>
      </c>
      <c r="H488" t="n">
        <v>0</v>
      </c>
      <c r="I488" t="n">
        <v>0</v>
      </c>
      <c r="J488" t="n">
        <v>0</v>
      </c>
      <c r="K488" t="n">
        <v>0</v>
      </c>
      <c r="L488" t="n">
        <v>0</v>
      </c>
      <c r="M488" t="n">
        <v>0</v>
      </c>
      <c r="N488" t="n">
        <v>0</v>
      </c>
      <c r="O488" t="n">
        <v>0</v>
      </c>
      <c r="P488" t="n">
        <v>0</v>
      </c>
      <c r="Q488" t="n">
        <v>0</v>
      </c>
      <c r="R488" s="2" t="inlineStr"/>
    </row>
    <row r="489" ht="15" customHeight="1">
      <c r="A489" t="inlineStr">
        <is>
          <t>A 14029-2024</t>
        </is>
      </c>
      <c r="B489" s="1" t="n">
        <v>45392</v>
      </c>
      <c r="C489" s="1" t="n">
        <v>45900</v>
      </c>
      <c r="D489" t="inlineStr">
        <is>
          <t>JÄMTLANDS LÄN</t>
        </is>
      </c>
      <c r="E489" t="inlineStr">
        <is>
          <t>KROKOM</t>
        </is>
      </c>
      <c r="F489" t="inlineStr">
        <is>
          <t>Kyrkan</t>
        </is>
      </c>
      <c r="G489" t="n">
        <v>1.1</v>
      </c>
      <c r="H489" t="n">
        <v>0</v>
      </c>
      <c r="I489" t="n">
        <v>0</v>
      </c>
      <c r="J489" t="n">
        <v>0</v>
      </c>
      <c r="K489" t="n">
        <v>0</v>
      </c>
      <c r="L489" t="n">
        <v>0</v>
      </c>
      <c r="M489" t="n">
        <v>0</v>
      </c>
      <c r="N489" t="n">
        <v>0</v>
      </c>
      <c r="O489" t="n">
        <v>0</v>
      </c>
      <c r="P489" t="n">
        <v>0</v>
      </c>
      <c r="Q489" t="n">
        <v>0</v>
      </c>
      <c r="R489" s="2" t="inlineStr"/>
    </row>
    <row r="490" ht="15" customHeight="1">
      <c r="A490" t="inlineStr">
        <is>
          <t>A 56557-2021</t>
        </is>
      </c>
      <c r="B490" s="1" t="n">
        <v>44480</v>
      </c>
      <c r="C490" s="1" t="n">
        <v>45900</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22731-2025</t>
        </is>
      </c>
      <c r="B491" s="1" t="n">
        <v>45789.58238425926</v>
      </c>
      <c r="C491" s="1" t="n">
        <v>45900</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22751-2025</t>
        </is>
      </c>
      <c r="B492" s="1" t="n">
        <v>45789.61349537037</v>
      </c>
      <c r="C492" s="1" t="n">
        <v>45900</v>
      </c>
      <c r="D492" t="inlineStr">
        <is>
          <t>JÄMTLANDS LÄN</t>
        </is>
      </c>
      <c r="E492" t="inlineStr">
        <is>
          <t>KROKOM</t>
        </is>
      </c>
      <c r="G492" t="n">
        <v>4.5</v>
      </c>
      <c r="H492" t="n">
        <v>0</v>
      </c>
      <c r="I492" t="n">
        <v>0</v>
      </c>
      <c r="J492" t="n">
        <v>0</v>
      </c>
      <c r="K492" t="n">
        <v>0</v>
      </c>
      <c r="L492" t="n">
        <v>0</v>
      </c>
      <c r="M492" t="n">
        <v>0</v>
      </c>
      <c r="N492" t="n">
        <v>0</v>
      </c>
      <c r="O492" t="n">
        <v>0</v>
      </c>
      <c r="P492" t="n">
        <v>0</v>
      </c>
      <c r="Q492" t="n">
        <v>0</v>
      </c>
      <c r="R492" s="2" t="inlineStr"/>
    </row>
    <row r="493" ht="15" customHeight="1">
      <c r="A493" t="inlineStr">
        <is>
          <t>A 48971-2024</t>
        </is>
      </c>
      <c r="B493" s="1" t="n">
        <v>45594.463125</v>
      </c>
      <c r="C493" s="1" t="n">
        <v>45900</v>
      </c>
      <c r="D493" t="inlineStr">
        <is>
          <t>JÄMTLANDS LÄN</t>
        </is>
      </c>
      <c r="E493" t="inlineStr">
        <is>
          <t>KROKOM</t>
        </is>
      </c>
      <c r="G493" t="n">
        <v>11.8</v>
      </c>
      <c r="H493" t="n">
        <v>0</v>
      </c>
      <c r="I493" t="n">
        <v>0</v>
      </c>
      <c r="J493" t="n">
        <v>0</v>
      </c>
      <c r="K493" t="n">
        <v>0</v>
      </c>
      <c r="L493" t="n">
        <v>0</v>
      </c>
      <c r="M493" t="n">
        <v>0</v>
      </c>
      <c r="N493" t="n">
        <v>0</v>
      </c>
      <c r="O493" t="n">
        <v>0</v>
      </c>
      <c r="P493" t="n">
        <v>0</v>
      </c>
      <c r="Q493" t="n">
        <v>0</v>
      </c>
      <c r="R493" s="2" t="inlineStr"/>
    </row>
    <row r="494" ht="15" customHeight="1">
      <c r="A494" t="inlineStr">
        <is>
          <t>A 33653-2023</t>
        </is>
      </c>
      <c r="B494" s="1" t="n">
        <v>45119</v>
      </c>
      <c r="C494" s="1" t="n">
        <v>45900</v>
      </c>
      <c r="D494" t="inlineStr">
        <is>
          <t>JÄMTLANDS LÄN</t>
        </is>
      </c>
      <c r="E494" t="inlineStr">
        <is>
          <t>KROKOM</t>
        </is>
      </c>
      <c r="G494" t="n">
        <v>0.4</v>
      </c>
      <c r="H494" t="n">
        <v>0</v>
      </c>
      <c r="I494" t="n">
        <v>0</v>
      </c>
      <c r="J494" t="n">
        <v>0</v>
      </c>
      <c r="K494" t="n">
        <v>0</v>
      </c>
      <c r="L494" t="n">
        <v>0</v>
      </c>
      <c r="M494" t="n">
        <v>0</v>
      </c>
      <c r="N494" t="n">
        <v>0</v>
      </c>
      <c r="O494" t="n">
        <v>0</v>
      </c>
      <c r="P494" t="n">
        <v>0</v>
      </c>
      <c r="Q494" t="n">
        <v>0</v>
      </c>
      <c r="R494" s="2" t="inlineStr"/>
    </row>
    <row r="495" ht="15" customHeight="1">
      <c r="A495" t="inlineStr">
        <is>
          <t>A 42372-2023</t>
        </is>
      </c>
      <c r="B495" s="1" t="n">
        <v>45180</v>
      </c>
      <c r="C495" s="1" t="n">
        <v>45900</v>
      </c>
      <c r="D495" t="inlineStr">
        <is>
          <t>JÄMTLANDS LÄN</t>
        </is>
      </c>
      <c r="E495" t="inlineStr">
        <is>
          <t>KROKOM</t>
        </is>
      </c>
      <c r="F495" t="inlineStr">
        <is>
          <t>Övriga Aktiebolag</t>
        </is>
      </c>
      <c r="G495" t="n">
        <v>0.2</v>
      </c>
      <c r="H495" t="n">
        <v>0</v>
      </c>
      <c r="I495" t="n">
        <v>0</v>
      </c>
      <c r="J495" t="n">
        <v>0</v>
      </c>
      <c r="K495" t="n">
        <v>0</v>
      </c>
      <c r="L495" t="n">
        <v>0</v>
      </c>
      <c r="M495" t="n">
        <v>0</v>
      </c>
      <c r="N495" t="n">
        <v>0</v>
      </c>
      <c r="O495" t="n">
        <v>0</v>
      </c>
      <c r="P495" t="n">
        <v>0</v>
      </c>
      <c r="Q495" t="n">
        <v>0</v>
      </c>
      <c r="R495" s="2" t="inlineStr"/>
    </row>
    <row r="496" ht="15" customHeight="1">
      <c r="A496" t="inlineStr">
        <is>
          <t>A 7724-2025</t>
        </is>
      </c>
      <c r="B496" s="1" t="n">
        <v>45706</v>
      </c>
      <c r="C496" s="1" t="n">
        <v>45900</v>
      </c>
      <c r="D496" t="inlineStr">
        <is>
          <t>JÄMTLANDS LÄN</t>
        </is>
      </c>
      <c r="E496" t="inlineStr">
        <is>
          <t>KROKOM</t>
        </is>
      </c>
      <c r="G496" t="n">
        <v>1.8</v>
      </c>
      <c r="H496" t="n">
        <v>0</v>
      </c>
      <c r="I496" t="n">
        <v>0</v>
      </c>
      <c r="J496" t="n">
        <v>0</v>
      </c>
      <c r="K496" t="n">
        <v>0</v>
      </c>
      <c r="L496" t="n">
        <v>0</v>
      </c>
      <c r="M496" t="n">
        <v>0</v>
      </c>
      <c r="N496" t="n">
        <v>0</v>
      </c>
      <c r="O496" t="n">
        <v>0</v>
      </c>
      <c r="P496" t="n">
        <v>0</v>
      </c>
      <c r="Q496" t="n">
        <v>0</v>
      </c>
      <c r="R496" s="2" t="inlineStr"/>
    </row>
    <row r="497" ht="15" customHeight="1">
      <c r="A497" t="inlineStr">
        <is>
          <t>A 1119-2025</t>
        </is>
      </c>
      <c r="B497" s="1" t="n">
        <v>45666.65987268519</v>
      </c>
      <c r="C497" s="1" t="n">
        <v>45900</v>
      </c>
      <c r="D497" t="inlineStr">
        <is>
          <t>JÄMTLANDS LÄN</t>
        </is>
      </c>
      <c r="E497" t="inlineStr">
        <is>
          <t>KROKOM</t>
        </is>
      </c>
      <c r="G497" t="n">
        <v>1.6</v>
      </c>
      <c r="H497" t="n">
        <v>0</v>
      </c>
      <c r="I497" t="n">
        <v>0</v>
      </c>
      <c r="J497" t="n">
        <v>0</v>
      </c>
      <c r="K497" t="n">
        <v>0</v>
      </c>
      <c r="L497" t="n">
        <v>0</v>
      </c>
      <c r="M497" t="n">
        <v>0</v>
      </c>
      <c r="N497" t="n">
        <v>0</v>
      </c>
      <c r="O497" t="n">
        <v>0</v>
      </c>
      <c r="P497" t="n">
        <v>0</v>
      </c>
      <c r="Q497" t="n">
        <v>0</v>
      </c>
      <c r="R497" s="2" t="inlineStr"/>
    </row>
    <row r="498" ht="15" customHeight="1">
      <c r="A498" t="inlineStr">
        <is>
          <t>A 58136-2024</t>
        </is>
      </c>
      <c r="B498" s="1" t="n">
        <v>45632</v>
      </c>
      <c r="C498" s="1" t="n">
        <v>45900</v>
      </c>
      <c r="D498" t="inlineStr">
        <is>
          <t>JÄMTLANDS LÄN</t>
        </is>
      </c>
      <c r="E498" t="inlineStr">
        <is>
          <t>KROKOM</t>
        </is>
      </c>
      <c r="G498" t="n">
        <v>3.3</v>
      </c>
      <c r="H498" t="n">
        <v>0</v>
      </c>
      <c r="I498" t="n">
        <v>0</v>
      </c>
      <c r="J498" t="n">
        <v>0</v>
      </c>
      <c r="K498" t="n">
        <v>0</v>
      </c>
      <c r="L498" t="n">
        <v>0</v>
      </c>
      <c r="M498" t="n">
        <v>0</v>
      </c>
      <c r="N498" t="n">
        <v>0</v>
      </c>
      <c r="O498" t="n">
        <v>0</v>
      </c>
      <c r="P498" t="n">
        <v>0</v>
      </c>
      <c r="Q498" t="n">
        <v>0</v>
      </c>
      <c r="R498" s="2" t="inlineStr"/>
    </row>
    <row r="499" ht="15" customHeight="1">
      <c r="A499" t="inlineStr">
        <is>
          <t>A 34517-2024</t>
        </is>
      </c>
      <c r="B499" s="1" t="n">
        <v>45525</v>
      </c>
      <c r="C499" s="1" t="n">
        <v>45900</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31655-2025</t>
        </is>
      </c>
      <c r="B500" s="1" t="n">
        <v>45834.34737268519</v>
      </c>
      <c r="C500" s="1" t="n">
        <v>45900</v>
      </c>
      <c r="D500" t="inlineStr">
        <is>
          <t>JÄMTLANDS LÄN</t>
        </is>
      </c>
      <c r="E500" t="inlineStr">
        <is>
          <t>KROKOM</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31543-2025</t>
        </is>
      </c>
      <c r="B501" s="1" t="n">
        <v>45833.63579861111</v>
      </c>
      <c r="C501" s="1" t="n">
        <v>45900</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31426-2025</t>
        </is>
      </c>
      <c r="B502" s="1" t="n">
        <v>45833.49052083334</v>
      </c>
      <c r="C502" s="1" t="n">
        <v>45900</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31427-2025</t>
        </is>
      </c>
      <c r="B503" s="1" t="n">
        <v>45833.49057870371</v>
      </c>
      <c r="C503" s="1" t="n">
        <v>45900</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2236-2024</t>
        </is>
      </c>
      <c r="B504" s="1" t="n">
        <v>45309.94650462963</v>
      </c>
      <c r="C504" s="1" t="n">
        <v>45900</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29986-2023</t>
        </is>
      </c>
      <c r="B505" s="1" t="n">
        <v>45109.44534722222</v>
      </c>
      <c r="C505" s="1" t="n">
        <v>45900</v>
      </c>
      <c r="D505" t="inlineStr">
        <is>
          <t>JÄMTLANDS LÄN</t>
        </is>
      </c>
      <c r="E505" t="inlineStr">
        <is>
          <t>KROKOM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45822-2023</t>
        </is>
      </c>
      <c r="B506" s="1" t="n">
        <v>45195</v>
      </c>
      <c r="C506" s="1" t="n">
        <v>45900</v>
      </c>
      <c r="D506" t="inlineStr">
        <is>
          <t>JÄMTLANDS LÄN</t>
        </is>
      </c>
      <c r="E506" t="inlineStr">
        <is>
          <t>KROKOM</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57985-2024</t>
        </is>
      </c>
      <c r="B507" s="1" t="n">
        <v>45631.61869212963</v>
      </c>
      <c r="C507" s="1" t="n">
        <v>45900</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6015-2025</t>
        </is>
      </c>
      <c r="B508" s="1" t="n">
        <v>45695.60015046296</v>
      </c>
      <c r="C508" s="1" t="n">
        <v>45900</v>
      </c>
      <c r="D508" t="inlineStr">
        <is>
          <t>JÄMTLANDS LÄN</t>
        </is>
      </c>
      <c r="E508" t="inlineStr">
        <is>
          <t>KROKOM</t>
        </is>
      </c>
      <c r="F508" t="inlineStr">
        <is>
          <t>Övriga Aktiebolag</t>
        </is>
      </c>
      <c r="G508" t="n">
        <v>15.5</v>
      </c>
      <c r="H508" t="n">
        <v>0</v>
      </c>
      <c r="I508" t="n">
        <v>0</v>
      </c>
      <c r="J508" t="n">
        <v>0</v>
      </c>
      <c r="K508" t="n">
        <v>0</v>
      </c>
      <c r="L508" t="n">
        <v>0</v>
      </c>
      <c r="M508" t="n">
        <v>0</v>
      </c>
      <c r="N508" t="n">
        <v>0</v>
      </c>
      <c r="O508" t="n">
        <v>0</v>
      </c>
      <c r="P508" t="n">
        <v>0</v>
      </c>
      <c r="Q508" t="n">
        <v>0</v>
      </c>
      <c r="R508" s="2" t="inlineStr"/>
    </row>
    <row r="509" ht="15" customHeight="1">
      <c r="A509" t="inlineStr">
        <is>
          <t>A 50719-2024</t>
        </is>
      </c>
      <c r="B509" s="1" t="n">
        <v>45602.38614583333</v>
      </c>
      <c r="C509" s="1" t="n">
        <v>45900</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50738-2024</t>
        </is>
      </c>
      <c r="B510" s="1" t="n">
        <v>45602.39862268518</v>
      </c>
      <c r="C510" s="1" t="n">
        <v>45900</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50755-2024</t>
        </is>
      </c>
      <c r="B511" s="1" t="n">
        <v>45602.42878472222</v>
      </c>
      <c r="C511" s="1" t="n">
        <v>45900</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8369-2023</t>
        </is>
      </c>
      <c r="B512" s="1" t="n">
        <v>44971</v>
      </c>
      <c r="C512" s="1" t="n">
        <v>45900</v>
      </c>
      <c r="D512" t="inlineStr">
        <is>
          <t>JÄMTLANDS LÄN</t>
        </is>
      </c>
      <c r="E512" t="inlineStr">
        <is>
          <t>KROKOM</t>
        </is>
      </c>
      <c r="G512" t="n">
        <v>47.2</v>
      </c>
      <c r="H512" t="n">
        <v>0</v>
      </c>
      <c r="I512" t="n">
        <v>0</v>
      </c>
      <c r="J512" t="n">
        <v>0</v>
      </c>
      <c r="K512" t="n">
        <v>0</v>
      </c>
      <c r="L512" t="n">
        <v>0</v>
      </c>
      <c r="M512" t="n">
        <v>0</v>
      </c>
      <c r="N512" t="n">
        <v>0</v>
      </c>
      <c r="O512" t="n">
        <v>0</v>
      </c>
      <c r="P512" t="n">
        <v>0</v>
      </c>
      <c r="Q512" t="n">
        <v>0</v>
      </c>
      <c r="R512" s="2" t="inlineStr"/>
    </row>
    <row r="513" ht="15" customHeight="1">
      <c r="A513" t="inlineStr">
        <is>
          <t>A 56328-2023</t>
        </is>
      </c>
      <c r="B513" s="1" t="n">
        <v>45243.33297453704</v>
      </c>
      <c r="C513" s="1" t="n">
        <v>45900</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35257-2023</t>
        </is>
      </c>
      <c r="B514" s="1" t="n">
        <v>45145.95255787037</v>
      </c>
      <c r="C514" s="1" t="n">
        <v>45900</v>
      </c>
      <c r="D514" t="inlineStr">
        <is>
          <t>JÄMTLANDS LÄN</t>
        </is>
      </c>
      <c r="E514" t="inlineStr">
        <is>
          <t>KROKOM</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39169-2023</t>
        </is>
      </c>
      <c r="B515" s="1" t="n">
        <v>45166</v>
      </c>
      <c r="C515" s="1" t="n">
        <v>45900</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36577-2021</t>
        </is>
      </c>
      <c r="B516" s="1" t="n">
        <v>44391</v>
      </c>
      <c r="C516" s="1" t="n">
        <v>45900</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46785-2024</t>
        </is>
      </c>
      <c r="B517" s="1" t="n">
        <v>45583.52885416667</v>
      </c>
      <c r="C517" s="1" t="n">
        <v>45900</v>
      </c>
      <c r="D517" t="inlineStr">
        <is>
          <t>JÄMTLANDS LÄN</t>
        </is>
      </c>
      <c r="E517" t="inlineStr">
        <is>
          <t>KROKOM</t>
        </is>
      </c>
      <c r="G517" t="n">
        <v>3.4</v>
      </c>
      <c r="H517" t="n">
        <v>0</v>
      </c>
      <c r="I517" t="n">
        <v>0</v>
      </c>
      <c r="J517" t="n">
        <v>0</v>
      </c>
      <c r="K517" t="n">
        <v>0</v>
      </c>
      <c r="L517" t="n">
        <v>0</v>
      </c>
      <c r="M517" t="n">
        <v>0</v>
      </c>
      <c r="N517" t="n">
        <v>0</v>
      </c>
      <c r="O517" t="n">
        <v>0</v>
      </c>
      <c r="P517" t="n">
        <v>0</v>
      </c>
      <c r="Q517" t="n">
        <v>0</v>
      </c>
      <c r="R517" s="2" t="inlineStr"/>
    </row>
    <row r="518" ht="15" customHeight="1">
      <c r="A518" t="inlineStr">
        <is>
          <t>A 23288-2025</t>
        </is>
      </c>
      <c r="B518" s="1" t="n">
        <v>45791</v>
      </c>
      <c r="C518" s="1" t="n">
        <v>45900</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23080-2025</t>
        </is>
      </c>
      <c r="B519" s="1" t="n">
        <v>45791.3162037037</v>
      </c>
      <c r="C519" s="1" t="n">
        <v>45900</v>
      </c>
      <c r="D519" t="inlineStr">
        <is>
          <t>JÄMTLANDS LÄN</t>
        </is>
      </c>
      <c r="E519" t="inlineStr">
        <is>
          <t>KROKOM</t>
        </is>
      </c>
      <c r="G519" t="n">
        <v>1.7</v>
      </c>
      <c r="H519" t="n">
        <v>0</v>
      </c>
      <c r="I519" t="n">
        <v>0</v>
      </c>
      <c r="J519" t="n">
        <v>0</v>
      </c>
      <c r="K519" t="n">
        <v>0</v>
      </c>
      <c r="L519" t="n">
        <v>0</v>
      </c>
      <c r="M519" t="n">
        <v>0</v>
      </c>
      <c r="N519" t="n">
        <v>0</v>
      </c>
      <c r="O519" t="n">
        <v>0</v>
      </c>
      <c r="P519" t="n">
        <v>0</v>
      </c>
      <c r="Q519" t="n">
        <v>0</v>
      </c>
      <c r="R519" s="2" t="inlineStr"/>
    </row>
    <row r="520" ht="15" customHeight="1">
      <c r="A520" t="inlineStr">
        <is>
          <t>A 64299-2021</t>
        </is>
      </c>
      <c r="B520" s="1" t="n">
        <v>44510.9491087963</v>
      </c>
      <c r="C520" s="1" t="n">
        <v>45900</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7787-2025</t>
        </is>
      </c>
      <c r="B521" s="1" t="n">
        <v>45706.59251157408</v>
      </c>
      <c r="C521" s="1" t="n">
        <v>45900</v>
      </c>
      <c r="D521" t="inlineStr">
        <is>
          <t>JÄMTLANDS LÄN</t>
        </is>
      </c>
      <c r="E521" t="inlineStr">
        <is>
          <t>KROKOM</t>
        </is>
      </c>
      <c r="F521" t="inlineStr">
        <is>
          <t>Övriga Aktiebolag</t>
        </is>
      </c>
      <c r="G521" t="n">
        <v>16.8</v>
      </c>
      <c r="H521" t="n">
        <v>0</v>
      </c>
      <c r="I521" t="n">
        <v>0</v>
      </c>
      <c r="J521" t="n">
        <v>0</v>
      </c>
      <c r="K521" t="n">
        <v>0</v>
      </c>
      <c r="L521" t="n">
        <v>0</v>
      </c>
      <c r="M521" t="n">
        <v>0</v>
      </c>
      <c r="N521" t="n">
        <v>0</v>
      </c>
      <c r="O521" t="n">
        <v>0</v>
      </c>
      <c r="P521" t="n">
        <v>0</v>
      </c>
      <c r="Q521" t="n">
        <v>0</v>
      </c>
      <c r="R521" s="2" t="inlineStr"/>
    </row>
    <row r="522" ht="15" customHeight="1">
      <c r="A522" t="inlineStr">
        <is>
          <t>A 52258-2022</t>
        </is>
      </c>
      <c r="B522" s="1" t="n">
        <v>44873</v>
      </c>
      <c r="C522" s="1" t="n">
        <v>45900</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58487-2024</t>
        </is>
      </c>
      <c r="B523" s="1" t="n">
        <v>45635.39820601852</v>
      </c>
      <c r="C523" s="1" t="n">
        <v>45900</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45900</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24062-2025</t>
        </is>
      </c>
      <c r="B525" s="1" t="n">
        <v>45796.52836805556</v>
      </c>
      <c r="C525" s="1" t="n">
        <v>45900</v>
      </c>
      <c r="D525" t="inlineStr">
        <is>
          <t>JÄMTLANDS LÄN</t>
        </is>
      </c>
      <c r="E525" t="inlineStr">
        <is>
          <t>KROKOM</t>
        </is>
      </c>
      <c r="G525" t="n">
        <v>33</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45900</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12412-2024</t>
        </is>
      </c>
      <c r="B527" s="1" t="n">
        <v>45378</v>
      </c>
      <c r="C527" s="1" t="n">
        <v>45900</v>
      </c>
      <c r="D527" t="inlineStr">
        <is>
          <t>JÄMTLANDS LÄN</t>
        </is>
      </c>
      <c r="E527" t="inlineStr">
        <is>
          <t>KROKOM</t>
        </is>
      </c>
      <c r="G527" t="n">
        <v>1.9</v>
      </c>
      <c r="H527" t="n">
        <v>0</v>
      </c>
      <c r="I527" t="n">
        <v>0</v>
      </c>
      <c r="J527" t="n">
        <v>0</v>
      </c>
      <c r="K527" t="n">
        <v>0</v>
      </c>
      <c r="L527" t="n">
        <v>0</v>
      </c>
      <c r="M527" t="n">
        <v>0</v>
      </c>
      <c r="N527" t="n">
        <v>0</v>
      </c>
      <c r="O527" t="n">
        <v>0</v>
      </c>
      <c r="P527" t="n">
        <v>0</v>
      </c>
      <c r="Q527" t="n">
        <v>0</v>
      </c>
      <c r="R527" s="2" t="inlineStr"/>
    </row>
    <row r="528" ht="15" customHeight="1">
      <c r="A528" t="inlineStr">
        <is>
          <t>A 28210-2024</t>
        </is>
      </c>
      <c r="B528" s="1" t="n">
        <v>45477.35225694445</v>
      </c>
      <c r="C528" s="1" t="n">
        <v>45900</v>
      </c>
      <c r="D528" t="inlineStr">
        <is>
          <t>JÄMTLANDS LÄN</t>
        </is>
      </c>
      <c r="E528" t="inlineStr">
        <is>
          <t>KROKOM</t>
        </is>
      </c>
      <c r="F528" t="inlineStr">
        <is>
          <t>Övriga Aktiebolag</t>
        </is>
      </c>
      <c r="G528" t="n">
        <v>0.1</v>
      </c>
      <c r="H528" t="n">
        <v>0</v>
      </c>
      <c r="I528" t="n">
        <v>0</v>
      </c>
      <c r="J528" t="n">
        <v>0</v>
      </c>
      <c r="K528" t="n">
        <v>0</v>
      </c>
      <c r="L528" t="n">
        <v>0</v>
      </c>
      <c r="M528" t="n">
        <v>0</v>
      </c>
      <c r="N528" t="n">
        <v>0</v>
      </c>
      <c r="O528" t="n">
        <v>0</v>
      </c>
      <c r="P528" t="n">
        <v>0</v>
      </c>
      <c r="Q528" t="n">
        <v>0</v>
      </c>
      <c r="R528" s="2" t="inlineStr"/>
    </row>
    <row r="529" ht="15" customHeight="1">
      <c r="A529" t="inlineStr">
        <is>
          <t>A 3231-2022</t>
        </is>
      </c>
      <c r="B529" s="1" t="n">
        <v>44582</v>
      </c>
      <c r="C529" s="1" t="n">
        <v>45900</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10646-2025</t>
        </is>
      </c>
      <c r="B530" s="1" t="n">
        <v>45721.66456018519</v>
      </c>
      <c r="C530" s="1" t="n">
        <v>45900</v>
      </c>
      <c r="D530" t="inlineStr">
        <is>
          <t>JÄMTLANDS LÄN</t>
        </is>
      </c>
      <c r="E530" t="inlineStr">
        <is>
          <t>KROKOM</t>
        </is>
      </c>
      <c r="G530" t="n">
        <v>3.1</v>
      </c>
      <c r="H530" t="n">
        <v>0</v>
      </c>
      <c r="I530" t="n">
        <v>0</v>
      </c>
      <c r="J530" t="n">
        <v>0</v>
      </c>
      <c r="K530" t="n">
        <v>0</v>
      </c>
      <c r="L530" t="n">
        <v>0</v>
      </c>
      <c r="M530" t="n">
        <v>0</v>
      </c>
      <c r="N530" t="n">
        <v>0</v>
      </c>
      <c r="O530" t="n">
        <v>0</v>
      </c>
      <c r="P530" t="n">
        <v>0</v>
      </c>
      <c r="Q530" t="n">
        <v>0</v>
      </c>
      <c r="R530" s="2" t="inlineStr"/>
    </row>
    <row r="531" ht="15" customHeight="1">
      <c r="A531" t="inlineStr">
        <is>
          <t>A 29477-2024</t>
        </is>
      </c>
      <c r="B531" s="1" t="n">
        <v>45484</v>
      </c>
      <c r="C531" s="1" t="n">
        <v>45900</v>
      </c>
      <c r="D531" t="inlineStr">
        <is>
          <t>JÄMTLANDS LÄN</t>
        </is>
      </c>
      <c r="E531" t="inlineStr">
        <is>
          <t>KROKOM</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45900</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53540-2024</t>
        </is>
      </c>
      <c r="B533" s="1" t="n">
        <v>45614.63575231482</v>
      </c>
      <c r="C533" s="1" t="n">
        <v>45900</v>
      </c>
      <c r="D533" t="inlineStr">
        <is>
          <t>JÄMTLANDS LÄN</t>
        </is>
      </c>
      <c r="E533" t="inlineStr">
        <is>
          <t>KROKOM</t>
        </is>
      </c>
      <c r="G533" t="n">
        <v>4.7</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45900</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35720-2024</t>
        </is>
      </c>
      <c r="B535" s="1" t="n">
        <v>45532.48732638889</v>
      </c>
      <c r="C535" s="1" t="n">
        <v>45900</v>
      </c>
      <c r="D535" t="inlineStr">
        <is>
          <t>JÄMTLANDS LÄN</t>
        </is>
      </c>
      <c r="E535" t="inlineStr">
        <is>
          <t>KROKOM</t>
        </is>
      </c>
      <c r="G535" t="n">
        <v>3.2</v>
      </c>
      <c r="H535" t="n">
        <v>0</v>
      </c>
      <c r="I535" t="n">
        <v>0</v>
      </c>
      <c r="J535" t="n">
        <v>0</v>
      </c>
      <c r="K535" t="n">
        <v>0</v>
      </c>
      <c r="L535" t="n">
        <v>0</v>
      </c>
      <c r="M535" t="n">
        <v>0</v>
      </c>
      <c r="N535" t="n">
        <v>0</v>
      </c>
      <c r="O535" t="n">
        <v>0</v>
      </c>
      <c r="P535" t="n">
        <v>0</v>
      </c>
      <c r="Q535" t="n">
        <v>0</v>
      </c>
      <c r="R535" s="2" t="inlineStr"/>
    </row>
    <row r="536" ht="15" customHeight="1">
      <c r="A536" t="inlineStr">
        <is>
          <t>A 66880-2021</t>
        </is>
      </c>
      <c r="B536" s="1" t="n">
        <v>44522.46662037037</v>
      </c>
      <c r="C536" s="1" t="n">
        <v>45900</v>
      </c>
      <c r="D536" t="inlineStr">
        <is>
          <t>JÄMTLANDS LÄN</t>
        </is>
      </c>
      <c r="E536" t="inlineStr">
        <is>
          <t>KROKOM</t>
        </is>
      </c>
      <c r="G536" t="n">
        <v>2</v>
      </c>
      <c r="H536" t="n">
        <v>0</v>
      </c>
      <c r="I536" t="n">
        <v>0</v>
      </c>
      <c r="J536" t="n">
        <v>0</v>
      </c>
      <c r="K536" t="n">
        <v>0</v>
      </c>
      <c r="L536" t="n">
        <v>0</v>
      </c>
      <c r="M536" t="n">
        <v>0</v>
      </c>
      <c r="N536" t="n">
        <v>0</v>
      </c>
      <c r="O536" t="n">
        <v>0</v>
      </c>
      <c r="P536" t="n">
        <v>0</v>
      </c>
      <c r="Q536" t="n">
        <v>0</v>
      </c>
      <c r="R536" s="2" t="inlineStr"/>
    </row>
    <row r="537" ht="15" customHeight="1">
      <c r="A537" t="inlineStr">
        <is>
          <t>A 6148-2025</t>
        </is>
      </c>
      <c r="B537" s="1" t="n">
        <v>45698.40146990741</v>
      </c>
      <c r="C537" s="1" t="n">
        <v>45900</v>
      </c>
      <c r="D537" t="inlineStr">
        <is>
          <t>JÄMTLANDS LÄN</t>
        </is>
      </c>
      <c r="E537" t="inlineStr">
        <is>
          <t>KROKOM</t>
        </is>
      </c>
      <c r="G537" t="n">
        <v>43.6</v>
      </c>
      <c r="H537" t="n">
        <v>0</v>
      </c>
      <c r="I537" t="n">
        <v>0</v>
      </c>
      <c r="J537" t="n">
        <v>0</v>
      </c>
      <c r="K537" t="n">
        <v>0</v>
      </c>
      <c r="L537" t="n">
        <v>0</v>
      </c>
      <c r="M537" t="n">
        <v>0</v>
      </c>
      <c r="N537" t="n">
        <v>0</v>
      </c>
      <c r="O537" t="n">
        <v>0</v>
      </c>
      <c r="P537" t="n">
        <v>0</v>
      </c>
      <c r="Q537" t="n">
        <v>0</v>
      </c>
      <c r="R537" s="2" t="inlineStr"/>
    </row>
    <row r="538" ht="15" customHeight="1">
      <c r="A538" t="inlineStr">
        <is>
          <t>A 280-2025</t>
        </is>
      </c>
      <c r="B538" s="1" t="n">
        <v>45660.49618055556</v>
      </c>
      <c r="C538" s="1" t="n">
        <v>45900</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24103-2025</t>
        </is>
      </c>
      <c r="B539" s="1" t="n">
        <v>45796.59857638889</v>
      </c>
      <c r="C539" s="1" t="n">
        <v>45900</v>
      </c>
      <c r="D539" t="inlineStr">
        <is>
          <t>JÄMTLANDS LÄN</t>
        </is>
      </c>
      <c r="E539" t="inlineStr">
        <is>
          <t>KROKOM</t>
        </is>
      </c>
      <c r="G539" t="n">
        <v>2.1</v>
      </c>
      <c r="H539" t="n">
        <v>0</v>
      </c>
      <c r="I539" t="n">
        <v>0</v>
      </c>
      <c r="J539" t="n">
        <v>0</v>
      </c>
      <c r="K539" t="n">
        <v>0</v>
      </c>
      <c r="L539" t="n">
        <v>0</v>
      </c>
      <c r="M539" t="n">
        <v>0</v>
      </c>
      <c r="N539" t="n">
        <v>0</v>
      </c>
      <c r="O539" t="n">
        <v>0</v>
      </c>
      <c r="P539" t="n">
        <v>0</v>
      </c>
      <c r="Q539" t="n">
        <v>0</v>
      </c>
      <c r="R539" s="2" t="inlineStr"/>
    </row>
    <row r="540" ht="15" customHeight="1">
      <c r="A540" t="inlineStr">
        <is>
          <t>A 7767-2025</t>
        </is>
      </c>
      <c r="B540" s="1" t="n">
        <v>45706.55993055556</v>
      </c>
      <c r="C540" s="1" t="n">
        <v>45900</v>
      </c>
      <c r="D540" t="inlineStr">
        <is>
          <t>JÄMTLANDS LÄN</t>
        </is>
      </c>
      <c r="E540" t="inlineStr">
        <is>
          <t>KROKOM</t>
        </is>
      </c>
      <c r="G540" t="n">
        <v>2.1</v>
      </c>
      <c r="H540" t="n">
        <v>0</v>
      </c>
      <c r="I540" t="n">
        <v>0</v>
      </c>
      <c r="J540" t="n">
        <v>0</v>
      </c>
      <c r="K540" t="n">
        <v>0</v>
      </c>
      <c r="L540" t="n">
        <v>0</v>
      </c>
      <c r="M540" t="n">
        <v>0</v>
      </c>
      <c r="N540" t="n">
        <v>0</v>
      </c>
      <c r="O540" t="n">
        <v>0</v>
      </c>
      <c r="P540" t="n">
        <v>0</v>
      </c>
      <c r="Q540" t="n">
        <v>0</v>
      </c>
      <c r="R540" s="2" t="inlineStr"/>
    </row>
    <row r="541" ht="15" customHeight="1">
      <c r="A541" t="inlineStr">
        <is>
          <t>A 233-2023</t>
        </is>
      </c>
      <c r="B541" s="1" t="n">
        <v>44922</v>
      </c>
      <c r="C541" s="1" t="n">
        <v>45900</v>
      </c>
      <c r="D541" t="inlineStr">
        <is>
          <t>JÄMTLANDS LÄN</t>
        </is>
      </c>
      <c r="E541" t="inlineStr">
        <is>
          <t>KROKOM</t>
        </is>
      </c>
      <c r="G541" t="n">
        <v>0.6</v>
      </c>
      <c r="H541" t="n">
        <v>0</v>
      </c>
      <c r="I541" t="n">
        <v>0</v>
      </c>
      <c r="J541" t="n">
        <v>0</v>
      </c>
      <c r="K541" t="n">
        <v>0</v>
      </c>
      <c r="L541" t="n">
        <v>0</v>
      </c>
      <c r="M541" t="n">
        <v>0</v>
      </c>
      <c r="N541" t="n">
        <v>0</v>
      </c>
      <c r="O541" t="n">
        <v>0</v>
      </c>
      <c r="P541" t="n">
        <v>0</v>
      </c>
      <c r="Q541" t="n">
        <v>0</v>
      </c>
      <c r="R541" s="2" t="inlineStr"/>
    </row>
    <row r="542" ht="15" customHeight="1">
      <c r="A542" t="inlineStr">
        <is>
          <t>A 52086-2024</t>
        </is>
      </c>
      <c r="B542" s="1" t="n">
        <v>45608</v>
      </c>
      <c r="C542" s="1" t="n">
        <v>45900</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5998-2025</t>
        </is>
      </c>
      <c r="B543" s="1" t="n">
        <v>45695.57171296296</v>
      </c>
      <c r="C543" s="1" t="n">
        <v>45900</v>
      </c>
      <c r="D543" t="inlineStr">
        <is>
          <t>JÄMTLANDS LÄN</t>
        </is>
      </c>
      <c r="E543" t="inlineStr">
        <is>
          <t>KROKOM</t>
        </is>
      </c>
      <c r="F543" t="inlineStr">
        <is>
          <t>Övriga Aktiebolag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39490-2022</t>
        </is>
      </c>
      <c r="B544" s="1" t="n">
        <v>44818</v>
      </c>
      <c r="C544" s="1" t="n">
        <v>45900</v>
      </c>
      <c r="D544" t="inlineStr">
        <is>
          <t>JÄMTLANDS LÄN</t>
        </is>
      </c>
      <c r="E544" t="inlineStr">
        <is>
          <t>KROKOM</t>
        </is>
      </c>
      <c r="G544" t="n">
        <v>11.9</v>
      </c>
      <c r="H544" t="n">
        <v>0</v>
      </c>
      <c r="I544" t="n">
        <v>0</v>
      </c>
      <c r="J544" t="n">
        <v>0</v>
      </c>
      <c r="K544" t="n">
        <v>0</v>
      </c>
      <c r="L544" t="n">
        <v>0</v>
      </c>
      <c r="M544" t="n">
        <v>0</v>
      </c>
      <c r="N544" t="n">
        <v>0</v>
      </c>
      <c r="O544" t="n">
        <v>0</v>
      </c>
      <c r="P544" t="n">
        <v>0</v>
      </c>
      <c r="Q544" t="n">
        <v>0</v>
      </c>
      <c r="R544" s="2" t="inlineStr"/>
    </row>
    <row r="545" ht="15" customHeight="1">
      <c r="A545" t="inlineStr">
        <is>
          <t>A 9043-2025</t>
        </is>
      </c>
      <c r="B545" s="1" t="n">
        <v>45713</v>
      </c>
      <c r="C545" s="1" t="n">
        <v>45900</v>
      </c>
      <c r="D545" t="inlineStr">
        <is>
          <t>JÄMTLANDS LÄN</t>
        </is>
      </c>
      <c r="E545" t="inlineStr">
        <is>
          <t>KROKOM</t>
        </is>
      </c>
      <c r="F545" t="inlineStr">
        <is>
          <t>Övriga Aktiebolag</t>
        </is>
      </c>
      <c r="G545" t="n">
        <v>43.6</v>
      </c>
      <c r="H545" t="n">
        <v>0</v>
      </c>
      <c r="I545" t="n">
        <v>0</v>
      </c>
      <c r="J545" t="n">
        <v>0</v>
      </c>
      <c r="K545" t="n">
        <v>0</v>
      </c>
      <c r="L545" t="n">
        <v>0</v>
      </c>
      <c r="M545" t="n">
        <v>0</v>
      </c>
      <c r="N545" t="n">
        <v>0</v>
      </c>
      <c r="O545" t="n">
        <v>0</v>
      </c>
      <c r="P545" t="n">
        <v>0</v>
      </c>
      <c r="Q545" t="n">
        <v>0</v>
      </c>
      <c r="R545" s="2" t="inlineStr"/>
    </row>
    <row r="546" ht="15" customHeight="1">
      <c r="A546" t="inlineStr">
        <is>
          <t>A 24649-2025</t>
        </is>
      </c>
      <c r="B546" s="1" t="n">
        <v>45798.63611111111</v>
      </c>
      <c r="C546" s="1" t="n">
        <v>45900</v>
      </c>
      <c r="D546" t="inlineStr">
        <is>
          <t>JÄMTLANDS LÄN</t>
        </is>
      </c>
      <c r="E546" t="inlineStr">
        <is>
          <t>KROKOM</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24648-2025</t>
        </is>
      </c>
      <c r="B547" s="1" t="n">
        <v>45798.63596064815</v>
      </c>
      <c r="C547" s="1" t="n">
        <v>45900</v>
      </c>
      <c r="D547" t="inlineStr">
        <is>
          <t>JÄMTLANDS LÄN</t>
        </is>
      </c>
      <c r="E547" t="inlineStr">
        <is>
          <t>KROKOM</t>
        </is>
      </c>
      <c r="F547" t="inlineStr">
        <is>
          <t>SCA</t>
        </is>
      </c>
      <c r="G547" t="n">
        <v>12.5</v>
      </c>
      <c r="H547" t="n">
        <v>0</v>
      </c>
      <c r="I547" t="n">
        <v>0</v>
      </c>
      <c r="J547" t="n">
        <v>0</v>
      </c>
      <c r="K547" t="n">
        <v>0</v>
      </c>
      <c r="L547" t="n">
        <v>0</v>
      </c>
      <c r="M547" t="n">
        <v>0</v>
      </c>
      <c r="N547" t="n">
        <v>0</v>
      </c>
      <c r="O547" t="n">
        <v>0</v>
      </c>
      <c r="P547" t="n">
        <v>0</v>
      </c>
      <c r="Q547" t="n">
        <v>0</v>
      </c>
      <c r="R547" s="2" t="inlineStr"/>
    </row>
    <row r="548" ht="15" customHeight="1">
      <c r="A548" t="inlineStr">
        <is>
          <t>A 32244-2024</t>
        </is>
      </c>
      <c r="B548" s="1" t="n">
        <v>45511.95109953704</v>
      </c>
      <c r="C548" s="1" t="n">
        <v>45900</v>
      </c>
      <c r="D548" t="inlineStr">
        <is>
          <t>JÄMTLANDS LÄN</t>
        </is>
      </c>
      <c r="E548" t="inlineStr">
        <is>
          <t>KROKOM</t>
        </is>
      </c>
      <c r="G548" t="n">
        <v>3.1</v>
      </c>
      <c r="H548" t="n">
        <v>0</v>
      </c>
      <c r="I548" t="n">
        <v>0</v>
      </c>
      <c r="J548" t="n">
        <v>0</v>
      </c>
      <c r="K548" t="n">
        <v>0</v>
      </c>
      <c r="L548" t="n">
        <v>0</v>
      </c>
      <c r="M548" t="n">
        <v>0</v>
      </c>
      <c r="N548" t="n">
        <v>0</v>
      </c>
      <c r="O548" t="n">
        <v>0</v>
      </c>
      <c r="P548" t="n">
        <v>0</v>
      </c>
      <c r="Q548" t="n">
        <v>0</v>
      </c>
      <c r="R548" s="2" t="inlineStr"/>
    </row>
    <row r="549" ht="15" customHeight="1">
      <c r="A549" t="inlineStr">
        <is>
          <t>A 27954-2024</t>
        </is>
      </c>
      <c r="B549" s="1" t="n">
        <v>45476</v>
      </c>
      <c r="C549" s="1" t="n">
        <v>45900</v>
      </c>
      <c r="D549" t="inlineStr">
        <is>
          <t>JÄMTLANDS LÄN</t>
        </is>
      </c>
      <c r="E549" t="inlineStr">
        <is>
          <t>KROKOM</t>
        </is>
      </c>
      <c r="G549" t="n">
        <v>0.1</v>
      </c>
      <c r="H549" t="n">
        <v>0</v>
      </c>
      <c r="I549" t="n">
        <v>0</v>
      </c>
      <c r="J549" t="n">
        <v>0</v>
      </c>
      <c r="K549" t="n">
        <v>0</v>
      </c>
      <c r="L549" t="n">
        <v>0</v>
      </c>
      <c r="M549" t="n">
        <v>0</v>
      </c>
      <c r="N549" t="n">
        <v>0</v>
      </c>
      <c r="O549" t="n">
        <v>0</v>
      </c>
      <c r="P549" t="n">
        <v>0</v>
      </c>
      <c r="Q549" t="n">
        <v>0</v>
      </c>
      <c r="R549" s="2" t="inlineStr"/>
    </row>
    <row r="550" ht="15" customHeight="1">
      <c r="A550" t="inlineStr">
        <is>
          <t>A 51060-2024</t>
        </is>
      </c>
      <c r="B550" s="1" t="n">
        <v>45603.44815972223</v>
      </c>
      <c r="C550" s="1" t="n">
        <v>45900</v>
      </c>
      <c r="D550" t="inlineStr">
        <is>
          <t>JÄMTLANDS LÄN</t>
        </is>
      </c>
      <c r="E550" t="inlineStr">
        <is>
          <t>KROKOM</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60487-2024</t>
        </is>
      </c>
      <c r="B551" s="1" t="n">
        <v>45643.64706018518</v>
      </c>
      <c r="C551" s="1" t="n">
        <v>45900</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25302-2025</t>
        </is>
      </c>
      <c r="B552" s="1" t="n">
        <v>45800.57129629629</v>
      </c>
      <c r="C552" s="1" t="n">
        <v>45900</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25312-2025</t>
        </is>
      </c>
      <c r="B553" s="1" t="n">
        <v>45800.57461805556</v>
      </c>
      <c r="C553" s="1" t="n">
        <v>45900</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52578-2021</t>
        </is>
      </c>
      <c r="B554" s="1" t="n">
        <v>44466.56642361111</v>
      </c>
      <c r="C554" s="1" t="n">
        <v>45900</v>
      </c>
      <c r="D554" t="inlineStr">
        <is>
          <t>JÄMTLANDS LÄN</t>
        </is>
      </c>
      <c r="E554" t="inlineStr">
        <is>
          <t>KROKOM</t>
        </is>
      </c>
      <c r="G554" t="n">
        <v>17.1</v>
      </c>
      <c r="H554" t="n">
        <v>0</v>
      </c>
      <c r="I554" t="n">
        <v>0</v>
      </c>
      <c r="J554" t="n">
        <v>0</v>
      </c>
      <c r="K554" t="n">
        <v>0</v>
      </c>
      <c r="L554" t="n">
        <v>0</v>
      </c>
      <c r="M554" t="n">
        <v>0</v>
      </c>
      <c r="N554" t="n">
        <v>0</v>
      </c>
      <c r="O554" t="n">
        <v>0</v>
      </c>
      <c r="P554" t="n">
        <v>0</v>
      </c>
      <c r="Q554" t="n">
        <v>0</v>
      </c>
      <c r="R554" s="2" t="inlineStr"/>
    </row>
    <row r="555" ht="15" customHeight="1">
      <c r="A555" t="inlineStr">
        <is>
          <t>A 61230-2021</t>
        </is>
      </c>
      <c r="B555" s="1" t="n">
        <v>44498</v>
      </c>
      <c r="C555" s="1" t="n">
        <v>45900</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25268-2025</t>
        </is>
      </c>
      <c r="B556" s="1" t="n">
        <v>45800</v>
      </c>
      <c r="C556" s="1" t="n">
        <v>45900</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25119-2025</t>
        </is>
      </c>
      <c r="B557" s="1" t="n">
        <v>45800.37061342593</v>
      </c>
      <c r="C557" s="1" t="n">
        <v>45900</v>
      </c>
      <c r="D557" t="inlineStr">
        <is>
          <t>JÄMTLANDS LÄN</t>
        </is>
      </c>
      <c r="E557" t="inlineStr">
        <is>
          <t>KROKOM</t>
        </is>
      </c>
      <c r="G557" t="n">
        <v>10.4</v>
      </c>
      <c r="H557" t="n">
        <v>0</v>
      </c>
      <c r="I557" t="n">
        <v>0</v>
      </c>
      <c r="J557" t="n">
        <v>0</v>
      </c>
      <c r="K557" t="n">
        <v>0</v>
      </c>
      <c r="L557" t="n">
        <v>0</v>
      </c>
      <c r="M557" t="n">
        <v>0</v>
      </c>
      <c r="N557" t="n">
        <v>0</v>
      </c>
      <c r="O557" t="n">
        <v>0</v>
      </c>
      <c r="P557" t="n">
        <v>0</v>
      </c>
      <c r="Q557" t="n">
        <v>0</v>
      </c>
      <c r="R557" s="2" t="inlineStr"/>
    </row>
    <row r="558" ht="15" customHeight="1">
      <c r="A558" t="inlineStr">
        <is>
          <t>A 58734-2024</t>
        </is>
      </c>
      <c r="B558" s="1" t="n">
        <v>45635.67949074074</v>
      </c>
      <c r="C558" s="1" t="n">
        <v>45900</v>
      </c>
      <c r="D558" t="inlineStr">
        <is>
          <t>JÄMTLANDS LÄN</t>
        </is>
      </c>
      <c r="E558" t="inlineStr">
        <is>
          <t>KROKOM</t>
        </is>
      </c>
      <c r="G558" t="n">
        <v>3.4</v>
      </c>
      <c r="H558" t="n">
        <v>0</v>
      </c>
      <c r="I558" t="n">
        <v>0</v>
      </c>
      <c r="J558" t="n">
        <v>0</v>
      </c>
      <c r="K558" t="n">
        <v>0</v>
      </c>
      <c r="L558" t="n">
        <v>0</v>
      </c>
      <c r="M558" t="n">
        <v>0</v>
      </c>
      <c r="N558" t="n">
        <v>0</v>
      </c>
      <c r="O558" t="n">
        <v>0</v>
      </c>
      <c r="P558" t="n">
        <v>0</v>
      </c>
      <c r="Q558" t="n">
        <v>0</v>
      </c>
      <c r="R558" s="2" t="inlineStr"/>
    </row>
    <row r="559" ht="15" customHeight="1">
      <c r="A559" t="inlineStr">
        <is>
          <t>A 52111-2024</t>
        </is>
      </c>
      <c r="B559" s="1" t="n">
        <v>45608.43930555556</v>
      </c>
      <c r="C559" s="1" t="n">
        <v>45900</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25295-2025</t>
        </is>
      </c>
      <c r="B560" s="1" t="n">
        <v>45800.56810185185</v>
      </c>
      <c r="C560" s="1" t="n">
        <v>45900</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23083-2025</t>
        </is>
      </c>
      <c r="B561" s="1" t="n">
        <v>45791</v>
      </c>
      <c r="C561" s="1" t="n">
        <v>45900</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74011-2021</t>
        </is>
      </c>
      <c r="B562" s="1" t="n">
        <v>44557</v>
      </c>
      <c r="C562" s="1" t="n">
        <v>45900</v>
      </c>
      <c r="D562" t="inlineStr">
        <is>
          <t>JÄMTLANDS LÄN</t>
        </is>
      </c>
      <c r="E562" t="inlineStr">
        <is>
          <t>KROKOM</t>
        </is>
      </c>
      <c r="G562" t="n">
        <v>33.2</v>
      </c>
      <c r="H562" t="n">
        <v>0</v>
      </c>
      <c r="I562" t="n">
        <v>0</v>
      </c>
      <c r="J562" t="n">
        <v>0</v>
      </c>
      <c r="K562" t="n">
        <v>0</v>
      </c>
      <c r="L562" t="n">
        <v>0</v>
      </c>
      <c r="M562" t="n">
        <v>0</v>
      </c>
      <c r="N562" t="n">
        <v>0</v>
      </c>
      <c r="O562" t="n">
        <v>0</v>
      </c>
      <c r="P562" t="n">
        <v>0</v>
      </c>
      <c r="Q562" t="n">
        <v>0</v>
      </c>
      <c r="R562" s="2" t="inlineStr"/>
    </row>
    <row r="563" ht="15" customHeight="1">
      <c r="A563" t="inlineStr">
        <is>
          <t>A 25398-2025</t>
        </is>
      </c>
      <c r="B563" s="1" t="n">
        <v>45800.65177083333</v>
      </c>
      <c r="C563" s="1" t="n">
        <v>45900</v>
      </c>
      <c r="D563" t="inlineStr">
        <is>
          <t>JÄMTLANDS LÄN</t>
        </is>
      </c>
      <c r="E563" t="inlineStr">
        <is>
          <t>KROKOM</t>
        </is>
      </c>
      <c r="G563" t="n">
        <v>3.4</v>
      </c>
      <c r="H563" t="n">
        <v>0</v>
      </c>
      <c r="I563" t="n">
        <v>0</v>
      </c>
      <c r="J563" t="n">
        <v>0</v>
      </c>
      <c r="K563" t="n">
        <v>0</v>
      </c>
      <c r="L563" t="n">
        <v>0</v>
      </c>
      <c r="M563" t="n">
        <v>0</v>
      </c>
      <c r="N563" t="n">
        <v>0</v>
      </c>
      <c r="O563" t="n">
        <v>0</v>
      </c>
      <c r="P563" t="n">
        <v>0</v>
      </c>
      <c r="Q563" t="n">
        <v>0</v>
      </c>
      <c r="R563" s="2" t="inlineStr"/>
    </row>
    <row r="564" ht="15" customHeight="1">
      <c r="A564" t="inlineStr">
        <is>
          <t>A 25386-2025</t>
        </is>
      </c>
      <c r="B564" s="1" t="n">
        <v>45800.64319444444</v>
      </c>
      <c r="C564" s="1" t="n">
        <v>45900</v>
      </c>
      <c r="D564" t="inlineStr">
        <is>
          <t>JÄMTLANDS LÄN</t>
        </is>
      </c>
      <c r="E564" t="inlineStr">
        <is>
          <t>KROKOM</t>
        </is>
      </c>
      <c r="G564" t="n">
        <v>11.9</v>
      </c>
      <c r="H564" t="n">
        <v>0</v>
      </c>
      <c r="I564" t="n">
        <v>0</v>
      </c>
      <c r="J564" t="n">
        <v>0</v>
      </c>
      <c r="K564" t="n">
        <v>0</v>
      </c>
      <c r="L564" t="n">
        <v>0</v>
      </c>
      <c r="M564" t="n">
        <v>0</v>
      </c>
      <c r="N564" t="n">
        <v>0</v>
      </c>
      <c r="O564" t="n">
        <v>0</v>
      </c>
      <c r="P564" t="n">
        <v>0</v>
      </c>
      <c r="Q564" t="n">
        <v>0</v>
      </c>
      <c r="R564" s="2" t="inlineStr"/>
    </row>
    <row r="565" ht="15" customHeight="1">
      <c r="A565" t="inlineStr">
        <is>
          <t>A 9313-2025</t>
        </is>
      </c>
      <c r="B565" s="1" t="n">
        <v>45714.69212962963</v>
      </c>
      <c r="C565" s="1" t="n">
        <v>45900</v>
      </c>
      <c r="D565" t="inlineStr">
        <is>
          <t>JÄMTLANDS LÄN</t>
        </is>
      </c>
      <c r="E565" t="inlineStr">
        <is>
          <t>KROKOM</t>
        </is>
      </c>
      <c r="F565" t="inlineStr">
        <is>
          <t>Kyrkan</t>
        </is>
      </c>
      <c r="G565" t="n">
        <v>3.3</v>
      </c>
      <c r="H565" t="n">
        <v>0</v>
      </c>
      <c r="I565" t="n">
        <v>0</v>
      </c>
      <c r="J565" t="n">
        <v>0</v>
      </c>
      <c r="K565" t="n">
        <v>0</v>
      </c>
      <c r="L565" t="n">
        <v>0</v>
      </c>
      <c r="M565" t="n">
        <v>0</v>
      </c>
      <c r="N565" t="n">
        <v>0</v>
      </c>
      <c r="O565" t="n">
        <v>0</v>
      </c>
      <c r="P565" t="n">
        <v>0</v>
      </c>
      <c r="Q565" t="n">
        <v>0</v>
      </c>
      <c r="R565" s="2" t="inlineStr"/>
    </row>
    <row r="566" ht="15" customHeight="1">
      <c r="A566" t="inlineStr">
        <is>
          <t>A 4058-2025</t>
        </is>
      </c>
      <c r="B566" s="1" t="n">
        <v>45684.62510416667</v>
      </c>
      <c r="C566" s="1" t="n">
        <v>45900</v>
      </c>
      <c r="D566" t="inlineStr">
        <is>
          <t>JÄMTLANDS LÄN</t>
        </is>
      </c>
      <c r="E566" t="inlineStr">
        <is>
          <t>KROKOM</t>
        </is>
      </c>
      <c r="F566" t="inlineStr">
        <is>
          <t>Kyrkan</t>
        </is>
      </c>
      <c r="G566" t="n">
        <v>7.8</v>
      </c>
      <c r="H566" t="n">
        <v>0</v>
      </c>
      <c r="I566" t="n">
        <v>0</v>
      </c>
      <c r="J566" t="n">
        <v>0</v>
      </c>
      <c r="K566" t="n">
        <v>0</v>
      </c>
      <c r="L566" t="n">
        <v>0</v>
      </c>
      <c r="M566" t="n">
        <v>0</v>
      </c>
      <c r="N566" t="n">
        <v>0</v>
      </c>
      <c r="O566" t="n">
        <v>0</v>
      </c>
      <c r="P566" t="n">
        <v>0</v>
      </c>
      <c r="Q566" t="n">
        <v>0</v>
      </c>
      <c r="R566" s="2" t="inlineStr"/>
    </row>
    <row r="567" ht="15" customHeight="1">
      <c r="A567" t="inlineStr">
        <is>
          <t>A 15341-2025</t>
        </is>
      </c>
      <c r="B567" s="1" t="n">
        <v>45746</v>
      </c>
      <c r="C567" s="1" t="n">
        <v>45900</v>
      </c>
      <c r="D567" t="inlineStr">
        <is>
          <t>JÄMTLANDS LÄN</t>
        </is>
      </c>
      <c r="E567" t="inlineStr">
        <is>
          <t>KROKOM</t>
        </is>
      </c>
      <c r="F567" t="inlineStr">
        <is>
          <t>SCA</t>
        </is>
      </c>
      <c r="G567" t="n">
        <v>8</v>
      </c>
      <c r="H567" t="n">
        <v>0</v>
      </c>
      <c r="I567" t="n">
        <v>0</v>
      </c>
      <c r="J567" t="n">
        <v>0</v>
      </c>
      <c r="K567" t="n">
        <v>0</v>
      </c>
      <c r="L567" t="n">
        <v>0</v>
      </c>
      <c r="M567" t="n">
        <v>0</v>
      </c>
      <c r="N567" t="n">
        <v>0</v>
      </c>
      <c r="O567" t="n">
        <v>0</v>
      </c>
      <c r="P567" t="n">
        <v>0</v>
      </c>
      <c r="Q567" t="n">
        <v>0</v>
      </c>
      <c r="R567" s="2" t="inlineStr"/>
    </row>
    <row r="568" ht="15" customHeight="1">
      <c r="A568" t="inlineStr">
        <is>
          <t>A 15231-2022</t>
        </is>
      </c>
      <c r="B568" s="1" t="n">
        <v>44658</v>
      </c>
      <c r="C568" s="1" t="n">
        <v>45900</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25681-2025</t>
        </is>
      </c>
      <c r="B569" s="1" t="n">
        <v>45800</v>
      </c>
      <c r="C569" s="1" t="n">
        <v>45900</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28191-2024</t>
        </is>
      </c>
      <c r="B570" s="1" t="n">
        <v>45477.32728009259</v>
      </c>
      <c r="C570" s="1" t="n">
        <v>45900</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47721-2024</t>
        </is>
      </c>
      <c r="B571" s="1" t="n">
        <v>45588</v>
      </c>
      <c r="C571" s="1" t="n">
        <v>45900</v>
      </c>
      <c r="D571" t="inlineStr">
        <is>
          <t>JÄMTLANDS LÄN</t>
        </is>
      </c>
      <c r="E571" t="inlineStr">
        <is>
          <t>KROKOM</t>
        </is>
      </c>
      <c r="G571" t="n">
        <v>19.2</v>
      </c>
      <c r="H571" t="n">
        <v>0</v>
      </c>
      <c r="I571" t="n">
        <v>0</v>
      </c>
      <c r="J571" t="n">
        <v>0</v>
      </c>
      <c r="K571" t="n">
        <v>0</v>
      </c>
      <c r="L571" t="n">
        <v>0</v>
      </c>
      <c r="M571" t="n">
        <v>0</v>
      </c>
      <c r="N571" t="n">
        <v>0</v>
      </c>
      <c r="O571" t="n">
        <v>0</v>
      </c>
      <c r="P571" t="n">
        <v>0</v>
      </c>
      <c r="Q571" t="n">
        <v>0</v>
      </c>
      <c r="R571" s="2" t="inlineStr"/>
    </row>
    <row r="572" ht="15" customHeight="1">
      <c r="A572" t="inlineStr">
        <is>
          <t>A 10533-2025</t>
        </is>
      </c>
      <c r="B572" s="1" t="n">
        <v>45721.45563657407</v>
      </c>
      <c r="C572" s="1" t="n">
        <v>45900</v>
      </c>
      <c r="D572" t="inlineStr">
        <is>
          <t>JÄMTLANDS LÄN</t>
        </is>
      </c>
      <c r="E572" t="inlineStr">
        <is>
          <t>KROKOM</t>
        </is>
      </c>
      <c r="F572" t="inlineStr">
        <is>
          <t>SCA</t>
        </is>
      </c>
      <c r="G572" t="n">
        <v>64.90000000000001</v>
      </c>
      <c r="H572" t="n">
        <v>0</v>
      </c>
      <c r="I572" t="n">
        <v>0</v>
      </c>
      <c r="J572" t="n">
        <v>0</v>
      </c>
      <c r="K572" t="n">
        <v>0</v>
      </c>
      <c r="L572" t="n">
        <v>0</v>
      </c>
      <c r="M572" t="n">
        <v>0</v>
      </c>
      <c r="N572" t="n">
        <v>0</v>
      </c>
      <c r="O572" t="n">
        <v>0</v>
      </c>
      <c r="P572" t="n">
        <v>0</v>
      </c>
      <c r="Q572" t="n">
        <v>0</v>
      </c>
      <c r="R572" s="2" t="inlineStr"/>
    </row>
    <row r="573" ht="15" customHeight="1">
      <c r="A573" t="inlineStr">
        <is>
          <t>A 25710-2025</t>
        </is>
      </c>
      <c r="B573" s="1" t="n">
        <v>45803.6837962963</v>
      </c>
      <c r="C573" s="1" t="n">
        <v>45900</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30065-2024</t>
        </is>
      </c>
      <c r="B574" s="1" t="n">
        <v>45488.94857638889</v>
      </c>
      <c r="C574" s="1" t="n">
        <v>45900</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27729-2024</t>
        </is>
      </c>
      <c r="B575" s="1" t="n">
        <v>45475</v>
      </c>
      <c r="C575" s="1" t="n">
        <v>45900</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25715-2025</t>
        </is>
      </c>
      <c r="B576" s="1" t="n">
        <v>45803.69828703703</v>
      </c>
      <c r="C576" s="1" t="n">
        <v>45900</v>
      </c>
      <c r="D576" t="inlineStr">
        <is>
          <t>JÄMTLANDS LÄN</t>
        </is>
      </c>
      <c r="E576" t="inlineStr">
        <is>
          <t>KROKOM</t>
        </is>
      </c>
      <c r="G576" t="n">
        <v>8.9</v>
      </c>
      <c r="H576" t="n">
        <v>0</v>
      </c>
      <c r="I576" t="n">
        <v>0</v>
      </c>
      <c r="J576" t="n">
        <v>0</v>
      </c>
      <c r="K576" t="n">
        <v>0</v>
      </c>
      <c r="L576" t="n">
        <v>0</v>
      </c>
      <c r="M576" t="n">
        <v>0</v>
      </c>
      <c r="N576" t="n">
        <v>0</v>
      </c>
      <c r="O576" t="n">
        <v>0</v>
      </c>
      <c r="P576" t="n">
        <v>0</v>
      </c>
      <c r="Q576" t="n">
        <v>0</v>
      </c>
      <c r="R576" s="2" t="inlineStr"/>
    </row>
    <row r="577" ht="15" customHeight="1">
      <c r="A577" t="inlineStr">
        <is>
          <t>A 6214-2022</t>
        </is>
      </c>
      <c r="B577" s="1" t="n">
        <v>44600.37212962963</v>
      </c>
      <c r="C577" s="1" t="n">
        <v>45900</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4608-2025</t>
        </is>
      </c>
      <c r="B578" s="1" t="n">
        <v>45687</v>
      </c>
      <c r="C578" s="1" t="n">
        <v>45900</v>
      </c>
      <c r="D578" t="inlineStr">
        <is>
          <t>JÄMTLANDS LÄN</t>
        </is>
      </c>
      <c r="E578" t="inlineStr">
        <is>
          <t>KROKOM</t>
        </is>
      </c>
      <c r="F578" t="inlineStr">
        <is>
          <t>SCA</t>
        </is>
      </c>
      <c r="G578" t="n">
        <v>16.6</v>
      </c>
      <c r="H578" t="n">
        <v>0</v>
      </c>
      <c r="I578" t="n">
        <v>0</v>
      </c>
      <c r="J578" t="n">
        <v>0</v>
      </c>
      <c r="K578" t="n">
        <v>0</v>
      </c>
      <c r="L578" t="n">
        <v>0</v>
      </c>
      <c r="M578" t="n">
        <v>0</v>
      </c>
      <c r="N578" t="n">
        <v>0</v>
      </c>
      <c r="O578" t="n">
        <v>0</v>
      </c>
      <c r="P578" t="n">
        <v>0</v>
      </c>
      <c r="Q578" t="n">
        <v>0</v>
      </c>
      <c r="R578" s="2" t="inlineStr"/>
    </row>
    <row r="579" ht="15" customHeight="1">
      <c r="A579" t="inlineStr">
        <is>
          <t>A 61078-2023</t>
        </is>
      </c>
      <c r="B579" s="1" t="n">
        <v>45261</v>
      </c>
      <c r="C579" s="1" t="n">
        <v>45900</v>
      </c>
      <c r="D579" t="inlineStr">
        <is>
          <t>JÄMTLANDS LÄN</t>
        </is>
      </c>
      <c r="E579" t="inlineStr">
        <is>
          <t>KROKOM</t>
        </is>
      </c>
      <c r="G579" t="n">
        <v>5.7</v>
      </c>
      <c r="H579" t="n">
        <v>0</v>
      </c>
      <c r="I579" t="n">
        <v>0</v>
      </c>
      <c r="J579" t="n">
        <v>0</v>
      </c>
      <c r="K579" t="n">
        <v>0</v>
      </c>
      <c r="L579" t="n">
        <v>0</v>
      </c>
      <c r="M579" t="n">
        <v>0</v>
      </c>
      <c r="N579" t="n">
        <v>0</v>
      </c>
      <c r="O579" t="n">
        <v>0</v>
      </c>
      <c r="P579" t="n">
        <v>0</v>
      </c>
      <c r="Q579" t="n">
        <v>0</v>
      </c>
      <c r="R579" s="2" t="inlineStr"/>
    </row>
    <row r="580" ht="15" customHeight="1">
      <c r="A580" t="inlineStr">
        <is>
          <t>A 10498-2025</t>
        </is>
      </c>
      <c r="B580" s="1" t="n">
        <v>45721</v>
      </c>
      <c r="C580" s="1" t="n">
        <v>45900</v>
      </c>
      <c r="D580" t="inlineStr">
        <is>
          <t>JÄMTLANDS LÄN</t>
        </is>
      </c>
      <c r="E580" t="inlineStr">
        <is>
          <t>KROKOM</t>
        </is>
      </c>
      <c r="G580" t="n">
        <v>1</v>
      </c>
      <c r="H580" t="n">
        <v>0</v>
      </c>
      <c r="I580" t="n">
        <v>0</v>
      </c>
      <c r="J580" t="n">
        <v>0</v>
      </c>
      <c r="K580" t="n">
        <v>0</v>
      </c>
      <c r="L580" t="n">
        <v>0</v>
      </c>
      <c r="M580" t="n">
        <v>0</v>
      </c>
      <c r="N580" t="n">
        <v>0</v>
      </c>
      <c r="O580" t="n">
        <v>0</v>
      </c>
      <c r="P580" t="n">
        <v>0</v>
      </c>
      <c r="Q580" t="n">
        <v>0</v>
      </c>
      <c r="R580" s="2" t="inlineStr"/>
    </row>
    <row r="581" ht="15" customHeight="1">
      <c r="A581" t="inlineStr">
        <is>
          <t>A 41675-2024</t>
        </is>
      </c>
      <c r="B581" s="1" t="n">
        <v>45560.6599537037</v>
      </c>
      <c r="C581" s="1" t="n">
        <v>45900</v>
      </c>
      <c r="D581" t="inlineStr">
        <is>
          <t>JÄMTLANDS LÄN</t>
        </is>
      </c>
      <c r="E581" t="inlineStr">
        <is>
          <t>KROKOM</t>
        </is>
      </c>
      <c r="G581" t="n">
        <v>7</v>
      </c>
      <c r="H581" t="n">
        <v>0</v>
      </c>
      <c r="I581" t="n">
        <v>0</v>
      </c>
      <c r="J581" t="n">
        <v>0</v>
      </c>
      <c r="K581" t="n">
        <v>0</v>
      </c>
      <c r="L581" t="n">
        <v>0</v>
      </c>
      <c r="M581" t="n">
        <v>0</v>
      </c>
      <c r="N581" t="n">
        <v>0</v>
      </c>
      <c r="O581" t="n">
        <v>0</v>
      </c>
      <c r="P581" t="n">
        <v>0</v>
      </c>
      <c r="Q581" t="n">
        <v>0</v>
      </c>
      <c r="R581" s="2" t="inlineStr"/>
    </row>
    <row r="582" ht="15" customHeight="1">
      <c r="A582" t="inlineStr">
        <is>
          <t>A 26212-2025</t>
        </is>
      </c>
      <c r="B582" s="1" t="n">
        <v>45805.54185185185</v>
      </c>
      <c r="C582" s="1" t="n">
        <v>45900</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29896-2021</t>
        </is>
      </c>
      <c r="B583" s="1" t="n">
        <v>44362</v>
      </c>
      <c r="C583" s="1" t="n">
        <v>45900</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36929-2024</t>
        </is>
      </c>
      <c r="B584" s="1" t="n">
        <v>45538.68200231482</v>
      </c>
      <c r="C584" s="1" t="n">
        <v>45900</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16345-2025</t>
        </is>
      </c>
      <c r="B585" s="1" t="n">
        <v>45751.3734837963</v>
      </c>
      <c r="C585" s="1" t="n">
        <v>45900</v>
      </c>
      <c r="D585" t="inlineStr">
        <is>
          <t>JÄMTLANDS LÄN</t>
        </is>
      </c>
      <c r="E585" t="inlineStr">
        <is>
          <t>KROKOM</t>
        </is>
      </c>
      <c r="G585" t="n">
        <v>1.4</v>
      </c>
      <c r="H585" t="n">
        <v>0</v>
      </c>
      <c r="I585" t="n">
        <v>0</v>
      </c>
      <c r="J585" t="n">
        <v>0</v>
      </c>
      <c r="K585" t="n">
        <v>0</v>
      </c>
      <c r="L585" t="n">
        <v>0</v>
      </c>
      <c r="M585" t="n">
        <v>0</v>
      </c>
      <c r="N585" t="n">
        <v>0</v>
      </c>
      <c r="O585" t="n">
        <v>0</v>
      </c>
      <c r="P585" t="n">
        <v>0</v>
      </c>
      <c r="Q585" t="n">
        <v>0</v>
      </c>
      <c r="R585" s="2" t="inlineStr"/>
    </row>
    <row r="586" ht="15" customHeight="1">
      <c r="A586" t="inlineStr">
        <is>
          <t>A 16481-2025</t>
        </is>
      </c>
      <c r="B586" s="1" t="n">
        <v>45751.57877314815</v>
      </c>
      <c r="C586" s="1" t="n">
        <v>45900</v>
      </c>
      <c r="D586" t="inlineStr">
        <is>
          <t>JÄMTLANDS LÄN</t>
        </is>
      </c>
      <c r="E586" t="inlineStr">
        <is>
          <t>KROKOM</t>
        </is>
      </c>
      <c r="G586" t="n">
        <v>8.4</v>
      </c>
      <c r="H586" t="n">
        <v>0</v>
      </c>
      <c r="I586" t="n">
        <v>0</v>
      </c>
      <c r="J586" t="n">
        <v>0</v>
      </c>
      <c r="K586" t="n">
        <v>0</v>
      </c>
      <c r="L586" t="n">
        <v>0</v>
      </c>
      <c r="M586" t="n">
        <v>0</v>
      </c>
      <c r="N586" t="n">
        <v>0</v>
      </c>
      <c r="O586" t="n">
        <v>0</v>
      </c>
      <c r="P586" t="n">
        <v>0</v>
      </c>
      <c r="Q586" t="n">
        <v>0</v>
      </c>
      <c r="R586" s="2" t="inlineStr"/>
    </row>
    <row r="587" ht="15" customHeight="1">
      <c r="A587" t="inlineStr">
        <is>
          <t>A 12838-2025</t>
        </is>
      </c>
      <c r="B587" s="1" t="n">
        <v>45733</v>
      </c>
      <c r="C587" s="1" t="n">
        <v>45900</v>
      </c>
      <c r="D587" t="inlineStr">
        <is>
          <t>JÄMTLANDS LÄN</t>
        </is>
      </c>
      <c r="E587" t="inlineStr">
        <is>
          <t>KROKOM</t>
        </is>
      </c>
      <c r="G587" t="n">
        <v>59.3</v>
      </c>
      <c r="H587" t="n">
        <v>0</v>
      </c>
      <c r="I587" t="n">
        <v>0</v>
      </c>
      <c r="J587" t="n">
        <v>0</v>
      </c>
      <c r="K587" t="n">
        <v>0</v>
      </c>
      <c r="L587" t="n">
        <v>0</v>
      </c>
      <c r="M587" t="n">
        <v>0</v>
      </c>
      <c r="N587" t="n">
        <v>0</v>
      </c>
      <c r="O587" t="n">
        <v>0</v>
      </c>
      <c r="P587" t="n">
        <v>0</v>
      </c>
      <c r="Q587" t="n">
        <v>0</v>
      </c>
      <c r="R587" s="2" t="inlineStr"/>
    </row>
    <row r="588" ht="15" customHeight="1">
      <c r="A588" t="inlineStr">
        <is>
          <t>A 26272-2025</t>
        </is>
      </c>
      <c r="B588" s="1" t="n">
        <v>45805</v>
      </c>
      <c r="C588" s="1" t="n">
        <v>45900</v>
      </c>
      <c r="D588" t="inlineStr">
        <is>
          <t>JÄMTLANDS LÄN</t>
        </is>
      </c>
      <c r="E588" t="inlineStr">
        <is>
          <t>KROKOM</t>
        </is>
      </c>
      <c r="G588" t="n">
        <v>22.4</v>
      </c>
      <c r="H588" t="n">
        <v>0</v>
      </c>
      <c r="I588" t="n">
        <v>0</v>
      </c>
      <c r="J588" t="n">
        <v>0</v>
      </c>
      <c r="K588" t="n">
        <v>0</v>
      </c>
      <c r="L588" t="n">
        <v>0</v>
      </c>
      <c r="M588" t="n">
        <v>0</v>
      </c>
      <c r="N588" t="n">
        <v>0</v>
      </c>
      <c r="O588" t="n">
        <v>0</v>
      </c>
      <c r="P588" t="n">
        <v>0</v>
      </c>
      <c r="Q588" t="n">
        <v>0</v>
      </c>
      <c r="R588" s="2" t="inlineStr"/>
    </row>
    <row r="589" ht="15" customHeight="1">
      <c r="A589" t="inlineStr">
        <is>
          <t>A 5409-2025</t>
        </is>
      </c>
      <c r="B589" s="1" t="n">
        <v>45692</v>
      </c>
      <c r="C589" s="1" t="n">
        <v>45900</v>
      </c>
      <c r="D589" t="inlineStr">
        <is>
          <t>JÄMTLANDS LÄN</t>
        </is>
      </c>
      <c r="E589" t="inlineStr">
        <is>
          <t>KROKOM</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6024-2025</t>
        </is>
      </c>
      <c r="B590" s="1" t="n">
        <v>45695.61160879629</v>
      </c>
      <c r="C590" s="1" t="n">
        <v>45900</v>
      </c>
      <c r="D590" t="inlineStr">
        <is>
          <t>JÄMTLANDS LÄN</t>
        </is>
      </c>
      <c r="E590" t="inlineStr">
        <is>
          <t>KROKOM</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50919-2024</t>
        </is>
      </c>
      <c r="B591" s="1" t="n">
        <v>45602</v>
      </c>
      <c r="C591" s="1" t="n">
        <v>45900</v>
      </c>
      <c r="D591" t="inlineStr">
        <is>
          <t>JÄMTLANDS LÄN</t>
        </is>
      </c>
      <c r="E591" t="inlineStr">
        <is>
          <t>KROKOM</t>
        </is>
      </c>
      <c r="G591" t="n">
        <v>33.7</v>
      </c>
      <c r="H591" t="n">
        <v>0</v>
      </c>
      <c r="I591" t="n">
        <v>0</v>
      </c>
      <c r="J591" t="n">
        <v>0</v>
      </c>
      <c r="K591" t="n">
        <v>0</v>
      </c>
      <c r="L591" t="n">
        <v>0</v>
      </c>
      <c r="M591" t="n">
        <v>0</v>
      </c>
      <c r="N591" t="n">
        <v>0</v>
      </c>
      <c r="O591" t="n">
        <v>0</v>
      </c>
      <c r="P591" t="n">
        <v>0</v>
      </c>
      <c r="Q591" t="n">
        <v>0</v>
      </c>
      <c r="R591" s="2" t="inlineStr"/>
    </row>
    <row r="592" ht="15" customHeight="1">
      <c r="A592" t="inlineStr">
        <is>
          <t>A 4741-2022</t>
        </is>
      </c>
      <c r="B592" s="1" t="n">
        <v>44592</v>
      </c>
      <c r="C592" s="1" t="n">
        <v>45900</v>
      </c>
      <c r="D592" t="inlineStr">
        <is>
          <t>JÄMTLANDS LÄN</t>
        </is>
      </c>
      <c r="E592" t="inlineStr">
        <is>
          <t>KROKOM</t>
        </is>
      </c>
      <c r="G592" t="n">
        <v>54.2</v>
      </c>
      <c r="H592" t="n">
        <v>0</v>
      </c>
      <c r="I592" t="n">
        <v>0</v>
      </c>
      <c r="J592" t="n">
        <v>0</v>
      </c>
      <c r="K592" t="n">
        <v>0</v>
      </c>
      <c r="L592" t="n">
        <v>0</v>
      </c>
      <c r="M592" t="n">
        <v>0</v>
      </c>
      <c r="N592" t="n">
        <v>0</v>
      </c>
      <c r="O592" t="n">
        <v>0</v>
      </c>
      <c r="P592" t="n">
        <v>0</v>
      </c>
      <c r="Q592" t="n">
        <v>0</v>
      </c>
      <c r="R592" s="2" t="inlineStr"/>
    </row>
    <row r="593" ht="15" customHeight="1">
      <c r="A593" t="inlineStr">
        <is>
          <t>A 58052-2022</t>
        </is>
      </c>
      <c r="B593" s="1" t="n">
        <v>44893</v>
      </c>
      <c r="C593" s="1" t="n">
        <v>45900</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16064-2024</t>
        </is>
      </c>
      <c r="B594" s="1" t="n">
        <v>45406.05033564815</v>
      </c>
      <c r="C594" s="1" t="n">
        <v>45900</v>
      </c>
      <c r="D594" t="inlineStr">
        <is>
          <t>JÄMTLANDS LÄN</t>
        </is>
      </c>
      <c r="E594" t="inlineStr">
        <is>
          <t>KROKOM</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6342-2025</t>
        </is>
      </c>
      <c r="B595" s="1" t="n">
        <v>45699</v>
      </c>
      <c r="C595" s="1" t="n">
        <v>45900</v>
      </c>
      <c r="D595" t="inlineStr">
        <is>
          <t>JÄMTLANDS LÄN</t>
        </is>
      </c>
      <c r="E595" t="inlineStr">
        <is>
          <t>KROKOM</t>
        </is>
      </c>
      <c r="F595" t="inlineStr">
        <is>
          <t>Övriga Aktiebolag</t>
        </is>
      </c>
      <c r="G595" t="n">
        <v>6.5</v>
      </c>
      <c r="H595" t="n">
        <v>0</v>
      </c>
      <c r="I595" t="n">
        <v>0</v>
      </c>
      <c r="J595" t="n">
        <v>0</v>
      </c>
      <c r="K595" t="n">
        <v>0</v>
      </c>
      <c r="L595" t="n">
        <v>0</v>
      </c>
      <c r="M595" t="n">
        <v>0</v>
      </c>
      <c r="N595" t="n">
        <v>0</v>
      </c>
      <c r="O595" t="n">
        <v>0</v>
      </c>
      <c r="P595" t="n">
        <v>0</v>
      </c>
      <c r="Q595" t="n">
        <v>0</v>
      </c>
      <c r="R595" s="2" t="inlineStr"/>
    </row>
    <row r="596" ht="15" customHeight="1">
      <c r="A596" t="inlineStr">
        <is>
          <t>A 10782-2023</t>
        </is>
      </c>
      <c r="B596" s="1" t="n">
        <v>44988.94056712963</v>
      </c>
      <c r="C596" s="1" t="n">
        <v>45900</v>
      </c>
      <c r="D596" t="inlineStr">
        <is>
          <t>JÄMTLANDS LÄN</t>
        </is>
      </c>
      <c r="E596" t="inlineStr">
        <is>
          <t>KROKOM</t>
        </is>
      </c>
      <c r="F596" t="inlineStr">
        <is>
          <t>SCA</t>
        </is>
      </c>
      <c r="G596" t="n">
        <v>68.8</v>
      </c>
      <c r="H596" t="n">
        <v>0</v>
      </c>
      <c r="I596" t="n">
        <v>0</v>
      </c>
      <c r="J596" t="n">
        <v>0</v>
      </c>
      <c r="K596" t="n">
        <v>0</v>
      </c>
      <c r="L596" t="n">
        <v>0</v>
      </c>
      <c r="M596" t="n">
        <v>0</v>
      </c>
      <c r="N596" t="n">
        <v>0</v>
      </c>
      <c r="O596" t="n">
        <v>0</v>
      </c>
      <c r="P596" t="n">
        <v>0</v>
      </c>
      <c r="Q596" t="n">
        <v>0</v>
      </c>
      <c r="R596" s="2" t="inlineStr"/>
    </row>
    <row r="597" ht="15" customHeight="1">
      <c r="A597" t="inlineStr">
        <is>
          <t>A 59076-2022</t>
        </is>
      </c>
      <c r="B597" s="1" t="n">
        <v>44904</v>
      </c>
      <c r="C597" s="1" t="n">
        <v>45900</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58569-2020</t>
        </is>
      </c>
      <c r="B598" s="1" t="n">
        <v>44141</v>
      </c>
      <c r="C598" s="1" t="n">
        <v>45900</v>
      </c>
      <c r="D598" t="inlineStr">
        <is>
          <t>JÄMTLANDS LÄN</t>
        </is>
      </c>
      <c r="E598" t="inlineStr">
        <is>
          <t>KROKOM</t>
        </is>
      </c>
      <c r="G598" t="n">
        <v>52.8</v>
      </c>
      <c r="H598" t="n">
        <v>0</v>
      </c>
      <c r="I598" t="n">
        <v>0</v>
      </c>
      <c r="J598" t="n">
        <v>0</v>
      </c>
      <c r="K598" t="n">
        <v>0</v>
      </c>
      <c r="L598" t="n">
        <v>0</v>
      </c>
      <c r="M598" t="n">
        <v>0</v>
      </c>
      <c r="N598" t="n">
        <v>0</v>
      </c>
      <c r="O598" t="n">
        <v>0</v>
      </c>
      <c r="P598" t="n">
        <v>0</v>
      </c>
      <c r="Q598" t="n">
        <v>0</v>
      </c>
      <c r="R598" s="2" t="inlineStr"/>
    </row>
    <row r="599" ht="15" customHeight="1">
      <c r="A599" t="inlineStr">
        <is>
          <t>A 46632-2023</t>
        </is>
      </c>
      <c r="B599" s="1" t="n">
        <v>45198.42734953704</v>
      </c>
      <c r="C599" s="1" t="n">
        <v>45900</v>
      </c>
      <c r="D599" t="inlineStr">
        <is>
          <t>JÄMTLANDS LÄN</t>
        </is>
      </c>
      <c r="E599" t="inlineStr">
        <is>
          <t>KROKOM</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69120-2020</t>
        </is>
      </c>
      <c r="B600" s="1" t="n">
        <v>44188</v>
      </c>
      <c r="C600" s="1" t="n">
        <v>45900</v>
      </c>
      <c r="D600" t="inlineStr">
        <is>
          <t>JÄMTLANDS LÄN</t>
        </is>
      </c>
      <c r="E600" t="inlineStr">
        <is>
          <t>KROKOM</t>
        </is>
      </c>
      <c r="G600" t="n">
        <v>4.1</v>
      </c>
      <c r="H600" t="n">
        <v>0</v>
      </c>
      <c r="I600" t="n">
        <v>0</v>
      </c>
      <c r="J600" t="n">
        <v>0</v>
      </c>
      <c r="K600" t="n">
        <v>0</v>
      </c>
      <c r="L600" t="n">
        <v>0</v>
      </c>
      <c r="M600" t="n">
        <v>0</v>
      </c>
      <c r="N600" t="n">
        <v>0</v>
      </c>
      <c r="O600" t="n">
        <v>0</v>
      </c>
      <c r="P600" t="n">
        <v>0</v>
      </c>
      <c r="Q600" t="n">
        <v>0</v>
      </c>
      <c r="R600" s="2" t="inlineStr"/>
    </row>
    <row r="601" ht="15" customHeight="1">
      <c r="A601" t="inlineStr">
        <is>
          <t>A 32676-2023</t>
        </is>
      </c>
      <c r="B601" s="1" t="n">
        <v>45121</v>
      </c>
      <c r="C601" s="1" t="n">
        <v>45900</v>
      </c>
      <c r="D601" t="inlineStr">
        <is>
          <t>JÄMTLANDS LÄN</t>
        </is>
      </c>
      <c r="E601" t="inlineStr">
        <is>
          <t>KROKOM</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18476-2022</t>
        </is>
      </c>
      <c r="B602" s="1" t="n">
        <v>44686</v>
      </c>
      <c r="C602" s="1" t="n">
        <v>45900</v>
      </c>
      <c r="D602" t="inlineStr">
        <is>
          <t>JÄMTLANDS LÄN</t>
        </is>
      </c>
      <c r="E602" t="inlineStr">
        <is>
          <t>KROKOM</t>
        </is>
      </c>
      <c r="G602" t="n">
        <v>11.7</v>
      </c>
      <c r="H602" t="n">
        <v>0</v>
      </c>
      <c r="I602" t="n">
        <v>0</v>
      </c>
      <c r="J602" t="n">
        <v>0</v>
      </c>
      <c r="K602" t="n">
        <v>0</v>
      </c>
      <c r="L602" t="n">
        <v>0</v>
      </c>
      <c r="M602" t="n">
        <v>0</v>
      </c>
      <c r="N602" t="n">
        <v>0</v>
      </c>
      <c r="O602" t="n">
        <v>0</v>
      </c>
      <c r="P602" t="n">
        <v>0</v>
      </c>
      <c r="Q602" t="n">
        <v>0</v>
      </c>
      <c r="R602" s="2" t="inlineStr"/>
    </row>
    <row r="603" ht="15" customHeight="1">
      <c r="A603" t="inlineStr">
        <is>
          <t>A 44296-2024</t>
        </is>
      </c>
      <c r="B603" s="1" t="n">
        <v>45573.54893518519</v>
      </c>
      <c r="C603" s="1" t="n">
        <v>45900</v>
      </c>
      <c r="D603" t="inlineStr">
        <is>
          <t>JÄMTLANDS LÄN</t>
        </is>
      </c>
      <c r="E603" t="inlineStr">
        <is>
          <t>KROKOM</t>
        </is>
      </c>
      <c r="G603" t="n">
        <v>6.1</v>
      </c>
      <c r="H603" t="n">
        <v>0</v>
      </c>
      <c r="I603" t="n">
        <v>0</v>
      </c>
      <c r="J603" t="n">
        <v>0</v>
      </c>
      <c r="K603" t="n">
        <v>0</v>
      </c>
      <c r="L603" t="n">
        <v>0</v>
      </c>
      <c r="M603" t="n">
        <v>0</v>
      </c>
      <c r="N603" t="n">
        <v>0</v>
      </c>
      <c r="O603" t="n">
        <v>0</v>
      </c>
      <c r="P603" t="n">
        <v>0</v>
      </c>
      <c r="Q603" t="n">
        <v>0</v>
      </c>
      <c r="R603" s="2" t="inlineStr"/>
    </row>
    <row r="604" ht="15" customHeight="1">
      <c r="A604" t="inlineStr">
        <is>
          <t>A 19698-2024</t>
        </is>
      </c>
      <c r="B604" s="1" t="n">
        <v>45432.54027777778</v>
      </c>
      <c r="C604" s="1" t="n">
        <v>45900</v>
      </c>
      <c r="D604" t="inlineStr">
        <is>
          <t>JÄMTLANDS LÄN</t>
        </is>
      </c>
      <c r="E604" t="inlineStr">
        <is>
          <t>KROKOM</t>
        </is>
      </c>
      <c r="G604" t="n">
        <v>15.9</v>
      </c>
      <c r="H604" t="n">
        <v>0</v>
      </c>
      <c r="I604" t="n">
        <v>0</v>
      </c>
      <c r="J604" t="n">
        <v>0</v>
      </c>
      <c r="K604" t="n">
        <v>0</v>
      </c>
      <c r="L604" t="n">
        <v>0</v>
      </c>
      <c r="M604" t="n">
        <v>0</v>
      </c>
      <c r="N604" t="n">
        <v>0</v>
      </c>
      <c r="O604" t="n">
        <v>0</v>
      </c>
      <c r="P604" t="n">
        <v>0</v>
      </c>
      <c r="Q604" t="n">
        <v>0</v>
      </c>
      <c r="R604" s="2" t="inlineStr"/>
    </row>
    <row r="605" ht="15" customHeight="1">
      <c r="A605" t="inlineStr">
        <is>
          <t>A 42825-2023</t>
        </is>
      </c>
      <c r="B605" s="1" t="n">
        <v>45182</v>
      </c>
      <c r="C605" s="1" t="n">
        <v>45900</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26544-2025</t>
        </is>
      </c>
      <c r="B606" s="1" t="n">
        <v>45807.58930555556</v>
      </c>
      <c r="C606" s="1" t="n">
        <v>45900</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52590-2023</t>
        </is>
      </c>
      <c r="B607" s="1" t="n">
        <v>45225.60212962963</v>
      </c>
      <c r="C607" s="1" t="n">
        <v>45900</v>
      </c>
      <c r="D607" t="inlineStr">
        <is>
          <t>JÄMTLANDS LÄN</t>
        </is>
      </c>
      <c r="E607" t="inlineStr">
        <is>
          <t>KROKOM</t>
        </is>
      </c>
      <c r="G607" t="n">
        <v>9</v>
      </c>
      <c r="H607" t="n">
        <v>0</v>
      </c>
      <c r="I607" t="n">
        <v>0</v>
      </c>
      <c r="J607" t="n">
        <v>0</v>
      </c>
      <c r="K607" t="n">
        <v>0</v>
      </c>
      <c r="L607" t="n">
        <v>0</v>
      </c>
      <c r="M607" t="n">
        <v>0</v>
      </c>
      <c r="N607" t="n">
        <v>0</v>
      </c>
      <c r="O607" t="n">
        <v>0</v>
      </c>
      <c r="P607" t="n">
        <v>0</v>
      </c>
      <c r="Q607" t="n">
        <v>0</v>
      </c>
      <c r="R607" s="2" t="inlineStr"/>
    </row>
    <row r="608" ht="15" customHeight="1">
      <c r="A608" t="inlineStr">
        <is>
          <t>A 26621-2025</t>
        </is>
      </c>
      <c r="B608" s="1" t="n">
        <v>45810.32105324074</v>
      </c>
      <c r="C608" s="1" t="n">
        <v>45900</v>
      </c>
      <c r="D608" t="inlineStr">
        <is>
          <t>JÄMTLANDS LÄN</t>
        </is>
      </c>
      <c r="E608" t="inlineStr">
        <is>
          <t>KROKOM</t>
        </is>
      </c>
      <c r="G608" t="n">
        <v>0.8</v>
      </c>
      <c r="H608" t="n">
        <v>0</v>
      </c>
      <c r="I608" t="n">
        <v>0</v>
      </c>
      <c r="J608" t="n">
        <v>0</v>
      </c>
      <c r="K608" t="n">
        <v>0</v>
      </c>
      <c r="L608" t="n">
        <v>0</v>
      </c>
      <c r="M608" t="n">
        <v>0</v>
      </c>
      <c r="N608" t="n">
        <v>0</v>
      </c>
      <c r="O608" t="n">
        <v>0</v>
      </c>
      <c r="P608" t="n">
        <v>0</v>
      </c>
      <c r="Q608" t="n">
        <v>0</v>
      </c>
      <c r="R608" s="2" t="inlineStr"/>
    </row>
    <row r="609" ht="15" customHeight="1">
      <c r="A609" t="inlineStr">
        <is>
          <t>A 47838-2023</t>
        </is>
      </c>
      <c r="B609" s="1" t="n">
        <v>45204</v>
      </c>
      <c r="C609" s="1" t="n">
        <v>45900</v>
      </c>
      <c r="D609" t="inlineStr">
        <is>
          <t>JÄMTLANDS LÄN</t>
        </is>
      </c>
      <c r="E609" t="inlineStr">
        <is>
          <t>KROKOM</t>
        </is>
      </c>
      <c r="G609" t="n">
        <v>11.8</v>
      </c>
      <c r="H609" t="n">
        <v>0</v>
      </c>
      <c r="I609" t="n">
        <v>0</v>
      </c>
      <c r="J609" t="n">
        <v>0</v>
      </c>
      <c r="K609" t="n">
        <v>0</v>
      </c>
      <c r="L609" t="n">
        <v>0</v>
      </c>
      <c r="M609" t="n">
        <v>0</v>
      </c>
      <c r="N609" t="n">
        <v>0</v>
      </c>
      <c r="O609" t="n">
        <v>0</v>
      </c>
      <c r="P609" t="n">
        <v>0</v>
      </c>
      <c r="Q609" t="n">
        <v>0</v>
      </c>
      <c r="R609" s="2" t="inlineStr"/>
    </row>
    <row r="610" ht="15" customHeight="1">
      <c r="A610" t="inlineStr">
        <is>
          <t>A 26527-2025</t>
        </is>
      </c>
      <c r="B610" s="1" t="n">
        <v>45807.56728009259</v>
      </c>
      <c r="C610" s="1" t="n">
        <v>45900</v>
      </c>
      <c r="D610" t="inlineStr">
        <is>
          <t>JÄMTLANDS LÄN</t>
        </is>
      </c>
      <c r="E610" t="inlineStr">
        <is>
          <t>KROKOM</t>
        </is>
      </c>
      <c r="G610" t="n">
        <v>13.3</v>
      </c>
      <c r="H610" t="n">
        <v>0</v>
      </c>
      <c r="I610" t="n">
        <v>0</v>
      </c>
      <c r="J610" t="n">
        <v>0</v>
      </c>
      <c r="K610" t="n">
        <v>0</v>
      </c>
      <c r="L610" t="n">
        <v>0</v>
      </c>
      <c r="M610" t="n">
        <v>0</v>
      </c>
      <c r="N610" t="n">
        <v>0</v>
      </c>
      <c r="O610" t="n">
        <v>0</v>
      </c>
      <c r="P610" t="n">
        <v>0</v>
      </c>
      <c r="Q610" t="n">
        <v>0</v>
      </c>
      <c r="R610" s="2" t="inlineStr"/>
    </row>
    <row r="611" ht="15" customHeight="1">
      <c r="A611" t="inlineStr">
        <is>
          <t>A 31927-2023</t>
        </is>
      </c>
      <c r="B611" s="1" t="n">
        <v>45118.94061342593</v>
      </c>
      <c r="C611" s="1" t="n">
        <v>45900</v>
      </c>
      <c r="D611" t="inlineStr">
        <is>
          <t>JÄMTLANDS LÄN</t>
        </is>
      </c>
      <c r="E611" t="inlineStr">
        <is>
          <t>KROKOM</t>
        </is>
      </c>
      <c r="G611" t="n">
        <v>56.6</v>
      </c>
      <c r="H611" t="n">
        <v>0</v>
      </c>
      <c r="I611" t="n">
        <v>0</v>
      </c>
      <c r="J611" t="n">
        <v>0</v>
      </c>
      <c r="K611" t="n">
        <v>0</v>
      </c>
      <c r="L611" t="n">
        <v>0</v>
      </c>
      <c r="M611" t="n">
        <v>0</v>
      </c>
      <c r="N611" t="n">
        <v>0</v>
      </c>
      <c r="O611" t="n">
        <v>0</v>
      </c>
      <c r="P611" t="n">
        <v>0</v>
      </c>
      <c r="Q611" t="n">
        <v>0</v>
      </c>
      <c r="R611" s="2" t="inlineStr"/>
    </row>
    <row r="612" ht="15" customHeight="1">
      <c r="A612" t="inlineStr">
        <is>
          <t>A 5907-2025</t>
        </is>
      </c>
      <c r="B612" s="1" t="n">
        <v>45695.4046875</v>
      </c>
      <c r="C612" s="1" t="n">
        <v>45900</v>
      </c>
      <c r="D612" t="inlineStr">
        <is>
          <t>JÄMTLANDS LÄN</t>
        </is>
      </c>
      <c r="E612" t="inlineStr">
        <is>
          <t>KROKOM</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5920-2025</t>
        </is>
      </c>
      <c r="B613" s="1" t="n">
        <v>45695.42418981482</v>
      </c>
      <c r="C613" s="1" t="n">
        <v>45900</v>
      </c>
      <c r="D613" t="inlineStr">
        <is>
          <t>JÄMTLANDS LÄN</t>
        </is>
      </c>
      <c r="E613" t="inlineStr">
        <is>
          <t>KROKOM</t>
        </is>
      </c>
      <c r="F613" t="inlineStr">
        <is>
          <t>Övriga Aktiebolag</t>
        </is>
      </c>
      <c r="G613" t="n">
        <v>6.8</v>
      </c>
      <c r="H613" t="n">
        <v>0</v>
      </c>
      <c r="I613" t="n">
        <v>0</v>
      </c>
      <c r="J613" t="n">
        <v>0</v>
      </c>
      <c r="K613" t="n">
        <v>0</v>
      </c>
      <c r="L613" t="n">
        <v>0</v>
      </c>
      <c r="M613" t="n">
        <v>0</v>
      </c>
      <c r="N613" t="n">
        <v>0</v>
      </c>
      <c r="O613" t="n">
        <v>0</v>
      </c>
      <c r="P613" t="n">
        <v>0</v>
      </c>
      <c r="Q613" t="n">
        <v>0</v>
      </c>
      <c r="R613" s="2" t="inlineStr"/>
    </row>
    <row r="614" ht="15" customHeight="1">
      <c r="A614" t="inlineStr">
        <is>
          <t>A 27431-2024</t>
        </is>
      </c>
      <c r="B614" s="1" t="n">
        <v>45474.3981712963</v>
      </c>
      <c r="C614" s="1" t="n">
        <v>45900</v>
      </c>
      <c r="D614" t="inlineStr">
        <is>
          <t>JÄMTLANDS LÄN</t>
        </is>
      </c>
      <c r="E614" t="inlineStr">
        <is>
          <t>KROKOM</t>
        </is>
      </c>
      <c r="G614" t="n">
        <v>4.2</v>
      </c>
      <c r="H614" t="n">
        <v>0</v>
      </c>
      <c r="I614" t="n">
        <v>0</v>
      </c>
      <c r="J614" t="n">
        <v>0</v>
      </c>
      <c r="K614" t="n">
        <v>0</v>
      </c>
      <c r="L614" t="n">
        <v>0</v>
      </c>
      <c r="M614" t="n">
        <v>0</v>
      </c>
      <c r="N614" t="n">
        <v>0</v>
      </c>
      <c r="O614" t="n">
        <v>0</v>
      </c>
      <c r="P614" t="n">
        <v>0</v>
      </c>
      <c r="Q614" t="n">
        <v>0</v>
      </c>
      <c r="R614" s="2" t="inlineStr"/>
    </row>
    <row r="615" ht="15" customHeight="1">
      <c r="A615" t="inlineStr">
        <is>
          <t>A 42393-2024</t>
        </is>
      </c>
      <c r="B615" s="1" t="n">
        <v>45565.32449074074</v>
      </c>
      <c r="C615" s="1" t="n">
        <v>45900</v>
      </c>
      <c r="D615" t="inlineStr">
        <is>
          <t>JÄMTLANDS LÄN</t>
        </is>
      </c>
      <c r="E615" t="inlineStr">
        <is>
          <t>KROKOM</t>
        </is>
      </c>
      <c r="G615" t="n">
        <v>1.2</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45900</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13722-2025</t>
        </is>
      </c>
      <c r="B617" s="1" t="n">
        <v>45737.36873842592</v>
      </c>
      <c r="C617" s="1" t="n">
        <v>45900</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27003-2025</t>
        </is>
      </c>
      <c r="B618" s="1" t="n">
        <v>45811.54760416667</v>
      </c>
      <c r="C618" s="1" t="n">
        <v>45900</v>
      </c>
      <c r="D618" t="inlineStr">
        <is>
          <t>JÄMTLANDS LÄN</t>
        </is>
      </c>
      <c r="E618" t="inlineStr">
        <is>
          <t>KROKOM</t>
        </is>
      </c>
      <c r="G618" t="n">
        <v>2.8</v>
      </c>
      <c r="H618" t="n">
        <v>0</v>
      </c>
      <c r="I618" t="n">
        <v>0</v>
      </c>
      <c r="J618" t="n">
        <v>0</v>
      </c>
      <c r="K618" t="n">
        <v>0</v>
      </c>
      <c r="L618" t="n">
        <v>0</v>
      </c>
      <c r="M618" t="n">
        <v>0</v>
      </c>
      <c r="N618" t="n">
        <v>0</v>
      </c>
      <c r="O618" t="n">
        <v>0</v>
      </c>
      <c r="P618" t="n">
        <v>0</v>
      </c>
      <c r="Q618" t="n">
        <v>0</v>
      </c>
      <c r="R618" s="2" t="inlineStr"/>
    </row>
    <row r="619" ht="15" customHeight="1">
      <c r="A619" t="inlineStr">
        <is>
          <t>A 30709-2024</t>
        </is>
      </c>
      <c r="B619" s="1" t="n">
        <v>45496.41289351852</v>
      </c>
      <c r="C619" s="1" t="n">
        <v>45900</v>
      </c>
      <c r="D619" t="inlineStr">
        <is>
          <t>JÄMTLANDS LÄN</t>
        </is>
      </c>
      <c r="E619" t="inlineStr">
        <is>
          <t>KROKOM</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54817-2024</t>
        </is>
      </c>
      <c r="B620" s="1" t="n">
        <v>45618.53126157408</v>
      </c>
      <c r="C620" s="1" t="n">
        <v>45900</v>
      </c>
      <c r="D620" t="inlineStr">
        <is>
          <t>JÄMTLANDS LÄN</t>
        </is>
      </c>
      <c r="E620" t="inlineStr">
        <is>
          <t>KROKOM</t>
        </is>
      </c>
      <c r="G620" t="n">
        <v>8.4</v>
      </c>
      <c r="H620" t="n">
        <v>0</v>
      </c>
      <c r="I620" t="n">
        <v>0</v>
      </c>
      <c r="J620" t="n">
        <v>0</v>
      </c>
      <c r="K620" t="n">
        <v>0</v>
      </c>
      <c r="L620" t="n">
        <v>0</v>
      </c>
      <c r="M620" t="n">
        <v>0</v>
      </c>
      <c r="N620" t="n">
        <v>0</v>
      </c>
      <c r="O620" t="n">
        <v>0</v>
      </c>
      <c r="P620" t="n">
        <v>0</v>
      </c>
      <c r="Q620" t="n">
        <v>0</v>
      </c>
      <c r="R620" s="2" t="inlineStr"/>
    </row>
    <row r="621" ht="15" customHeight="1">
      <c r="A621" t="inlineStr">
        <is>
          <t>A 40221-2024</t>
        </is>
      </c>
      <c r="B621" s="1" t="n">
        <v>45554.59550925926</v>
      </c>
      <c r="C621" s="1" t="n">
        <v>45900</v>
      </c>
      <c r="D621" t="inlineStr">
        <is>
          <t>JÄMTLANDS LÄN</t>
        </is>
      </c>
      <c r="E621" t="inlineStr">
        <is>
          <t>KROKOM</t>
        </is>
      </c>
      <c r="G621" t="n">
        <v>2.6</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45900</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26619-2025</t>
        </is>
      </c>
      <c r="B623" s="1" t="n">
        <v>45810.31376157407</v>
      </c>
      <c r="C623" s="1" t="n">
        <v>45900</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27153-2025</t>
        </is>
      </c>
      <c r="B624" s="1" t="n">
        <v>45812.32266203704</v>
      </c>
      <c r="C624" s="1" t="n">
        <v>45900</v>
      </c>
      <c r="D624" t="inlineStr">
        <is>
          <t>JÄMTLANDS LÄN</t>
        </is>
      </c>
      <c r="E624" t="inlineStr">
        <is>
          <t>KROKOM</t>
        </is>
      </c>
      <c r="G624" t="n">
        <v>15.8</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45900</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40213-2024</t>
        </is>
      </c>
      <c r="B626" s="1" t="n">
        <v>45554.59447916667</v>
      </c>
      <c r="C626" s="1" t="n">
        <v>45900</v>
      </c>
      <c r="D626" t="inlineStr">
        <is>
          <t>JÄMTLANDS LÄN</t>
        </is>
      </c>
      <c r="E626" t="inlineStr">
        <is>
          <t>KROKOM</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27097-2025</t>
        </is>
      </c>
      <c r="B627" s="1" t="n">
        <v>45811.67769675926</v>
      </c>
      <c r="C627" s="1" t="n">
        <v>45900</v>
      </c>
      <c r="D627" t="inlineStr">
        <is>
          <t>JÄMTLANDS LÄN</t>
        </is>
      </c>
      <c r="E627" t="inlineStr">
        <is>
          <t>KROKOM</t>
        </is>
      </c>
      <c r="G627" t="n">
        <v>8.5</v>
      </c>
      <c r="H627" t="n">
        <v>0</v>
      </c>
      <c r="I627" t="n">
        <v>0</v>
      </c>
      <c r="J627" t="n">
        <v>0</v>
      </c>
      <c r="K627" t="n">
        <v>0</v>
      </c>
      <c r="L627" t="n">
        <v>0</v>
      </c>
      <c r="M627" t="n">
        <v>0</v>
      </c>
      <c r="N627" t="n">
        <v>0</v>
      </c>
      <c r="O627" t="n">
        <v>0</v>
      </c>
      <c r="P627" t="n">
        <v>0</v>
      </c>
      <c r="Q627" t="n">
        <v>0</v>
      </c>
      <c r="R627" s="2" t="inlineStr"/>
    </row>
    <row r="628" ht="15" customHeight="1">
      <c r="A628" t="inlineStr">
        <is>
          <t>A 62131-2024</t>
        </is>
      </c>
      <c r="B628" s="1" t="n">
        <v>45656</v>
      </c>
      <c r="C628" s="1" t="n">
        <v>45900</v>
      </c>
      <c r="D628" t="inlineStr">
        <is>
          <t>JÄMTLANDS LÄN</t>
        </is>
      </c>
      <c r="E628" t="inlineStr">
        <is>
          <t>KROKOM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39368-2024</t>
        </is>
      </c>
      <c r="B629" s="1" t="n">
        <v>45551.47325231481</v>
      </c>
      <c r="C629" s="1" t="n">
        <v>45900</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6590-2025</t>
        </is>
      </c>
      <c r="B630" s="1" t="n">
        <v>45700.30092592593</v>
      </c>
      <c r="C630" s="1" t="n">
        <v>45900</v>
      </c>
      <c r="D630" t="inlineStr">
        <is>
          <t>JÄMTLANDS LÄN</t>
        </is>
      </c>
      <c r="E630" t="inlineStr">
        <is>
          <t>KROKOM</t>
        </is>
      </c>
      <c r="F630" t="inlineStr">
        <is>
          <t>Övriga Aktiebolag</t>
        </is>
      </c>
      <c r="G630" t="n">
        <v>51.6</v>
      </c>
      <c r="H630" t="n">
        <v>0</v>
      </c>
      <c r="I630" t="n">
        <v>0</v>
      </c>
      <c r="J630" t="n">
        <v>0</v>
      </c>
      <c r="K630" t="n">
        <v>0</v>
      </c>
      <c r="L630" t="n">
        <v>0</v>
      </c>
      <c r="M630" t="n">
        <v>0</v>
      </c>
      <c r="N630" t="n">
        <v>0</v>
      </c>
      <c r="O630" t="n">
        <v>0</v>
      </c>
      <c r="P630" t="n">
        <v>0</v>
      </c>
      <c r="Q630" t="n">
        <v>0</v>
      </c>
      <c r="R630" s="2" t="inlineStr"/>
    </row>
    <row r="631" ht="15" customHeight="1">
      <c r="A631" t="inlineStr">
        <is>
          <t>A 15310-2025</t>
        </is>
      </c>
      <c r="B631" s="1" t="n">
        <v>45746.79134259259</v>
      </c>
      <c r="C631" s="1" t="n">
        <v>45900</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27104-2025</t>
        </is>
      </c>
      <c r="B632" s="1" t="n">
        <v>45811.69912037037</v>
      </c>
      <c r="C632" s="1" t="n">
        <v>45900</v>
      </c>
      <c r="D632" t="inlineStr">
        <is>
          <t>JÄMTLANDS LÄN</t>
        </is>
      </c>
      <c r="E632" t="inlineStr">
        <is>
          <t>KROKOM</t>
        </is>
      </c>
      <c r="G632" t="n">
        <v>14.4</v>
      </c>
      <c r="H632" t="n">
        <v>0</v>
      </c>
      <c r="I632" t="n">
        <v>0</v>
      </c>
      <c r="J632" t="n">
        <v>0</v>
      </c>
      <c r="K632" t="n">
        <v>0</v>
      </c>
      <c r="L632" t="n">
        <v>0</v>
      </c>
      <c r="M632" t="n">
        <v>0</v>
      </c>
      <c r="N632" t="n">
        <v>0</v>
      </c>
      <c r="O632" t="n">
        <v>0</v>
      </c>
      <c r="P632" t="n">
        <v>0</v>
      </c>
      <c r="Q632" t="n">
        <v>0</v>
      </c>
      <c r="R632" s="2" t="inlineStr"/>
    </row>
    <row r="633" ht="15" customHeight="1">
      <c r="A633" t="inlineStr">
        <is>
          <t>A 30383-2024</t>
        </is>
      </c>
      <c r="B633" s="1" t="n">
        <v>45491.44971064815</v>
      </c>
      <c r="C633" s="1" t="n">
        <v>45900</v>
      </c>
      <c r="D633" t="inlineStr">
        <is>
          <t>JÄMTLANDS LÄN</t>
        </is>
      </c>
      <c r="E633" t="inlineStr">
        <is>
          <t>KROKOM</t>
        </is>
      </c>
      <c r="G633" t="n">
        <v>22.9</v>
      </c>
      <c r="H633" t="n">
        <v>0</v>
      </c>
      <c r="I633" t="n">
        <v>0</v>
      </c>
      <c r="J633" t="n">
        <v>0</v>
      </c>
      <c r="K633" t="n">
        <v>0</v>
      </c>
      <c r="L633" t="n">
        <v>0</v>
      </c>
      <c r="M633" t="n">
        <v>0</v>
      </c>
      <c r="N633" t="n">
        <v>0</v>
      </c>
      <c r="O633" t="n">
        <v>0</v>
      </c>
      <c r="P633" t="n">
        <v>0</v>
      </c>
      <c r="Q633" t="n">
        <v>0</v>
      </c>
      <c r="R633" s="2" t="inlineStr"/>
    </row>
    <row r="634" ht="15" customHeight="1">
      <c r="A634" t="inlineStr">
        <is>
          <t>A 9796-2025</t>
        </is>
      </c>
      <c r="B634" s="1" t="n">
        <v>45716.55237268518</v>
      </c>
      <c r="C634" s="1" t="n">
        <v>45900</v>
      </c>
      <c r="D634" t="inlineStr">
        <is>
          <t>JÄMTLANDS LÄN</t>
        </is>
      </c>
      <c r="E634" t="inlineStr">
        <is>
          <t>KROKOM</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27522-2025</t>
        </is>
      </c>
      <c r="B635" s="1" t="n">
        <v>45813.44443287037</v>
      </c>
      <c r="C635" s="1" t="n">
        <v>45900</v>
      </c>
      <c r="D635" t="inlineStr">
        <is>
          <t>JÄMTLANDS LÄN</t>
        </is>
      </c>
      <c r="E635" t="inlineStr">
        <is>
          <t>KROKOM</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39230-2024</t>
        </is>
      </c>
      <c r="B636" s="1" t="n">
        <v>45550.66542824074</v>
      </c>
      <c r="C636" s="1" t="n">
        <v>45900</v>
      </c>
      <c r="D636" t="inlineStr">
        <is>
          <t>JÄMTLANDS LÄN</t>
        </is>
      </c>
      <c r="E636" t="inlineStr">
        <is>
          <t>KROKOM</t>
        </is>
      </c>
      <c r="G636" t="n">
        <v>7.9</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45900</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27547-2025</t>
        </is>
      </c>
      <c r="B638" s="1" t="n">
        <v>45813.46969907408</v>
      </c>
      <c r="C638" s="1" t="n">
        <v>45900</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27833-2025</t>
        </is>
      </c>
      <c r="B639" s="1" t="n">
        <v>45814</v>
      </c>
      <c r="C639" s="1" t="n">
        <v>45900</v>
      </c>
      <c r="D639" t="inlineStr">
        <is>
          <t>JÄMTLANDS LÄN</t>
        </is>
      </c>
      <c r="E639" t="inlineStr">
        <is>
          <t>KROKOM</t>
        </is>
      </c>
      <c r="G639" t="n">
        <v>1.9</v>
      </c>
      <c r="H639" t="n">
        <v>0</v>
      </c>
      <c r="I639" t="n">
        <v>0</v>
      </c>
      <c r="J639" t="n">
        <v>0</v>
      </c>
      <c r="K639" t="n">
        <v>0</v>
      </c>
      <c r="L639" t="n">
        <v>0</v>
      </c>
      <c r="M639" t="n">
        <v>0</v>
      </c>
      <c r="N639" t="n">
        <v>0</v>
      </c>
      <c r="O639" t="n">
        <v>0</v>
      </c>
      <c r="P639" t="n">
        <v>0</v>
      </c>
      <c r="Q639" t="n">
        <v>0</v>
      </c>
      <c r="R639" s="2" t="inlineStr"/>
    </row>
    <row r="640" ht="15" customHeight="1">
      <c r="A640" t="inlineStr">
        <is>
          <t>A 27851-2025</t>
        </is>
      </c>
      <c r="B640" s="1" t="n">
        <v>45814</v>
      </c>
      <c r="C640" s="1" t="n">
        <v>45900</v>
      </c>
      <c r="D640" t="inlineStr">
        <is>
          <t>JÄMTLANDS LÄN</t>
        </is>
      </c>
      <c r="E640" t="inlineStr">
        <is>
          <t>KROKOM</t>
        </is>
      </c>
      <c r="G640" t="n">
        <v>13.9</v>
      </c>
      <c r="H640" t="n">
        <v>0</v>
      </c>
      <c r="I640" t="n">
        <v>0</v>
      </c>
      <c r="J640" t="n">
        <v>0</v>
      </c>
      <c r="K640" t="n">
        <v>0</v>
      </c>
      <c r="L640" t="n">
        <v>0</v>
      </c>
      <c r="M640" t="n">
        <v>0</v>
      </c>
      <c r="N640" t="n">
        <v>0</v>
      </c>
      <c r="O640" t="n">
        <v>0</v>
      </c>
      <c r="P640" t="n">
        <v>0</v>
      </c>
      <c r="Q640" t="n">
        <v>0</v>
      </c>
      <c r="R640" s="2" t="inlineStr"/>
    </row>
    <row r="641" ht="15" customHeight="1">
      <c r="A641" t="inlineStr">
        <is>
          <t>A 61732-2021</t>
        </is>
      </c>
      <c r="B641" s="1" t="n">
        <v>44498</v>
      </c>
      <c r="C641" s="1" t="n">
        <v>45900</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45900</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1877-2023</t>
        </is>
      </c>
      <c r="B643" s="1" t="n">
        <v>44938.93989583333</v>
      </c>
      <c r="C643" s="1" t="n">
        <v>45900</v>
      </c>
      <c r="D643" t="inlineStr">
        <is>
          <t>JÄMTLANDS LÄN</t>
        </is>
      </c>
      <c r="E643" t="inlineStr">
        <is>
          <t>KROKOM</t>
        </is>
      </c>
      <c r="G643" t="n">
        <v>11.1</v>
      </c>
      <c r="H643" t="n">
        <v>0</v>
      </c>
      <c r="I643" t="n">
        <v>0</v>
      </c>
      <c r="J643" t="n">
        <v>0</v>
      </c>
      <c r="K643" t="n">
        <v>0</v>
      </c>
      <c r="L643" t="n">
        <v>0</v>
      </c>
      <c r="M643" t="n">
        <v>0</v>
      </c>
      <c r="N643" t="n">
        <v>0</v>
      </c>
      <c r="O643" t="n">
        <v>0</v>
      </c>
      <c r="P643" t="n">
        <v>0</v>
      </c>
      <c r="Q643" t="n">
        <v>0</v>
      </c>
      <c r="R643" s="2" t="inlineStr"/>
    </row>
    <row r="644" ht="15" customHeight="1">
      <c r="A644" t="inlineStr">
        <is>
          <t>A 27703-2025</t>
        </is>
      </c>
      <c r="B644" s="1" t="n">
        <v>45813.68361111111</v>
      </c>
      <c r="C644" s="1" t="n">
        <v>45900</v>
      </c>
      <c r="D644" t="inlineStr">
        <is>
          <t>JÄMTLANDS LÄN</t>
        </is>
      </c>
      <c r="E644" t="inlineStr">
        <is>
          <t>KROKOM</t>
        </is>
      </c>
      <c r="G644" t="n">
        <v>7.1</v>
      </c>
      <c r="H644" t="n">
        <v>0</v>
      </c>
      <c r="I644" t="n">
        <v>0</v>
      </c>
      <c r="J644" t="n">
        <v>0</v>
      </c>
      <c r="K644" t="n">
        <v>0</v>
      </c>
      <c r="L644" t="n">
        <v>0</v>
      </c>
      <c r="M644" t="n">
        <v>0</v>
      </c>
      <c r="N644" t="n">
        <v>0</v>
      </c>
      <c r="O644" t="n">
        <v>0</v>
      </c>
      <c r="P644" t="n">
        <v>0</v>
      </c>
      <c r="Q644" t="n">
        <v>0</v>
      </c>
      <c r="R644" s="2" t="inlineStr"/>
    </row>
    <row r="645" ht="15" customHeight="1">
      <c r="A645" t="inlineStr">
        <is>
          <t>A 22236-2025</t>
        </is>
      </c>
      <c r="B645" s="1" t="n">
        <v>45785.67431712963</v>
      </c>
      <c r="C645" s="1" t="n">
        <v>45900</v>
      </c>
      <c r="D645" t="inlineStr">
        <is>
          <t>JÄMTLANDS LÄN</t>
        </is>
      </c>
      <c r="E645" t="inlineStr">
        <is>
          <t>KROKOM</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8695-2025</t>
        </is>
      </c>
      <c r="B646" s="1" t="n">
        <v>45709</v>
      </c>
      <c r="C646" s="1" t="n">
        <v>45900</v>
      </c>
      <c r="D646" t="inlineStr">
        <is>
          <t>JÄMTLANDS LÄN</t>
        </is>
      </c>
      <c r="E646" t="inlineStr">
        <is>
          <t>KROKOM</t>
        </is>
      </c>
      <c r="G646" t="n">
        <v>21.4</v>
      </c>
      <c r="H646" t="n">
        <v>0</v>
      </c>
      <c r="I646" t="n">
        <v>0</v>
      </c>
      <c r="J646" t="n">
        <v>0</v>
      </c>
      <c r="K646" t="n">
        <v>0</v>
      </c>
      <c r="L646" t="n">
        <v>0</v>
      </c>
      <c r="M646" t="n">
        <v>0</v>
      </c>
      <c r="N646" t="n">
        <v>0</v>
      </c>
      <c r="O646" t="n">
        <v>0</v>
      </c>
      <c r="P646" t="n">
        <v>0</v>
      </c>
      <c r="Q646" t="n">
        <v>0</v>
      </c>
      <c r="R646" s="2" t="inlineStr"/>
    </row>
    <row r="647" ht="15" customHeight="1">
      <c r="A647" t="inlineStr">
        <is>
          <t>A 1323-2025</t>
        </is>
      </c>
      <c r="B647" s="1" t="n">
        <v>45667.57217592592</v>
      </c>
      <c r="C647" s="1" t="n">
        <v>45900</v>
      </c>
      <c r="D647" t="inlineStr">
        <is>
          <t>JÄMTLANDS LÄN</t>
        </is>
      </c>
      <c r="E647" t="inlineStr">
        <is>
          <t>KROKOM</t>
        </is>
      </c>
      <c r="G647" t="n">
        <v>5.9</v>
      </c>
      <c r="H647" t="n">
        <v>0</v>
      </c>
      <c r="I647" t="n">
        <v>0</v>
      </c>
      <c r="J647" t="n">
        <v>0</v>
      </c>
      <c r="K647" t="n">
        <v>0</v>
      </c>
      <c r="L647" t="n">
        <v>0</v>
      </c>
      <c r="M647" t="n">
        <v>0</v>
      </c>
      <c r="N647" t="n">
        <v>0</v>
      </c>
      <c r="O647" t="n">
        <v>0</v>
      </c>
      <c r="P647" t="n">
        <v>0</v>
      </c>
      <c r="Q647" t="n">
        <v>0</v>
      </c>
      <c r="R647" s="2" t="inlineStr"/>
    </row>
    <row r="648" ht="15" customHeight="1">
      <c r="A648" t="inlineStr">
        <is>
          <t>A 6524-2025</t>
        </is>
      </c>
      <c r="B648" s="1" t="n">
        <v>45699.66576388889</v>
      </c>
      <c r="C648" s="1" t="n">
        <v>45900</v>
      </c>
      <c r="D648" t="inlineStr">
        <is>
          <t>JÄMTLANDS LÄN</t>
        </is>
      </c>
      <c r="E648" t="inlineStr">
        <is>
          <t>KROKOM</t>
        </is>
      </c>
      <c r="F648" t="inlineStr">
        <is>
          <t>Övriga Aktiebolag</t>
        </is>
      </c>
      <c r="G648" t="n">
        <v>51.6</v>
      </c>
      <c r="H648" t="n">
        <v>0</v>
      </c>
      <c r="I648" t="n">
        <v>0</v>
      </c>
      <c r="J648" t="n">
        <v>0</v>
      </c>
      <c r="K648" t="n">
        <v>0</v>
      </c>
      <c r="L648" t="n">
        <v>0</v>
      </c>
      <c r="M648" t="n">
        <v>0</v>
      </c>
      <c r="N648" t="n">
        <v>0</v>
      </c>
      <c r="O648" t="n">
        <v>0</v>
      </c>
      <c r="P648" t="n">
        <v>0</v>
      </c>
      <c r="Q648" t="n">
        <v>0</v>
      </c>
      <c r="R648" s="2" t="inlineStr"/>
    </row>
    <row r="649" ht="15" customHeight="1">
      <c r="A649" t="inlineStr">
        <is>
          <t>A 46046-2023</t>
        </is>
      </c>
      <c r="B649" s="1" t="n">
        <v>45190</v>
      </c>
      <c r="C649" s="1" t="n">
        <v>45900</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45700.56194444445</v>
      </c>
      <c r="C650" s="1" t="n">
        <v>45900</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16199-2025</t>
        </is>
      </c>
      <c r="B651" s="1" t="n">
        <v>45750.60577546297</v>
      </c>
      <c r="C651" s="1" t="n">
        <v>45900</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4423-2025</t>
        </is>
      </c>
      <c r="B652" s="1" t="n">
        <v>45686</v>
      </c>
      <c r="C652" s="1" t="n">
        <v>45900</v>
      </c>
      <c r="D652" t="inlineStr">
        <is>
          <t>JÄMTLANDS LÄN</t>
        </is>
      </c>
      <c r="E652" t="inlineStr">
        <is>
          <t>KROKOM</t>
        </is>
      </c>
      <c r="G652" t="n">
        <v>17.3</v>
      </c>
      <c r="H652" t="n">
        <v>0</v>
      </c>
      <c r="I652" t="n">
        <v>0</v>
      </c>
      <c r="J652" t="n">
        <v>0</v>
      </c>
      <c r="K652" t="n">
        <v>0</v>
      </c>
      <c r="L652" t="n">
        <v>0</v>
      </c>
      <c r="M652" t="n">
        <v>0</v>
      </c>
      <c r="N652" t="n">
        <v>0</v>
      </c>
      <c r="O652" t="n">
        <v>0</v>
      </c>
      <c r="P652" t="n">
        <v>0</v>
      </c>
      <c r="Q652" t="n">
        <v>0</v>
      </c>
      <c r="R652" s="2" t="inlineStr"/>
    </row>
    <row r="653" ht="15" customHeight="1">
      <c r="A653" t="inlineStr">
        <is>
          <t>A 28155-2025</t>
        </is>
      </c>
      <c r="B653" s="1" t="n">
        <v>45818.36246527778</v>
      </c>
      <c r="C653" s="1" t="n">
        <v>45900</v>
      </c>
      <c r="D653" t="inlineStr">
        <is>
          <t>JÄMTLANDS LÄN</t>
        </is>
      </c>
      <c r="E653" t="inlineStr">
        <is>
          <t>KROKOM</t>
        </is>
      </c>
      <c r="F653" t="inlineStr">
        <is>
          <t>Kyrkan</t>
        </is>
      </c>
      <c r="G653" t="n">
        <v>6.1</v>
      </c>
      <c r="H653" t="n">
        <v>0</v>
      </c>
      <c r="I653" t="n">
        <v>0</v>
      </c>
      <c r="J653" t="n">
        <v>0</v>
      </c>
      <c r="K653" t="n">
        <v>0</v>
      </c>
      <c r="L653" t="n">
        <v>0</v>
      </c>
      <c r="M653" t="n">
        <v>0</v>
      </c>
      <c r="N653" t="n">
        <v>0</v>
      </c>
      <c r="O653" t="n">
        <v>0</v>
      </c>
      <c r="P653" t="n">
        <v>0</v>
      </c>
      <c r="Q653" t="n">
        <v>0</v>
      </c>
      <c r="R653" s="2" t="inlineStr"/>
    </row>
    <row r="654" ht="15" customHeight="1">
      <c r="A654" t="inlineStr">
        <is>
          <t>A 28130-2025</t>
        </is>
      </c>
      <c r="B654" s="1" t="n">
        <v>45818.3293287037</v>
      </c>
      <c r="C654" s="1" t="n">
        <v>45900</v>
      </c>
      <c r="D654" t="inlineStr">
        <is>
          <t>JÄMTLANDS LÄN</t>
        </is>
      </c>
      <c r="E654" t="inlineStr">
        <is>
          <t>KROKOM</t>
        </is>
      </c>
      <c r="F654" t="inlineStr">
        <is>
          <t>Kyrkan</t>
        </is>
      </c>
      <c r="G654" t="n">
        <v>10.2</v>
      </c>
      <c r="H654" t="n">
        <v>0</v>
      </c>
      <c r="I654" t="n">
        <v>0</v>
      </c>
      <c r="J654" t="n">
        <v>0</v>
      </c>
      <c r="K654" t="n">
        <v>0</v>
      </c>
      <c r="L654" t="n">
        <v>0</v>
      </c>
      <c r="M654" t="n">
        <v>0</v>
      </c>
      <c r="N654" t="n">
        <v>0</v>
      </c>
      <c r="O654" t="n">
        <v>0</v>
      </c>
      <c r="P654" t="n">
        <v>0</v>
      </c>
      <c r="Q654" t="n">
        <v>0</v>
      </c>
      <c r="R654" s="2" t="inlineStr"/>
    </row>
    <row r="655" ht="15" customHeight="1">
      <c r="A655" t="inlineStr">
        <is>
          <t>A 44156-2024</t>
        </is>
      </c>
      <c r="B655" s="1" t="n">
        <v>45572</v>
      </c>
      <c r="C655" s="1" t="n">
        <v>45900</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27973-2025</t>
        </is>
      </c>
      <c r="B656" s="1" t="n">
        <v>45817.56761574074</v>
      </c>
      <c r="C656" s="1" t="n">
        <v>45900</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4575-2025</t>
        </is>
      </c>
      <c r="B657" s="1" t="n">
        <v>45687.48931712963</v>
      </c>
      <c r="C657" s="1" t="n">
        <v>45900</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42774-2024</t>
        </is>
      </c>
      <c r="B658" s="1" t="n">
        <v>45566.51501157408</v>
      </c>
      <c r="C658" s="1" t="n">
        <v>45900</v>
      </c>
      <c r="D658" t="inlineStr">
        <is>
          <t>JÄMTLANDS LÄN</t>
        </is>
      </c>
      <c r="E658" t="inlineStr">
        <is>
          <t>KROKOM</t>
        </is>
      </c>
      <c r="G658" t="n">
        <v>32</v>
      </c>
      <c r="H658" t="n">
        <v>0</v>
      </c>
      <c r="I658" t="n">
        <v>0</v>
      </c>
      <c r="J658" t="n">
        <v>0</v>
      </c>
      <c r="K658" t="n">
        <v>0</v>
      </c>
      <c r="L658" t="n">
        <v>0</v>
      </c>
      <c r="M658" t="n">
        <v>0</v>
      </c>
      <c r="N658" t="n">
        <v>0</v>
      </c>
      <c r="O658" t="n">
        <v>0</v>
      </c>
      <c r="P658" t="n">
        <v>0</v>
      </c>
      <c r="Q658" t="n">
        <v>0</v>
      </c>
      <c r="R658" s="2" t="inlineStr"/>
    </row>
    <row r="659" ht="15" customHeight="1">
      <c r="A659" t="inlineStr">
        <is>
          <t>A 38748-2024</t>
        </is>
      </c>
      <c r="B659" s="1" t="n">
        <v>45547.42736111111</v>
      </c>
      <c r="C659" s="1" t="n">
        <v>45900</v>
      </c>
      <c r="D659" t="inlineStr">
        <is>
          <t>JÄMTLANDS LÄN</t>
        </is>
      </c>
      <c r="E659" t="inlineStr">
        <is>
          <t>KROKOM</t>
        </is>
      </c>
      <c r="G659" t="n">
        <v>0.1</v>
      </c>
      <c r="H659" t="n">
        <v>0</v>
      </c>
      <c r="I659" t="n">
        <v>0</v>
      </c>
      <c r="J659" t="n">
        <v>0</v>
      </c>
      <c r="K659" t="n">
        <v>0</v>
      </c>
      <c r="L659" t="n">
        <v>0</v>
      </c>
      <c r="M659" t="n">
        <v>0</v>
      </c>
      <c r="N659" t="n">
        <v>0</v>
      </c>
      <c r="O659" t="n">
        <v>0</v>
      </c>
      <c r="P659" t="n">
        <v>0</v>
      </c>
      <c r="Q659" t="n">
        <v>0</v>
      </c>
      <c r="R659" s="2" t="inlineStr"/>
    </row>
    <row r="660" ht="15" customHeight="1">
      <c r="A660" t="inlineStr">
        <is>
          <t>A 41784-2023</t>
        </is>
      </c>
      <c r="B660" s="1" t="n">
        <v>45176</v>
      </c>
      <c r="C660" s="1" t="n">
        <v>45900</v>
      </c>
      <c r="D660" t="inlineStr">
        <is>
          <t>JÄMTLANDS LÄN</t>
        </is>
      </c>
      <c r="E660" t="inlineStr">
        <is>
          <t>KROKOM</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5785-2025</t>
        </is>
      </c>
      <c r="B661" s="1" t="n">
        <v>45694.64416666667</v>
      </c>
      <c r="C661" s="1" t="n">
        <v>45900</v>
      </c>
      <c r="D661" t="inlineStr">
        <is>
          <t>JÄMTLANDS LÄN</t>
        </is>
      </c>
      <c r="E661" t="inlineStr">
        <is>
          <t>KROKOM</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1287-2021</t>
        </is>
      </c>
      <c r="B662" s="1" t="n">
        <v>44207</v>
      </c>
      <c r="C662" s="1" t="n">
        <v>45900</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27740-2025</t>
        </is>
      </c>
      <c r="B663" s="1" t="n">
        <v>45815.50844907408</v>
      </c>
      <c r="C663" s="1" t="n">
        <v>45900</v>
      </c>
      <c r="D663" t="inlineStr">
        <is>
          <t>JÄMTLANDS LÄN</t>
        </is>
      </c>
      <c r="E663" t="inlineStr">
        <is>
          <t>KROKOM</t>
        </is>
      </c>
      <c r="G663" t="n">
        <v>9.1</v>
      </c>
      <c r="H663" t="n">
        <v>0</v>
      </c>
      <c r="I663" t="n">
        <v>0</v>
      </c>
      <c r="J663" t="n">
        <v>0</v>
      </c>
      <c r="K663" t="n">
        <v>0</v>
      </c>
      <c r="L663" t="n">
        <v>0</v>
      </c>
      <c r="M663" t="n">
        <v>0</v>
      </c>
      <c r="N663" t="n">
        <v>0</v>
      </c>
      <c r="O663" t="n">
        <v>0</v>
      </c>
      <c r="P663" t="n">
        <v>0</v>
      </c>
      <c r="Q663" t="n">
        <v>0</v>
      </c>
      <c r="R663" s="2" t="inlineStr"/>
    </row>
    <row r="664" ht="15" customHeight="1">
      <c r="A664" t="inlineStr">
        <is>
          <t>A 28137-2025</t>
        </is>
      </c>
      <c r="B664" s="1" t="n">
        <v>45818.34474537037</v>
      </c>
      <c r="C664" s="1" t="n">
        <v>45900</v>
      </c>
      <c r="D664" t="inlineStr">
        <is>
          <t>JÄMTLANDS LÄN</t>
        </is>
      </c>
      <c r="E664" t="inlineStr">
        <is>
          <t>KROKOM</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28136-2025</t>
        </is>
      </c>
      <c r="B665" s="1" t="n">
        <v>45818.34473379629</v>
      </c>
      <c r="C665" s="1" t="n">
        <v>45900</v>
      </c>
      <c r="D665" t="inlineStr">
        <is>
          <t>JÄMTLANDS LÄN</t>
        </is>
      </c>
      <c r="E665" t="inlineStr">
        <is>
          <t>KROKOM</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54975-2024</t>
        </is>
      </c>
      <c r="B666" s="1" t="n">
        <v>45620.67667824074</v>
      </c>
      <c r="C666" s="1" t="n">
        <v>45900</v>
      </c>
      <c r="D666" t="inlineStr">
        <is>
          <t>JÄMTLANDS LÄN</t>
        </is>
      </c>
      <c r="E666" t="inlineStr">
        <is>
          <t>KROKOM</t>
        </is>
      </c>
      <c r="G666" t="n">
        <v>24.1</v>
      </c>
      <c r="H666" t="n">
        <v>0</v>
      </c>
      <c r="I666" t="n">
        <v>0</v>
      </c>
      <c r="J666" t="n">
        <v>0</v>
      </c>
      <c r="K666" t="n">
        <v>0</v>
      </c>
      <c r="L666" t="n">
        <v>0</v>
      </c>
      <c r="M666" t="n">
        <v>0</v>
      </c>
      <c r="N666" t="n">
        <v>0</v>
      </c>
      <c r="O666" t="n">
        <v>0</v>
      </c>
      <c r="P666" t="n">
        <v>0</v>
      </c>
      <c r="Q666" t="n">
        <v>0</v>
      </c>
      <c r="R666" s="2" t="inlineStr"/>
    </row>
    <row r="667" ht="15" customHeight="1">
      <c r="A667" t="inlineStr">
        <is>
          <t>A 28132-2025</t>
        </is>
      </c>
      <c r="B667" s="1" t="n">
        <v>45818.33532407408</v>
      </c>
      <c r="C667" s="1" t="n">
        <v>45900</v>
      </c>
      <c r="D667" t="inlineStr">
        <is>
          <t>JÄMTLANDS LÄN</t>
        </is>
      </c>
      <c r="E667" t="inlineStr">
        <is>
          <t>KROKOM</t>
        </is>
      </c>
      <c r="F667" t="inlineStr">
        <is>
          <t>Kyrkan</t>
        </is>
      </c>
      <c r="G667" t="n">
        <v>4.5</v>
      </c>
      <c r="H667" t="n">
        <v>0</v>
      </c>
      <c r="I667" t="n">
        <v>0</v>
      </c>
      <c r="J667" t="n">
        <v>0</v>
      </c>
      <c r="K667" t="n">
        <v>0</v>
      </c>
      <c r="L667" t="n">
        <v>0</v>
      </c>
      <c r="M667" t="n">
        <v>0</v>
      </c>
      <c r="N667" t="n">
        <v>0</v>
      </c>
      <c r="O667" t="n">
        <v>0</v>
      </c>
      <c r="P667" t="n">
        <v>0</v>
      </c>
      <c r="Q667" t="n">
        <v>0</v>
      </c>
      <c r="R667" s="2" t="inlineStr"/>
    </row>
    <row r="668" ht="15" customHeight="1">
      <c r="A668" t="inlineStr">
        <is>
          <t>A 28147-2025</t>
        </is>
      </c>
      <c r="B668" s="1" t="n">
        <v>45818.34833333334</v>
      </c>
      <c r="C668" s="1" t="n">
        <v>45900</v>
      </c>
      <c r="D668" t="inlineStr">
        <is>
          <t>JÄMTLANDS LÄN</t>
        </is>
      </c>
      <c r="E668" t="inlineStr">
        <is>
          <t>KROKOM</t>
        </is>
      </c>
      <c r="F668" t="inlineStr">
        <is>
          <t>Kyrkan</t>
        </is>
      </c>
      <c r="G668" t="n">
        <v>10.8</v>
      </c>
      <c r="H668" t="n">
        <v>0</v>
      </c>
      <c r="I668" t="n">
        <v>0</v>
      </c>
      <c r="J668" t="n">
        <v>0</v>
      </c>
      <c r="K668" t="n">
        <v>0</v>
      </c>
      <c r="L668" t="n">
        <v>0</v>
      </c>
      <c r="M668" t="n">
        <v>0</v>
      </c>
      <c r="N668" t="n">
        <v>0</v>
      </c>
      <c r="O668" t="n">
        <v>0</v>
      </c>
      <c r="P668" t="n">
        <v>0</v>
      </c>
      <c r="Q668" t="n">
        <v>0</v>
      </c>
      <c r="R668" s="2" t="inlineStr"/>
    </row>
    <row r="669" ht="15" customHeight="1">
      <c r="A669" t="inlineStr">
        <is>
          <t>A 28162-2025</t>
        </is>
      </c>
      <c r="B669" s="1" t="n">
        <v>45818.37056712963</v>
      </c>
      <c r="C669" s="1" t="n">
        <v>45900</v>
      </c>
      <c r="D669" t="inlineStr">
        <is>
          <t>JÄMTLANDS LÄN</t>
        </is>
      </c>
      <c r="E669" t="inlineStr">
        <is>
          <t>KROKOM</t>
        </is>
      </c>
      <c r="F669" t="inlineStr">
        <is>
          <t>Kyrkan</t>
        </is>
      </c>
      <c r="G669" t="n">
        <v>4</v>
      </c>
      <c r="H669" t="n">
        <v>0</v>
      </c>
      <c r="I669" t="n">
        <v>0</v>
      </c>
      <c r="J669" t="n">
        <v>0</v>
      </c>
      <c r="K669" t="n">
        <v>0</v>
      </c>
      <c r="L669" t="n">
        <v>0</v>
      </c>
      <c r="M669" t="n">
        <v>0</v>
      </c>
      <c r="N669" t="n">
        <v>0</v>
      </c>
      <c r="O669" t="n">
        <v>0</v>
      </c>
      <c r="P669" t="n">
        <v>0</v>
      </c>
      <c r="Q669" t="n">
        <v>0</v>
      </c>
      <c r="R669" s="2" t="inlineStr"/>
    </row>
    <row r="670" ht="15" customHeight="1">
      <c r="A670" t="inlineStr">
        <is>
          <t>A 54043-2023</t>
        </is>
      </c>
      <c r="B670" s="1" t="n">
        <v>45231</v>
      </c>
      <c r="C670" s="1" t="n">
        <v>45900</v>
      </c>
      <c r="D670" t="inlineStr">
        <is>
          <t>JÄMTLANDS LÄN</t>
        </is>
      </c>
      <c r="E670" t="inlineStr">
        <is>
          <t>KROKOM</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35875-2025</t>
        </is>
      </c>
      <c r="B671" s="1" t="n">
        <v>45862.34668981482</v>
      </c>
      <c r="C671" s="1" t="n">
        <v>45900</v>
      </c>
      <c r="D671" t="inlineStr">
        <is>
          <t>JÄMTLANDS LÄN</t>
        </is>
      </c>
      <c r="E671" t="inlineStr">
        <is>
          <t>KROKOM</t>
        </is>
      </c>
      <c r="F671" t="inlineStr">
        <is>
          <t>Övriga Aktiebolag</t>
        </is>
      </c>
      <c r="G671" t="n">
        <v>14.9</v>
      </c>
      <c r="H671" t="n">
        <v>0</v>
      </c>
      <c r="I671" t="n">
        <v>0</v>
      </c>
      <c r="J671" t="n">
        <v>0</v>
      </c>
      <c r="K671" t="n">
        <v>0</v>
      </c>
      <c r="L671" t="n">
        <v>0</v>
      </c>
      <c r="M671" t="n">
        <v>0</v>
      </c>
      <c r="N671" t="n">
        <v>0</v>
      </c>
      <c r="O671" t="n">
        <v>0</v>
      </c>
      <c r="P671" t="n">
        <v>0</v>
      </c>
      <c r="Q671" t="n">
        <v>0</v>
      </c>
      <c r="R671" s="2" t="inlineStr"/>
    </row>
    <row r="672" ht="15" customHeight="1">
      <c r="A672" t="inlineStr">
        <is>
          <t>A 692-2025</t>
        </is>
      </c>
      <c r="B672" s="1" t="n">
        <v>45662</v>
      </c>
      <c r="C672" s="1" t="n">
        <v>45900</v>
      </c>
      <c r="D672" t="inlineStr">
        <is>
          <t>JÄMTLANDS LÄN</t>
        </is>
      </c>
      <c r="E672" t="inlineStr">
        <is>
          <t>KROKOM</t>
        </is>
      </c>
      <c r="G672" t="n">
        <v>20</v>
      </c>
      <c r="H672" t="n">
        <v>0</v>
      </c>
      <c r="I672" t="n">
        <v>0</v>
      </c>
      <c r="J672" t="n">
        <v>0</v>
      </c>
      <c r="K672" t="n">
        <v>0</v>
      </c>
      <c r="L672" t="n">
        <v>0</v>
      </c>
      <c r="M672" t="n">
        <v>0</v>
      </c>
      <c r="N672" t="n">
        <v>0</v>
      </c>
      <c r="O672" t="n">
        <v>0</v>
      </c>
      <c r="P672" t="n">
        <v>0</v>
      </c>
      <c r="Q672" t="n">
        <v>0</v>
      </c>
      <c r="R672" s="2" t="inlineStr"/>
    </row>
    <row r="673" ht="15" customHeight="1">
      <c r="A673" t="inlineStr">
        <is>
          <t>A 28843-2025</t>
        </is>
      </c>
      <c r="B673" s="1" t="n">
        <v>45820</v>
      </c>
      <c r="C673" s="1" t="n">
        <v>45900</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35778-2025</t>
        </is>
      </c>
      <c r="B674" s="1" t="n">
        <v>45860</v>
      </c>
      <c r="C674" s="1" t="n">
        <v>45900</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54160-2023</t>
        </is>
      </c>
      <c r="B675" s="1" t="n">
        <v>45232.46239583333</v>
      </c>
      <c r="C675" s="1" t="n">
        <v>45900</v>
      </c>
      <c r="D675" t="inlineStr">
        <is>
          <t>JÄMTLANDS LÄN</t>
        </is>
      </c>
      <c r="E675" t="inlineStr">
        <is>
          <t>KROKOM</t>
        </is>
      </c>
      <c r="G675" t="n">
        <v>3</v>
      </c>
      <c r="H675" t="n">
        <v>0</v>
      </c>
      <c r="I675" t="n">
        <v>0</v>
      </c>
      <c r="J675" t="n">
        <v>0</v>
      </c>
      <c r="K675" t="n">
        <v>0</v>
      </c>
      <c r="L675" t="n">
        <v>0</v>
      </c>
      <c r="M675" t="n">
        <v>0</v>
      </c>
      <c r="N675" t="n">
        <v>0</v>
      </c>
      <c r="O675" t="n">
        <v>0</v>
      </c>
      <c r="P675" t="n">
        <v>0</v>
      </c>
      <c r="Q675" t="n">
        <v>0</v>
      </c>
      <c r="R675" s="2" t="inlineStr"/>
    </row>
    <row r="676" ht="15" customHeight="1">
      <c r="A676" t="inlineStr">
        <is>
          <t>A 39753-2024</t>
        </is>
      </c>
      <c r="B676" s="1" t="n">
        <v>45552.67611111111</v>
      </c>
      <c r="C676" s="1" t="n">
        <v>45900</v>
      </c>
      <c r="D676" t="inlineStr">
        <is>
          <t>JÄMTLANDS LÄN</t>
        </is>
      </c>
      <c r="E676" t="inlineStr">
        <is>
          <t>KROKOM</t>
        </is>
      </c>
      <c r="G676" t="n">
        <v>1</v>
      </c>
      <c r="H676" t="n">
        <v>0</v>
      </c>
      <c r="I676" t="n">
        <v>0</v>
      </c>
      <c r="J676" t="n">
        <v>0</v>
      </c>
      <c r="K676" t="n">
        <v>0</v>
      </c>
      <c r="L676" t="n">
        <v>0</v>
      </c>
      <c r="M676" t="n">
        <v>0</v>
      </c>
      <c r="N676" t="n">
        <v>0</v>
      </c>
      <c r="O676" t="n">
        <v>0</v>
      </c>
      <c r="P676" t="n">
        <v>0</v>
      </c>
      <c r="Q676" t="n">
        <v>0</v>
      </c>
      <c r="R676" s="2" t="inlineStr"/>
    </row>
    <row r="677" ht="15" customHeight="1">
      <c r="A677" t="inlineStr">
        <is>
          <t>A 28752-2025</t>
        </is>
      </c>
      <c r="B677" s="1" t="n">
        <v>45820</v>
      </c>
      <c r="C677" s="1" t="n">
        <v>45900</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28725-2025</t>
        </is>
      </c>
      <c r="B678" s="1" t="n">
        <v>45820.36233796296</v>
      </c>
      <c r="C678" s="1" t="n">
        <v>45900</v>
      </c>
      <c r="D678" t="inlineStr">
        <is>
          <t>JÄMTLANDS LÄN</t>
        </is>
      </c>
      <c r="E678" t="inlineStr">
        <is>
          <t>KROKOM</t>
        </is>
      </c>
      <c r="G678" t="n">
        <v>7.3</v>
      </c>
      <c r="H678" t="n">
        <v>0</v>
      </c>
      <c r="I678" t="n">
        <v>0</v>
      </c>
      <c r="J678" t="n">
        <v>0</v>
      </c>
      <c r="K678" t="n">
        <v>0</v>
      </c>
      <c r="L678" t="n">
        <v>0</v>
      </c>
      <c r="M678" t="n">
        <v>0</v>
      </c>
      <c r="N678" t="n">
        <v>0</v>
      </c>
      <c r="O678" t="n">
        <v>0</v>
      </c>
      <c r="P678" t="n">
        <v>0</v>
      </c>
      <c r="Q678" t="n">
        <v>0</v>
      </c>
      <c r="R678" s="2" t="inlineStr"/>
    </row>
    <row r="679" ht="15" customHeight="1">
      <c r="A679" t="inlineStr">
        <is>
          <t>A 28729-2025</t>
        </is>
      </c>
      <c r="B679" s="1" t="n">
        <v>45820.36512731481</v>
      </c>
      <c r="C679" s="1" t="n">
        <v>45900</v>
      </c>
      <c r="D679" t="inlineStr">
        <is>
          <t>JÄMTLANDS LÄN</t>
        </is>
      </c>
      <c r="E679" t="inlineStr">
        <is>
          <t>KROKOM</t>
        </is>
      </c>
      <c r="G679" t="n">
        <v>3.6</v>
      </c>
      <c r="H679" t="n">
        <v>0</v>
      </c>
      <c r="I679" t="n">
        <v>0</v>
      </c>
      <c r="J679" t="n">
        <v>0</v>
      </c>
      <c r="K679" t="n">
        <v>0</v>
      </c>
      <c r="L679" t="n">
        <v>0</v>
      </c>
      <c r="M679" t="n">
        <v>0</v>
      </c>
      <c r="N679" t="n">
        <v>0</v>
      </c>
      <c r="O679" t="n">
        <v>0</v>
      </c>
      <c r="P679" t="n">
        <v>0</v>
      </c>
      <c r="Q679" t="n">
        <v>0</v>
      </c>
      <c r="R679" s="2" t="inlineStr"/>
    </row>
    <row r="680" ht="15" customHeight="1">
      <c r="A680" t="inlineStr">
        <is>
          <t>A 28789-2025</t>
        </is>
      </c>
      <c r="B680" s="1" t="n">
        <v>45820.47200231482</v>
      </c>
      <c r="C680" s="1" t="n">
        <v>45900</v>
      </c>
      <c r="D680" t="inlineStr">
        <is>
          <t>JÄMTLANDS LÄN</t>
        </is>
      </c>
      <c r="E680" t="inlineStr">
        <is>
          <t>KROKOM</t>
        </is>
      </c>
      <c r="F680" t="inlineStr">
        <is>
          <t>Kyrkan</t>
        </is>
      </c>
      <c r="G680" t="n">
        <v>28.4</v>
      </c>
      <c r="H680" t="n">
        <v>0</v>
      </c>
      <c r="I680" t="n">
        <v>0</v>
      </c>
      <c r="J680" t="n">
        <v>0</v>
      </c>
      <c r="K680" t="n">
        <v>0</v>
      </c>
      <c r="L680" t="n">
        <v>0</v>
      </c>
      <c r="M680" t="n">
        <v>0</v>
      </c>
      <c r="N680" t="n">
        <v>0</v>
      </c>
      <c r="O680" t="n">
        <v>0</v>
      </c>
      <c r="P680" t="n">
        <v>0</v>
      </c>
      <c r="Q680" t="n">
        <v>0</v>
      </c>
      <c r="R680" s="2" t="inlineStr"/>
    </row>
    <row r="681" ht="15" customHeight="1">
      <c r="A681" t="inlineStr">
        <is>
          <t>A 28848-2025</t>
        </is>
      </c>
      <c r="B681" s="1" t="n">
        <v>45820</v>
      </c>
      <c r="C681" s="1" t="n">
        <v>45900</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15524-2024</t>
        </is>
      </c>
      <c r="B682" s="1" t="n">
        <v>45401.59133101852</v>
      </c>
      <c r="C682" s="1" t="n">
        <v>45900</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28727-2025</t>
        </is>
      </c>
      <c r="B683" s="1" t="n">
        <v>45820.36498842593</v>
      </c>
      <c r="C683" s="1" t="n">
        <v>45900</v>
      </c>
      <c r="D683" t="inlineStr">
        <is>
          <t>JÄMTLANDS LÄN</t>
        </is>
      </c>
      <c r="E683" t="inlineStr">
        <is>
          <t>KROKOM</t>
        </is>
      </c>
      <c r="G683" t="n">
        <v>3.8</v>
      </c>
      <c r="H683" t="n">
        <v>0</v>
      </c>
      <c r="I683" t="n">
        <v>0</v>
      </c>
      <c r="J683" t="n">
        <v>0</v>
      </c>
      <c r="K683" t="n">
        <v>0</v>
      </c>
      <c r="L683" t="n">
        <v>0</v>
      </c>
      <c r="M683" t="n">
        <v>0</v>
      </c>
      <c r="N683" t="n">
        <v>0</v>
      </c>
      <c r="O683" t="n">
        <v>0</v>
      </c>
      <c r="P683" t="n">
        <v>0</v>
      </c>
      <c r="Q683" t="n">
        <v>0</v>
      </c>
      <c r="R683" s="2" t="inlineStr"/>
    </row>
    <row r="684" ht="15" customHeight="1">
      <c r="A684" t="inlineStr">
        <is>
          <t>A 28728-2025</t>
        </is>
      </c>
      <c r="B684" s="1" t="n">
        <v>45820.36506944444</v>
      </c>
      <c r="C684" s="1" t="n">
        <v>45900</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35864-2025</t>
        </is>
      </c>
      <c r="B685" s="1" t="n">
        <v>45861.6841087963</v>
      </c>
      <c r="C685" s="1" t="n">
        <v>45900</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29001-2025</t>
        </is>
      </c>
      <c r="B686" s="1" t="n">
        <v>45821.39026620371</v>
      </c>
      <c r="C686" s="1" t="n">
        <v>45900</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55479-2022</t>
        </is>
      </c>
      <c r="B687" s="1" t="n">
        <v>44887</v>
      </c>
      <c r="C687" s="1" t="n">
        <v>45900</v>
      </c>
      <c r="D687" t="inlineStr">
        <is>
          <t>JÄMTLANDS LÄN</t>
        </is>
      </c>
      <c r="E687" t="inlineStr">
        <is>
          <t>KROKOM</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5637-2025</t>
        </is>
      </c>
      <c r="B688" s="1" t="n">
        <v>45693.67361111111</v>
      </c>
      <c r="C688" s="1" t="n">
        <v>45900</v>
      </c>
      <c r="D688" t="inlineStr">
        <is>
          <t>JÄMTLANDS LÄN</t>
        </is>
      </c>
      <c r="E688" t="inlineStr">
        <is>
          <t>KROKOM</t>
        </is>
      </c>
      <c r="F688" t="inlineStr">
        <is>
          <t>Övriga Aktiebolag</t>
        </is>
      </c>
      <c r="G688" t="n">
        <v>57.8</v>
      </c>
      <c r="H688" t="n">
        <v>0</v>
      </c>
      <c r="I688" t="n">
        <v>0</v>
      </c>
      <c r="J688" t="n">
        <v>0</v>
      </c>
      <c r="K688" t="n">
        <v>0</v>
      </c>
      <c r="L688" t="n">
        <v>0</v>
      </c>
      <c r="M688" t="n">
        <v>0</v>
      </c>
      <c r="N688" t="n">
        <v>0</v>
      </c>
      <c r="O688" t="n">
        <v>0</v>
      </c>
      <c r="P688" t="n">
        <v>0</v>
      </c>
      <c r="Q688" t="n">
        <v>0</v>
      </c>
      <c r="R688" s="2" t="inlineStr"/>
    </row>
    <row r="689" ht="15" customHeight="1">
      <c r="A689" t="inlineStr">
        <is>
          <t>A 35985-2025</t>
        </is>
      </c>
      <c r="B689" s="1" t="n">
        <v>45863.45778935185</v>
      </c>
      <c r="C689" s="1" t="n">
        <v>45900</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59620-2024</t>
        </is>
      </c>
      <c r="B690" s="1" t="n">
        <v>45638.81385416666</v>
      </c>
      <c r="C690" s="1" t="n">
        <v>45900</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11591-2022</t>
        </is>
      </c>
      <c r="B691" s="1" t="n">
        <v>44631</v>
      </c>
      <c r="C691" s="1" t="n">
        <v>45900</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36044-2025</t>
        </is>
      </c>
      <c r="B692" s="1" t="n">
        <v>45863</v>
      </c>
      <c r="C692" s="1" t="n">
        <v>45900</v>
      </c>
      <c r="D692" t="inlineStr">
        <is>
          <t>JÄMTLANDS LÄN</t>
        </is>
      </c>
      <c r="E692" t="inlineStr">
        <is>
          <t>KROKOM</t>
        </is>
      </c>
      <c r="G692" t="n">
        <v>7.4</v>
      </c>
      <c r="H692" t="n">
        <v>0</v>
      </c>
      <c r="I692" t="n">
        <v>0</v>
      </c>
      <c r="J692" t="n">
        <v>0</v>
      </c>
      <c r="K692" t="n">
        <v>0</v>
      </c>
      <c r="L692" t="n">
        <v>0</v>
      </c>
      <c r="M692" t="n">
        <v>0</v>
      </c>
      <c r="N692" t="n">
        <v>0</v>
      </c>
      <c r="O692" t="n">
        <v>0</v>
      </c>
      <c r="P692" t="n">
        <v>0</v>
      </c>
      <c r="Q692" t="n">
        <v>0</v>
      </c>
      <c r="R692" s="2" t="inlineStr"/>
    </row>
    <row r="693" ht="15" customHeight="1">
      <c r="A693" t="inlineStr">
        <is>
          <t>A 7962-2023</t>
        </is>
      </c>
      <c r="B693" s="1" t="n">
        <v>44970</v>
      </c>
      <c r="C693" s="1" t="n">
        <v>45900</v>
      </c>
      <c r="D693" t="inlineStr">
        <is>
          <t>JÄMTLANDS LÄN</t>
        </is>
      </c>
      <c r="E693" t="inlineStr">
        <is>
          <t>KROKOM</t>
        </is>
      </c>
      <c r="G693" t="n">
        <v>12.2</v>
      </c>
      <c r="H693" t="n">
        <v>0</v>
      </c>
      <c r="I693" t="n">
        <v>0</v>
      </c>
      <c r="J693" t="n">
        <v>0</v>
      </c>
      <c r="K693" t="n">
        <v>0</v>
      </c>
      <c r="L693" t="n">
        <v>0</v>
      </c>
      <c r="M693" t="n">
        <v>0</v>
      </c>
      <c r="N693" t="n">
        <v>0</v>
      </c>
      <c r="O693" t="n">
        <v>0</v>
      </c>
      <c r="P693" t="n">
        <v>0</v>
      </c>
      <c r="Q693" t="n">
        <v>0</v>
      </c>
      <c r="R693" s="2" t="inlineStr"/>
    </row>
    <row r="694" ht="15" customHeight="1">
      <c r="A694" t="inlineStr">
        <is>
          <t>A 20953-2023</t>
        </is>
      </c>
      <c r="B694" s="1" t="n">
        <v>45056</v>
      </c>
      <c r="C694" s="1" t="n">
        <v>45900</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45900</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7366-2025</t>
        </is>
      </c>
      <c r="B696" s="1" t="n">
        <v>45704.71069444445</v>
      </c>
      <c r="C696" s="1" t="n">
        <v>45900</v>
      </c>
      <c r="D696" t="inlineStr">
        <is>
          <t>JÄMTLANDS LÄN</t>
        </is>
      </c>
      <c r="E696" t="inlineStr">
        <is>
          <t>KROKOM</t>
        </is>
      </c>
      <c r="F696" t="inlineStr">
        <is>
          <t>Övriga Aktiebolag</t>
        </is>
      </c>
      <c r="G696" t="n">
        <v>7.8</v>
      </c>
      <c r="H696" t="n">
        <v>0</v>
      </c>
      <c r="I696" t="n">
        <v>0</v>
      </c>
      <c r="J696" t="n">
        <v>0</v>
      </c>
      <c r="K696" t="n">
        <v>0</v>
      </c>
      <c r="L696" t="n">
        <v>0</v>
      </c>
      <c r="M696" t="n">
        <v>0</v>
      </c>
      <c r="N696" t="n">
        <v>0</v>
      </c>
      <c r="O696" t="n">
        <v>0</v>
      </c>
      <c r="P696" t="n">
        <v>0</v>
      </c>
      <c r="Q696" t="n">
        <v>0</v>
      </c>
      <c r="R696" s="2" t="inlineStr"/>
    </row>
    <row r="697" ht="15" customHeight="1">
      <c r="A697" t="inlineStr">
        <is>
          <t>A 18917-2025</t>
        </is>
      </c>
      <c r="B697" s="1" t="n">
        <v>45764.47059027778</v>
      </c>
      <c r="C697" s="1" t="n">
        <v>45900</v>
      </c>
      <c r="D697" t="inlineStr">
        <is>
          <t>JÄMTLANDS LÄN</t>
        </is>
      </c>
      <c r="E697" t="inlineStr">
        <is>
          <t>KROKOM</t>
        </is>
      </c>
      <c r="G697" t="n">
        <v>4.8</v>
      </c>
      <c r="H697" t="n">
        <v>0</v>
      </c>
      <c r="I697" t="n">
        <v>0</v>
      </c>
      <c r="J697" t="n">
        <v>0</v>
      </c>
      <c r="K697" t="n">
        <v>0</v>
      </c>
      <c r="L697" t="n">
        <v>0</v>
      </c>
      <c r="M697" t="n">
        <v>0</v>
      </c>
      <c r="N697" t="n">
        <v>0</v>
      </c>
      <c r="O697" t="n">
        <v>0</v>
      </c>
      <c r="P697" t="n">
        <v>0</v>
      </c>
      <c r="Q697" t="n">
        <v>0</v>
      </c>
      <c r="R697" s="2" t="inlineStr"/>
    </row>
    <row r="698" ht="15" customHeight="1">
      <c r="A698" t="inlineStr">
        <is>
          <t>A 5693-2022</t>
        </is>
      </c>
      <c r="B698" s="1" t="n">
        <v>44596</v>
      </c>
      <c r="C698" s="1" t="n">
        <v>45900</v>
      </c>
      <c r="D698" t="inlineStr">
        <is>
          <t>JÄMTLANDS LÄN</t>
        </is>
      </c>
      <c r="E698" t="inlineStr">
        <is>
          <t>KROKOM</t>
        </is>
      </c>
      <c r="G698" t="n">
        <v>40.8</v>
      </c>
      <c r="H698" t="n">
        <v>0</v>
      </c>
      <c r="I698" t="n">
        <v>0</v>
      </c>
      <c r="J698" t="n">
        <v>0</v>
      </c>
      <c r="K698" t="n">
        <v>0</v>
      </c>
      <c r="L698" t="n">
        <v>0</v>
      </c>
      <c r="M698" t="n">
        <v>0</v>
      </c>
      <c r="N698" t="n">
        <v>0</v>
      </c>
      <c r="O698" t="n">
        <v>0</v>
      </c>
      <c r="P698" t="n">
        <v>0</v>
      </c>
      <c r="Q698" t="n">
        <v>0</v>
      </c>
      <c r="R698" s="2" t="inlineStr"/>
    </row>
    <row r="699" ht="15" customHeight="1">
      <c r="A699" t="inlineStr">
        <is>
          <t>A 36272-2024</t>
        </is>
      </c>
      <c r="B699" s="1" t="n">
        <v>45534.57745370371</v>
      </c>
      <c r="C699" s="1" t="n">
        <v>45900</v>
      </c>
      <c r="D699" t="inlineStr">
        <is>
          <t>JÄMTLANDS LÄN</t>
        </is>
      </c>
      <c r="E699" t="inlineStr">
        <is>
          <t>KROKOM</t>
        </is>
      </c>
      <c r="F699" t="inlineStr">
        <is>
          <t>Övriga Aktiebolag</t>
        </is>
      </c>
      <c r="G699" t="n">
        <v>11.1</v>
      </c>
      <c r="H699" t="n">
        <v>0</v>
      </c>
      <c r="I699" t="n">
        <v>0</v>
      </c>
      <c r="J699" t="n">
        <v>0</v>
      </c>
      <c r="K699" t="n">
        <v>0</v>
      </c>
      <c r="L699" t="n">
        <v>0</v>
      </c>
      <c r="M699" t="n">
        <v>0</v>
      </c>
      <c r="N699" t="n">
        <v>0</v>
      </c>
      <c r="O699" t="n">
        <v>0</v>
      </c>
      <c r="P699" t="n">
        <v>0</v>
      </c>
      <c r="Q699" t="n">
        <v>0</v>
      </c>
      <c r="R699" s="2" t="inlineStr"/>
    </row>
    <row r="700" ht="15" customHeight="1">
      <c r="A700" t="inlineStr">
        <is>
          <t>A 5364-2025</t>
        </is>
      </c>
      <c r="B700" s="1" t="n">
        <v>45692.58106481482</v>
      </c>
      <c r="C700" s="1" t="n">
        <v>45900</v>
      </c>
      <c r="D700" t="inlineStr">
        <is>
          <t>JÄMTLANDS LÄN</t>
        </is>
      </c>
      <c r="E700" t="inlineStr">
        <is>
          <t>KROKOM</t>
        </is>
      </c>
      <c r="G700" t="n">
        <v>25.4</v>
      </c>
      <c r="H700" t="n">
        <v>0</v>
      </c>
      <c r="I700" t="n">
        <v>0</v>
      </c>
      <c r="J700" t="n">
        <v>0</v>
      </c>
      <c r="K700" t="n">
        <v>0</v>
      </c>
      <c r="L700" t="n">
        <v>0</v>
      </c>
      <c r="M700" t="n">
        <v>0</v>
      </c>
      <c r="N700" t="n">
        <v>0</v>
      </c>
      <c r="O700" t="n">
        <v>0</v>
      </c>
      <c r="P700" t="n">
        <v>0</v>
      </c>
      <c r="Q700" t="n">
        <v>0</v>
      </c>
      <c r="R700" s="2" t="inlineStr"/>
    </row>
    <row r="701" ht="15" customHeight="1">
      <c r="A701" t="inlineStr">
        <is>
          <t>A 27616-2023</t>
        </is>
      </c>
      <c r="B701" s="1" t="n">
        <v>45097</v>
      </c>
      <c r="C701" s="1" t="n">
        <v>45900</v>
      </c>
      <c r="D701" t="inlineStr">
        <is>
          <t>JÄMTLANDS LÄN</t>
        </is>
      </c>
      <c r="E701" t="inlineStr">
        <is>
          <t>KROKOM</t>
        </is>
      </c>
      <c r="F701" t="inlineStr">
        <is>
          <t>Övriga Aktiebolag</t>
        </is>
      </c>
      <c r="G701" t="n">
        <v>13.3</v>
      </c>
      <c r="H701" t="n">
        <v>0</v>
      </c>
      <c r="I701" t="n">
        <v>0</v>
      </c>
      <c r="J701" t="n">
        <v>0</v>
      </c>
      <c r="K701" t="n">
        <v>0</v>
      </c>
      <c r="L701" t="n">
        <v>0</v>
      </c>
      <c r="M701" t="n">
        <v>0</v>
      </c>
      <c r="N701" t="n">
        <v>0</v>
      </c>
      <c r="O701" t="n">
        <v>0</v>
      </c>
      <c r="P701" t="n">
        <v>0</v>
      </c>
      <c r="Q701" t="n">
        <v>0</v>
      </c>
      <c r="R701" s="2" t="inlineStr"/>
    </row>
    <row r="702" ht="15" customHeight="1">
      <c r="A702" t="inlineStr">
        <is>
          <t>A 36182-2025</t>
        </is>
      </c>
      <c r="B702" s="1" t="n">
        <v>45867.41707175926</v>
      </c>
      <c r="C702" s="1" t="n">
        <v>45900</v>
      </c>
      <c r="D702" t="inlineStr">
        <is>
          <t>JÄMTLANDS LÄN</t>
        </is>
      </c>
      <c r="E702" t="inlineStr">
        <is>
          <t>KROKOM</t>
        </is>
      </c>
      <c r="G702" t="n">
        <v>4.1</v>
      </c>
      <c r="H702" t="n">
        <v>0</v>
      </c>
      <c r="I702" t="n">
        <v>0</v>
      </c>
      <c r="J702" t="n">
        <v>0</v>
      </c>
      <c r="K702" t="n">
        <v>0</v>
      </c>
      <c r="L702" t="n">
        <v>0</v>
      </c>
      <c r="M702" t="n">
        <v>0</v>
      </c>
      <c r="N702" t="n">
        <v>0</v>
      </c>
      <c r="O702" t="n">
        <v>0</v>
      </c>
      <c r="P702" t="n">
        <v>0</v>
      </c>
      <c r="Q702" t="n">
        <v>0</v>
      </c>
      <c r="R702" s="2" t="inlineStr"/>
    </row>
    <row r="703" ht="15" customHeight="1">
      <c r="A703" t="inlineStr">
        <is>
          <t>A 36209-2025</t>
        </is>
      </c>
      <c r="B703" s="1" t="n">
        <v>45867.46560185185</v>
      </c>
      <c r="C703" s="1" t="n">
        <v>45900</v>
      </c>
      <c r="D703" t="inlineStr">
        <is>
          <t>JÄMTLANDS LÄN</t>
        </is>
      </c>
      <c r="E703" t="inlineStr">
        <is>
          <t>KROKOM</t>
        </is>
      </c>
      <c r="G703" t="n">
        <v>9.4</v>
      </c>
      <c r="H703" t="n">
        <v>0</v>
      </c>
      <c r="I703" t="n">
        <v>0</v>
      </c>
      <c r="J703" t="n">
        <v>0</v>
      </c>
      <c r="K703" t="n">
        <v>0</v>
      </c>
      <c r="L703" t="n">
        <v>0</v>
      </c>
      <c r="M703" t="n">
        <v>0</v>
      </c>
      <c r="N703" t="n">
        <v>0</v>
      </c>
      <c r="O703" t="n">
        <v>0</v>
      </c>
      <c r="P703" t="n">
        <v>0</v>
      </c>
      <c r="Q703" t="n">
        <v>0</v>
      </c>
      <c r="R703" s="2" t="inlineStr"/>
    </row>
    <row r="704" ht="15" customHeight="1">
      <c r="A704" t="inlineStr">
        <is>
          <t>A 6585-2025</t>
        </is>
      </c>
      <c r="B704" s="1" t="n">
        <v>45700.27895833334</v>
      </c>
      <c r="C704" s="1" t="n">
        <v>45900</v>
      </c>
      <c r="D704" t="inlineStr">
        <is>
          <t>JÄMTLANDS LÄN</t>
        </is>
      </c>
      <c r="E704" t="inlineStr">
        <is>
          <t>KROKOM</t>
        </is>
      </c>
      <c r="F704" t="inlineStr">
        <is>
          <t>Övriga Aktiebolag</t>
        </is>
      </c>
      <c r="G704" t="n">
        <v>2</v>
      </c>
      <c r="H704" t="n">
        <v>0</v>
      </c>
      <c r="I704" t="n">
        <v>0</v>
      </c>
      <c r="J704" t="n">
        <v>0</v>
      </c>
      <c r="K704" t="n">
        <v>0</v>
      </c>
      <c r="L704" t="n">
        <v>0</v>
      </c>
      <c r="M704" t="n">
        <v>0</v>
      </c>
      <c r="N704" t="n">
        <v>0</v>
      </c>
      <c r="O704" t="n">
        <v>0</v>
      </c>
      <c r="P704" t="n">
        <v>0</v>
      </c>
      <c r="Q704" t="n">
        <v>0</v>
      </c>
      <c r="R704" s="2" t="inlineStr"/>
    </row>
    <row r="705" ht="15" customHeight="1">
      <c r="A705" t="inlineStr">
        <is>
          <t>A 29956-2025</t>
        </is>
      </c>
      <c r="B705" s="1" t="n">
        <v>45826.4705787037</v>
      </c>
      <c r="C705" s="1" t="n">
        <v>45900</v>
      </c>
      <c r="D705" t="inlineStr">
        <is>
          <t>JÄMTLANDS LÄN</t>
        </is>
      </c>
      <c r="E705" t="inlineStr">
        <is>
          <t>KROKOM</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55831-2024</t>
        </is>
      </c>
      <c r="B706" s="1" t="n">
        <v>45623.48571759259</v>
      </c>
      <c r="C706" s="1" t="n">
        <v>45900</v>
      </c>
      <c r="D706" t="inlineStr">
        <is>
          <t>JÄMTLANDS LÄN</t>
        </is>
      </c>
      <c r="E706" t="inlineStr">
        <is>
          <t>KROKOM</t>
        </is>
      </c>
      <c r="G706" t="n">
        <v>1.6</v>
      </c>
      <c r="H706" t="n">
        <v>0</v>
      </c>
      <c r="I706" t="n">
        <v>0</v>
      </c>
      <c r="J706" t="n">
        <v>0</v>
      </c>
      <c r="K706" t="n">
        <v>0</v>
      </c>
      <c r="L706" t="n">
        <v>0</v>
      </c>
      <c r="M706" t="n">
        <v>0</v>
      </c>
      <c r="N706" t="n">
        <v>0</v>
      </c>
      <c r="O706" t="n">
        <v>0</v>
      </c>
      <c r="P706" t="n">
        <v>0</v>
      </c>
      <c r="Q706" t="n">
        <v>0</v>
      </c>
      <c r="R706" s="2" t="inlineStr"/>
    </row>
    <row r="707" ht="15" customHeight="1">
      <c r="A707" t="inlineStr">
        <is>
          <t>A 7013-2025</t>
        </is>
      </c>
      <c r="B707" s="1" t="n">
        <v>45701.60901620371</v>
      </c>
      <c r="C707" s="1" t="n">
        <v>45900</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68658-2020</t>
        </is>
      </c>
      <c r="B708" s="1" t="n">
        <v>44186</v>
      </c>
      <c r="C708" s="1" t="n">
        <v>45900</v>
      </c>
      <c r="D708" t="inlineStr">
        <is>
          <t>JÄMTLANDS LÄN</t>
        </is>
      </c>
      <c r="E708" t="inlineStr">
        <is>
          <t>KROKOM</t>
        </is>
      </c>
      <c r="G708" t="n">
        <v>1.3</v>
      </c>
      <c r="H708" t="n">
        <v>0</v>
      </c>
      <c r="I708" t="n">
        <v>0</v>
      </c>
      <c r="J708" t="n">
        <v>0</v>
      </c>
      <c r="K708" t="n">
        <v>0</v>
      </c>
      <c r="L708" t="n">
        <v>0</v>
      </c>
      <c r="M708" t="n">
        <v>0</v>
      </c>
      <c r="N708" t="n">
        <v>0</v>
      </c>
      <c r="O708" t="n">
        <v>0</v>
      </c>
      <c r="P708" t="n">
        <v>0</v>
      </c>
      <c r="Q708" t="n">
        <v>0</v>
      </c>
      <c r="R708" s="2" t="inlineStr"/>
    </row>
    <row r="709" ht="15" customHeight="1">
      <c r="A709" t="inlineStr">
        <is>
          <t>A 5704-2025</t>
        </is>
      </c>
      <c r="B709" s="1" t="n">
        <v>45694.43806712963</v>
      </c>
      <c r="C709" s="1" t="n">
        <v>45900</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2782-2025</t>
        </is>
      </c>
      <c r="B710" s="1" t="n">
        <v>45676</v>
      </c>
      <c r="C710" s="1" t="n">
        <v>45900</v>
      </c>
      <c r="D710" t="inlineStr">
        <is>
          <t>JÄMTLANDS LÄN</t>
        </is>
      </c>
      <c r="E710" t="inlineStr">
        <is>
          <t>KROKOM</t>
        </is>
      </c>
      <c r="G710" t="n">
        <v>18.6</v>
      </c>
      <c r="H710" t="n">
        <v>0</v>
      </c>
      <c r="I710" t="n">
        <v>0</v>
      </c>
      <c r="J710" t="n">
        <v>0</v>
      </c>
      <c r="K710" t="n">
        <v>0</v>
      </c>
      <c r="L710" t="n">
        <v>0</v>
      </c>
      <c r="M710" t="n">
        <v>0</v>
      </c>
      <c r="N710" t="n">
        <v>0</v>
      </c>
      <c r="O710" t="n">
        <v>0</v>
      </c>
      <c r="P710" t="n">
        <v>0</v>
      </c>
      <c r="Q710" t="n">
        <v>0</v>
      </c>
      <c r="R710" s="2" t="inlineStr"/>
    </row>
    <row r="711" ht="15" customHeight="1">
      <c r="A711" t="inlineStr">
        <is>
          <t>A 18080-2025</t>
        </is>
      </c>
      <c r="B711" s="1" t="n">
        <v>45761.50909722222</v>
      </c>
      <c r="C711" s="1" t="n">
        <v>45900</v>
      </c>
      <c r="D711" t="inlineStr">
        <is>
          <t>JÄMTLANDS LÄN</t>
        </is>
      </c>
      <c r="E711" t="inlineStr">
        <is>
          <t>KROKOM</t>
        </is>
      </c>
      <c r="G711" t="n">
        <v>21.9</v>
      </c>
      <c r="H711" t="n">
        <v>0</v>
      </c>
      <c r="I711" t="n">
        <v>0</v>
      </c>
      <c r="J711" t="n">
        <v>0</v>
      </c>
      <c r="K711" t="n">
        <v>0</v>
      </c>
      <c r="L711" t="n">
        <v>0</v>
      </c>
      <c r="M711" t="n">
        <v>0</v>
      </c>
      <c r="N711" t="n">
        <v>0</v>
      </c>
      <c r="O711" t="n">
        <v>0</v>
      </c>
      <c r="P711" t="n">
        <v>0</v>
      </c>
      <c r="Q711" t="n">
        <v>0</v>
      </c>
      <c r="R711" s="2" t="inlineStr"/>
    </row>
    <row r="712" ht="15" customHeight="1">
      <c r="A712" t="inlineStr">
        <is>
          <t>A 8011-2025</t>
        </is>
      </c>
      <c r="B712" s="1" t="n">
        <v>45707.55246527777</v>
      </c>
      <c r="C712" s="1" t="n">
        <v>45900</v>
      </c>
      <c r="D712" t="inlineStr">
        <is>
          <t>JÄMTLANDS LÄN</t>
        </is>
      </c>
      <c r="E712" t="inlineStr">
        <is>
          <t>KROKOM</t>
        </is>
      </c>
      <c r="F712" t="inlineStr">
        <is>
          <t>Övriga Aktiebolag</t>
        </is>
      </c>
      <c r="G712" t="n">
        <v>10.6</v>
      </c>
      <c r="H712" t="n">
        <v>0</v>
      </c>
      <c r="I712" t="n">
        <v>0</v>
      </c>
      <c r="J712" t="n">
        <v>0</v>
      </c>
      <c r="K712" t="n">
        <v>0</v>
      </c>
      <c r="L712" t="n">
        <v>0</v>
      </c>
      <c r="M712" t="n">
        <v>0</v>
      </c>
      <c r="N712" t="n">
        <v>0</v>
      </c>
      <c r="O712" t="n">
        <v>0</v>
      </c>
      <c r="P712" t="n">
        <v>0</v>
      </c>
      <c r="Q712" t="n">
        <v>0</v>
      </c>
      <c r="R712" s="2" t="inlineStr"/>
    </row>
    <row r="713" ht="15" customHeight="1">
      <c r="A713" t="inlineStr">
        <is>
          <t>A 10397-2025</t>
        </is>
      </c>
      <c r="B713" s="1" t="n">
        <v>45720.60774305555</v>
      </c>
      <c r="C713" s="1" t="n">
        <v>45900</v>
      </c>
      <c r="D713" t="inlineStr">
        <is>
          <t>JÄMTLANDS LÄN</t>
        </is>
      </c>
      <c r="E713" t="inlineStr">
        <is>
          <t>KROKOM</t>
        </is>
      </c>
      <c r="F713" t="inlineStr">
        <is>
          <t>Övriga Aktiebolag</t>
        </is>
      </c>
      <c r="G713" t="n">
        <v>32.9</v>
      </c>
      <c r="H713" t="n">
        <v>0</v>
      </c>
      <c r="I713" t="n">
        <v>0</v>
      </c>
      <c r="J713" t="n">
        <v>0</v>
      </c>
      <c r="K713" t="n">
        <v>0</v>
      </c>
      <c r="L713" t="n">
        <v>0</v>
      </c>
      <c r="M713" t="n">
        <v>0</v>
      </c>
      <c r="N713" t="n">
        <v>0</v>
      </c>
      <c r="O713" t="n">
        <v>0</v>
      </c>
      <c r="P713" t="n">
        <v>0</v>
      </c>
      <c r="Q713" t="n">
        <v>0</v>
      </c>
      <c r="R713" s="2" t="inlineStr"/>
    </row>
    <row r="714" ht="15" customHeight="1">
      <c r="A714" t="inlineStr">
        <is>
          <t>A 53827-2024</t>
        </is>
      </c>
      <c r="B714" s="1" t="n">
        <v>45615.61302083333</v>
      </c>
      <c r="C714" s="1" t="n">
        <v>45900</v>
      </c>
      <c r="D714" t="inlineStr">
        <is>
          <t>JÄMTLANDS LÄN</t>
        </is>
      </c>
      <c r="E714" t="inlineStr">
        <is>
          <t>KROKOM</t>
        </is>
      </c>
      <c r="F714" t="inlineStr">
        <is>
          <t>Övriga Aktiebolag</t>
        </is>
      </c>
      <c r="G714" t="n">
        <v>14.2</v>
      </c>
      <c r="H714" t="n">
        <v>0</v>
      </c>
      <c r="I714" t="n">
        <v>0</v>
      </c>
      <c r="J714" t="n">
        <v>0</v>
      </c>
      <c r="K714" t="n">
        <v>0</v>
      </c>
      <c r="L714" t="n">
        <v>0</v>
      </c>
      <c r="M714" t="n">
        <v>0</v>
      </c>
      <c r="N714" t="n">
        <v>0</v>
      </c>
      <c r="O714" t="n">
        <v>0</v>
      </c>
      <c r="P714" t="n">
        <v>0</v>
      </c>
      <c r="Q714" t="n">
        <v>0</v>
      </c>
      <c r="R714" s="2" t="inlineStr"/>
    </row>
    <row r="715" ht="15" customHeight="1">
      <c r="A715" t="inlineStr">
        <is>
          <t>A 688-2021</t>
        </is>
      </c>
      <c r="B715" s="1" t="n">
        <v>44203</v>
      </c>
      <c r="C715" s="1" t="n">
        <v>45900</v>
      </c>
      <c r="D715" t="inlineStr">
        <is>
          <t>JÄMTLANDS LÄN</t>
        </is>
      </c>
      <c r="E715" t="inlineStr">
        <is>
          <t>KROKOM</t>
        </is>
      </c>
      <c r="G715" t="n">
        <v>7.8</v>
      </c>
      <c r="H715" t="n">
        <v>0</v>
      </c>
      <c r="I715" t="n">
        <v>0</v>
      </c>
      <c r="J715" t="n">
        <v>0</v>
      </c>
      <c r="K715" t="n">
        <v>0</v>
      </c>
      <c r="L715" t="n">
        <v>0</v>
      </c>
      <c r="M715" t="n">
        <v>0</v>
      </c>
      <c r="N715" t="n">
        <v>0</v>
      </c>
      <c r="O715" t="n">
        <v>0</v>
      </c>
      <c r="P715" t="n">
        <v>0</v>
      </c>
      <c r="Q715" t="n">
        <v>0</v>
      </c>
      <c r="R715" s="2" t="inlineStr"/>
    </row>
    <row r="716" ht="15" customHeight="1">
      <c r="A716" t="inlineStr">
        <is>
          <t>A 51929-2023</t>
        </is>
      </c>
      <c r="B716" s="1" t="n">
        <v>45216</v>
      </c>
      <c r="C716" s="1" t="n">
        <v>45900</v>
      </c>
      <c r="D716" t="inlineStr">
        <is>
          <t>JÄMTLANDS LÄN</t>
        </is>
      </c>
      <c r="E716" t="inlineStr">
        <is>
          <t>KROKOM</t>
        </is>
      </c>
      <c r="G716" t="n">
        <v>0.8</v>
      </c>
      <c r="H716" t="n">
        <v>0</v>
      </c>
      <c r="I716" t="n">
        <v>0</v>
      </c>
      <c r="J716" t="n">
        <v>0</v>
      </c>
      <c r="K716" t="n">
        <v>0</v>
      </c>
      <c r="L716" t="n">
        <v>0</v>
      </c>
      <c r="M716" t="n">
        <v>0</v>
      </c>
      <c r="N716" t="n">
        <v>0</v>
      </c>
      <c r="O716" t="n">
        <v>0</v>
      </c>
      <c r="P716" t="n">
        <v>0</v>
      </c>
      <c r="Q716" t="n">
        <v>0</v>
      </c>
      <c r="R716" s="2" t="inlineStr"/>
    </row>
    <row r="717" ht="15" customHeight="1">
      <c r="A717" t="inlineStr">
        <is>
          <t>A 57728-2020</t>
        </is>
      </c>
      <c r="B717" s="1" t="n">
        <v>44140</v>
      </c>
      <c r="C717" s="1" t="n">
        <v>45900</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36429-2025</t>
        </is>
      </c>
      <c r="B718" s="1" t="n">
        <v>45869.34439814815</v>
      </c>
      <c r="C718" s="1" t="n">
        <v>45900</v>
      </c>
      <c r="D718" t="inlineStr">
        <is>
          <t>JÄMTLANDS LÄN</t>
        </is>
      </c>
      <c r="E718" t="inlineStr">
        <is>
          <t>KROKOM</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10552-2025</t>
        </is>
      </c>
      <c r="B719" s="1" t="n">
        <v>45721.5113425926</v>
      </c>
      <c r="C719" s="1" t="n">
        <v>45900</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15663-2025</t>
        </is>
      </c>
      <c r="B720" s="1" t="n">
        <v>45748</v>
      </c>
      <c r="C720" s="1" t="n">
        <v>45900</v>
      </c>
      <c r="D720" t="inlineStr">
        <is>
          <t>JÄMTLANDS LÄN</t>
        </is>
      </c>
      <c r="E720" t="inlineStr">
        <is>
          <t>KROKOM</t>
        </is>
      </c>
      <c r="F720" t="inlineStr">
        <is>
          <t>Övriga Aktiebolag</t>
        </is>
      </c>
      <c r="G720" t="n">
        <v>11.5</v>
      </c>
      <c r="H720" t="n">
        <v>0</v>
      </c>
      <c r="I720" t="n">
        <v>0</v>
      </c>
      <c r="J720" t="n">
        <v>0</v>
      </c>
      <c r="K720" t="n">
        <v>0</v>
      </c>
      <c r="L720" t="n">
        <v>0</v>
      </c>
      <c r="M720" t="n">
        <v>0</v>
      </c>
      <c r="N720" t="n">
        <v>0</v>
      </c>
      <c r="O720" t="n">
        <v>0</v>
      </c>
      <c r="P720" t="n">
        <v>0</v>
      </c>
      <c r="Q720" t="n">
        <v>0</v>
      </c>
      <c r="R720" s="2" t="inlineStr"/>
    </row>
    <row r="721" ht="15" customHeight="1">
      <c r="A721" t="inlineStr">
        <is>
          <t>A 36588-2025</t>
        </is>
      </c>
      <c r="B721" s="1" t="n">
        <v>45870</v>
      </c>
      <c r="C721" s="1" t="n">
        <v>45900</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7556-2025</t>
        </is>
      </c>
      <c r="B722" s="1" t="n">
        <v>45705</v>
      </c>
      <c r="C722" s="1" t="n">
        <v>45900</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53543-2024</t>
        </is>
      </c>
      <c r="B723" s="1" t="n">
        <v>45614.63697916667</v>
      </c>
      <c r="C723" s="1" t="n">
        <v>45900</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30175-2025</t>
        </is>
      </c>
      <c r="B724" s="1" t="n">
        <v>45827.34488425926</v>
      </c>
      <c r="C724" s="1" t="n">
        <v>45900</v>
      </c>
      <c r="D724" t="inlineStr">
        <is>
          <t>JÄMTLANDS LÄN</t>
        </is>
      </c>
      <c r="E724" t="inlineStr">
        <is>
          <t>KROKOM</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44715.48863425926</v>
      </c>
      <c r="C725" s="1" t="n">
        <v>45900</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7111-2024</t>
        </is>
      </c>
      <c r="B726" s="1" t="n">
        <v>45343.95162037037</v>
      </c>
      <c r="C726" s="1" t="n">
        <v>45900</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16545-2024</t>
        </is>
      </c>
      <c r="B727" s="1" t="n">
        <v>45408</v>
      </c>
      <c r="C727" s="1" t="n">
        <v>45900</v>
      </c>
      <c r="D727" t="inlineStr">
        <is>
          <t>JÄMTLANDS LÄN</t>
        </is>
      </c>
      <c r="E727" t="inlineStr">
        <is>
          <t>KROKOM</t>
        </is>
      </c>
      <c r="G727" t="n">
        <v>46.1</v>
      </c>
      <c r="H727" t="n">
        <v>0</v>
      </c>
      <c r="I727" t="n">
        <v>0</v>
      </c>
      <c r="J727" t="n">
        <v>0</v>
      </c>
      <c r="K727" t="n">
        <v>0</v>
      </c>
      <c r="L727" t="n">
        <v>0</v>
      </c>
      <c r="M727" t="n">
        <v>0</v>
      </c>
      <c r="N727" t="n">
        <v>0</v>
      </c>
      <c r="O727" t="n">
        <v>0</v>
      </c>
      <c r="P727" t="n">
        <v>0</v>
      </c>
      <c r="Q727" t="n">
        <v>0</v>
      </c>
      <c r="R727" s="2" t="inlineStr"/>
    </row>
    <row r="728" ht="15" customHeight="1">
      <c r="A728" t="inlineStr">
        <is>
          <t>A 5558-2025</t>
        </is>
      </c>
      <c r="B728" s="1" t="n">
        <v>45693.48239583334</v>
      </c>
      <c r="C728" s="1" t="n">
        <v>45900</v>
      </c>
      <c r="D728" t="inlineStr">
        <is>
          <t>JÄMTLANDS LÄN</t>
        </is>
      </c>
      <c r="E728" t="inlineStr">
        <is>
          <t>KROKOM</t>
        </is>
      </c>
      <c r="G728" t="n">
        <v>31.1</v>
      </c>
      <c r="H728" t="n">
        <v>0</v>
      </c>
      <c r="I728" t="n">
        <v>0</v>
      </c>
      <c r="J728" t="n">
        <v>0</v>
      </c>
      <c r="K728" t="n">
        <v>0</v>
      </c>
      <c r="L728" t="n">
        <v>0</v>
      </c>
      <c r="M728" t="n">
        <v>0</v>
      </c>
      <c r="N728" t="n">
        <v>0</v>
      </c>
      <c r="O728" t="n">
        <v>0</v>
      </c>
      <c r="P728" t="n">
        <v>0</v>
      </c>
      <c r="Q728" t="n">
        <v>0</v>
      </c>
      <c r="R728" s="2" t="inlineStr"/>
    </row>
    <row r="729" ht="15" customHeight="1">
      <c r="A729" t="inlineStr">
        <is>
          <t>A 6208-2025</t>
        </is>
      </c>
      <c r="B729" s="1" t="n">
        <v>45698.4930787037</v>
      </c>
      <c r="C729" s="1" t="n">
        <v>45900</v>
      </c>
      <c r="D729" t="inlineStr">
        <is>
          <t>JÄMTLANDS LÄN</t>
        </is>
      </c>
      <c r="E729" t="inlineStr">
        <is>
          <t>KROKOM</t>
        </is>
      </c>
      <c r="G729" t="n">
        <v>7.6</v>
      </c>
      <c r="H729" t="n">
        <v>0</v>
      </c>
      <c r="I729" t="n">
        <v>0</v>
      </c>
      <c r="J729" t="n">
        <v>0</v>
      </c>
      <c r="K729" t="n">
        <v>0</v>
      </c>
      <c r="L729" t="n">
        <v>0</v>
      </c>
      <c r="M729" t="n">
        <v>0</v>
      </c>
      <c r="N729" t="n">
        <v>0</v>
      </c>
      <c r="O729" t="n">
        <v>0</v>
      </c>
      <c r="P729" t="n">
        <v>0</v>
      </c>
      <c r="Q729" t="n">
        <v>0</v>
      </c>
      <c r="R729" s="2" t="inlineStr"/>
    </row>
    <row r="730" ht="15" customHeight="1">
      <c r="A730" t="inlineStr">
        <is>
          <t>A 61609-2020</t>
        </is>
      </c>
      <c r="B730" s="1" t="n">
        <v>44154</v>
      </c>
      <c r="C730" s="1" t="n">
        <v>45900</v>
      </c>
      <c r="D730" t="inlineStr">
        <is>
          <t>JÄMTLANDS LÄN</t>
        </is>
      </c>
      <c r="E730" t="inlineStr">
        <is>
          <t>KROKOM</t>
        </is>
      </c>
      <c r="G730" t="n">
        <v>6.4</v>
      </c>
      <c r="H730" t="n">
        <v>0</v>
      </c>
      <c r="I730" t="n">
        <v>0</v>
      </c>
      <c r="J730" t="n">
        <v>0</v>
      </c>
      <c r="K730" t="n">
        <v>0</v>
      </c>
      <c r="L730" t="n">
        <v>0</v>
      </c>
      <c r="M730" t="n">
        <v>0</v>
      </c>
      <c r="N730" t="n">
        <v>0</v>
      </c>
      <c r="O730" t="n">
        <v>0</v>
      </c>
      <c r="P730" t="n">
        <v>0</v>
      </c>
      <c r="Q730" t="n">
        <v>0</v>
      </c>
      <c r="R730" s="2" t="inlineStr"/>
    </row>
    <row r="731" ht="15" customHeight="1">
      <c r="A731" t="inlineStr">
        <is>
          <t>A 42816-2023</t>
        </is>
      </c>
      <c r="B731" s="1" t="n">
        <v>45182</v>
      </c>
      <c r="C731" s="1" t="n">
        <v>45900</v>
      </c>
      <c r="D731" t="inlineStr">
        <is>
          <t>JÄMTLANDS LÄN</t>
        </is>
      </c>
      <c r="E731" t="inlineStr">
        <is>
          <t>KROKOM</t>
        </is>
      </c>
      <c r="G731" t="n">
        <v>3.9</v>
      </c>
      <c r="H731" t="n">
        <v>0</v>
      </c>
      <c r="I731" t="n">
        <v>0</v>
      </c>
      <c r="J731" t="n">
        <v>0</v>
      </c>
      <c r="K731" t="n">
        <v>0</v>
      </c>
      <c r="L731" t="n">
        <v>0</v>
      </c>
      <c r="M731" t="n">
        <v>0</v>
      </c>
      <c r="N731" t="n">
        <v>0</v>
      </c>
      <c r="O731" t="n">
        <v>0</v>
      </c>
      <c r="P731" t="n">
        <v>0</v>
      </c>
      <c r="Q731" t="n">
        <v>0</v>
      </c>
      <c r="R731" s="2" t="inlineStr"/>
    </row>
    <row r="732" ht="15" customHeight="1">
      <c r="A732" t="inlineStr">
        <is>
          <t>A 31026-2025</t>
        </is>
      </c>
      <c r="B732" s="1" t="n">
        <v>45832</v>
      </c>
      <c r="C732" s="1" t="n">
        <v>45900</v>
      </c>
      <c r="D732" t="inlineStr">
        <is>
          <t>JÄMTLANDS LÄN</t>
        </is>
      </c>
      <c r="E732" t="inlineStr">
        <is>
          <t>KROKOM</t>
        </is>
      </c>
      <c r="G732" t="n">
        <v>2.2</v>
      </c>
      <c r="H732" t="n">
        <v>0</v>
      </c>
      <c r="I732" t="n">
        <v>0</v>
      </c>
      <c r="J732" t="n">
        <v>0</v>
      </c>
      <c r="K732" t="n">
        <v>0</v>
      </c>
      <c r="L732" t="n">
        <v>0</v>
      </c>
      <c r="M732" t="n">
        <v>0</v>
      </c>
      <c r="N732" t="n">
        <v>0</v>
      </c>
      <c r="O732" t="n">
        <v>0</v>
      </c>
      <c r="P732" t="n">
        <v>0</v>
      </c>
      <c r="Q732" t="n">
        <v>0</v>
      </c>
      <c r="R732" s="2" t="inlineStr"/>
    </row>
    <row r="733" ht="15" customHeight="1">
      <c r="A733" t="inlineStr">
        <is>
          <t>A 30890-2025</t>
        </is>
      </c>
      <c r="B733" s="1" t="n">
        <v>45832.34630787037</v>
      </c>
      <c r="C733" s="1" t="n">
        <v>45900</v>
      </c>
      <c r="D733" t="inlineStr">
        <is>
          <t>JÄMTLANDS LÄN</t>
        </is>
      </c>
      <c r="E733" t="inlineStr">
        <is>
          <t>KROKOM</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6245-2025</t>
        </is>
      </c>
      <c r="B734" s="1" t="n">
        <v>45698.57129629629</v>
      </c>
      <c r="C734" s="1" t="n">
        <v>45900</v>
      </c>
      <c r="D734" t="inlineStr">
        <is>
          <t>JÄMTLANDS LÄN</t>
        </is>
      </c>
      <c r="E734" t="inlineStr">
        <is>
          <t>KROKOM</t>
        </is>
      </c>
      <c r="G734" t="n">
        <v>9.9</v>
      </c>
      <c r="H734" t="n">
        <v>0</v>
      </c>
      <c r="I734" t="n">
        <v>0</v>
      </c>
      <c r="J734" t="n">
        <v>0</v>
      </c>
      <c r="K734" t="n">
        <v>0</v>
      </c>
      <c r="L734" t="n">
        <v>0</v>
      </c>
      <c r="M734" t="n">
        <v>0</v>
      </c>
      <c r="N734" t="n">
        <v>0</v>
      </c>
      <c r="O734" t="n">
        <v>0</v>
      </c>
      <c r="P734" t="n">
        <v>0</v>
      </c>
      <c r="Q734" t="n">
        <v>0</v>
      </c>
      <c r="R734" s="2" t="inlineStr"/>
    </row>
    <row r="735" ht="15" customHeight="1">
      <c r="A735" t="inlineStr">
        <is>
          <t>A 31032-2025</t>
        </is>
      </c>
      <c r="B735" s="1" t="n">
        <v>45832.53935185185</v>
      </c>
      <c r="C735" s="1" t="n">
        <v>45900</v>
      </c>
      <c r="D735" t="inlineStr">
        <is>
          <t>JÄMTLANDS LÄN</t>
        </is>
      </c>
      <c r="E735" t="inlineStr">
        <is>
          <t>KROKOM</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31027-2025</t>
        </is>
      </c>
      <c r="B736" s="1" t="n">
        <v>45832.53225694445</v>
      </c>
      <c r="C736" s="1" t="n">
        <v>45900</v>
      </c>
      <c r="D736" t="inlineStr">
        <is>
          <t>JÄMTLANDS LÄN</t>
        </is>
      </c>
      <c r="E736" t="inlineStr">
        <is>
          <t>KROKOM</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53807-2024</t>
        </is>
      </c>
      <c r="B737" s="1" t="n">
        <v>45615.59521990741</v>
      </c>
      <c r="C737" s="1" t="n">
        <v>45900</v>
      </c>
      <c r="D737" t="inlineStr">
        <is>
          <t>JÄMTLANDS LÄN</t>
        </is>
      </c>
      <c r="E737" t="inlineStr">
        <is>
          <t>KROKOM</t>
        </is>
      </c>
      <c r="G737" t="n">
        <v>6.5</v>
      </c>
      <c r="H737" t="n">
        <v>0</v>
      </c>
      <c r="I737" t="n">
        <v>0</v>
      </c>
      <c r="J737" t="n">
        <v>0</v>
      </c>
      <c r="K737" t="n">
        <v>0</v>
      </c>
      <c r="L737" t="n">
        <v>0</v>
      </c>
      <c r="M737" t="n">
        <v>0</v>
      </c>
      <c r="N737" t="n">
        <v>0</v>
      </c>
      <c r="O737" t="n">
        <v>0</v>
      </c>
      <c r="P737" t="n">
        <v>0</v>
      </c>
      <c r="Q737" t="n">
        <v>0</v>
      </c>
      <c r="R737" s="2" t="inlineStr"/>
    </row>
    <row r="738" ht="15" customHeight="1">
      <c r="A738" t="inlineStr">
        <is>
          <t>A 4383-2025</t>
        </is>
      </c>
      <c r="B738" s="1" t="n">
        <v>45686.39777777778</v>
      </c>
      <c r="C738" s="1" t="n">
        <v>45900</v>
      </c>
      <c r="D738" t="inlineStr">
        <is>
          <t>JÄMTLANDS LÄN</t>
        </is>
      </c>
      <c r="E738" t="inlineStr">
        <is>
          <t>KROKOM</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56538-2023</t>
        </is>
      </c>
      <c r="B739" s="1" t="n">
        <v>45238</v>
      </c>
      <c r="C739" s="1" t="n">
        <v>45900</v>
      </c>
      <c r="D739" t="inlineStr">
        <is>
          <t>JÄMTLANDS LÄN</t>
        </is>
      </c>
      <c r="E739" t="inlineStr">
        <is>
          <t>KROKOM</t>
        </is>
      </c>
      <c r="G739" t="n">
        <v>17.7</v>
      </c>
      <c r="H739" t="n">
        <v>0</v>
      </c>
      <c r="I739" t="n">
        <v>0</v>
      </c>
      <c r="J739" t="n">
        <v>0</v>
      </c>
      <c r="K739" t="n">
        <v>0</v>
      </c>
      <c r="L739" t="n">
        <v>0</v>
      </c>
      <c r="M739" t="n">
        <v>0</v>
      </c>
      <c r="N739" t="n">
        <v>0</v>
      </c>
      <c r="O739" t="n">
        <v>0</v>
      </c>
      <c r="P739" t="n">
        <v>0</v>
      </c>
      <c r="Q739" t="n">
        <v>0</v>
      </c>
      <c r="R739" s="2" t="inlineStr"/>
    </row>
    <row r="740" ht="15" customHeight="1">
      <c r="A740" t="inlineStr">
        <is>
          <t>A 50433-2024</t>
        </is>
      </c>
      <c r="B740" s="1" t="n">
        <v>45601</v>
      </c>
      <c r="C740" s="1" t="n">
        <v>45900</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15528-2024</t>
        </is>
      </c>
      <c r="B741" s="1" t="n">
        <v>45401.59810185185</v>
      </c>
      <c r="C741" s="1" t="n">
        <v>45900</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15776-2025</t>
        </is>
      </c>
      <c r="B742" s="1" t="n">
        <v>45748.59744212963</v>
      </c>
      <c r="C742" s="1" t="n">
        <v>45900</v>
      </c>
      <c r="D742" t="inlineStr">
        <is>
          <t>JÄMTLANDS LÄN</t>
        </is>
      </c>
      <c r="E742" t="inlineStr">
        <is>
          <t>KROKOM</t>
        </is>
      </c>
      <c r="G742" t="n">
        <v>46.5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45900</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24559-2024</t>
        </is>
      </c>
      <c r="B744" s="1" t="n">
        <v>45460.44076388889</v>
      </c>
      <c r="C744" s="1" t="n">
        <v>45900</v>
      </c>
      <c r="D744" t="inlineStr">
        <is>
          <t>JÄMTLANDS LÄN</t>
        </is>
      </c>
      <c r="E744" t="inlineStr">
        <is>
          <t>KROKOM</t>
        </is>
      </c>
      <c r="G744" t="n">
        <v>0.9</v>
      </c>
      <c r="H744" t="n">
        <v>0</v>
      </c>
      <c r="I744" t="n">
        <v>0</v>
      </c>
      <c r="J744" t="n">
        <v>0</v>
      </c>
      <c r="K744" t="n">
        <v>0</v>
      </c>
      <c r="L744" t="n">
        <v>0</v>
      </c>
      <c r="M744" t="n">
        <v>0</v>
      </c>
      <c r="N744" t="n">
        <v>0</v>
      </c>
      <c r="O744" t="n">
        <v>0</v>
      </c>
      <c r="P744" t="n">
        <v>0</v>
      </c>
      <c r="Q744" t="n">
        <v>0</v>
      </c>
      <c r="R744" s="2" t="inlineStr"/>
    </row>
    <row r="745" ht="15" customHeight="1">
      <c r="A745" t="inlineStr">
        <is>
          <t>A 7908-2025</t>
        </is>
      </c>
      <c r="B745" s="1" t="n">
        <v>45707.33935185185</v>
      </c>
      <c r="C745" s="1" t="n">
        <v>45900</v>
      </c>
      <c r="D745" t="inlineStr">
        <is>
          <t>JÄMTLANDS LÄN</t>
        </is>
      </c>
      <c r="E745" t="inlineStr">
        <is>
          <t>KROKOM</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20210-2025</t>
        </is>
      </c>
      <c r="B746" s="1" t="n">
        <v>45772.62052083333</v>
      </c>
      <c r="C746" s="1" t="n">
        <v>45900</v>
      </c>
      <c r="D746" t="inlineStr">
        <is>
          <t>JÄMTLANDS LÄN</t>
        </is>
      </c>
      <c r="E746" t="inlineStr">
        <is>
          <t>KROKOM</t>
        </is>
      </c>
      <c r="G746" t="n">
        <v>12.3</v>
      </c>
      <c r="H746" t="n">
        <v>0</v>
      </c>
      <c r="I746" t="n">
        <v>0</v>
      </c>
      <c r="J746" t="n">
        <v>0</v>
      </c>
      <c r="K746" t="n">
        <v>0</v>
      </c>
      <c r="L746" t="n">
        <v>0</v>
      </c>
      <c r="M746" t="n">
        <v>0</v>
      </c>
      <c r="N746" t="n">
        <v>0</v>
      </c>
      <c r="O746" t="n">
        <v>0</v>
      </c>
      <c r="P746" t="n">
        <v>0</v>
      </c>
      <c r="Q746" t="n">
        <v>0</v>
      </c>
      <c r="R746" s="2" t="inlineStr"/>
    </row>
    <row r="747" ht="15" customHeight="1">
      <c r="A747" t="inlineStr">
        <is>
          <t>A 58563-2023</t>
        </is>
      </c>
      <c r="B747" s="1" t="n">
        <v>45246</v>
      </c>
      <c r="C747" s="1" t="n">
        <v>45900</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37111-2025</t>
        </is>
      </c>
      <c r="B748" s="1" t="n">
        <v>45875.51046296296</v>
      </c>
      <c r="C748" s="1" t="n">
        <v>45900</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33359-2022</t>
        </is>
      </c>
      <c r="B749" s="1" t="n">
        <v>44788</v>
      </c>
      <c r="C749" s="1" t="n">
        <v>45900</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31277-2025</t>
        </is>
      </c>
      <c r="B750" s="1" t="n">
        <v>45833.34490740741</v>
      </c>
      <c r="C750" s="1" t="n">
        <v>45900</v>
      </c>
      <c r="D750" t="inlineStr">
        <is>
          <t>JÄMTLANDS LÄN</t>
        </is>
      </c>
      <c r="E750" t="inlineStr">
        <is>
          <t>KROKOM</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67730-2020</t>
        </is>
      </c>
      <c r="B751" s="1" t="n">
        <v>44179</v>
      </c>
      <c r="C751" s="1" t="n">
        <v>45900</v>
      </c>
      <c r="D751" t="inlineStr">
        <is>
          <t>JÄMTLANDS LÄN</t>
        </is>
      </c>
      <c r="E751" t="inlineStr">
        <is>
          <t>KROKOM</t>
        </is>
      </c>
      <c r="G751" t="n">
        <v>7.5</v>
      </c>
      <c r="H751" t="n">
        <v>0</v>
      </c>
      <c r="I751" t="n">
        <v>0</v>
      </c>
      <c r="J751" t="n">
        <v>0</v>
      </c>
      <c r="K751" t="n">
        <v>0</v>
      </c>
      <c r="L751" t="n">
        <v>0</v>
      </c>
      <c r="M751" t="n">
        <v>0</v>
      </c>
      <c r="N751" t="n">
        <v>0</v>
      </c>
      <c r="O751" t="n">
        <v>0</v>
      </c>
      <c r="P751" t="n">
        <v>0</v>
      </c>
      <c r="Q751" t="n">
        <v>0</v>
      </c>
      <c r="R751" s="2" t="inlineStr"/>
    </row>
    <row r="752" ht="15" customHeight="1">
      <c r="A752" t="inlineStr">
        <is>
          <t>A 10279-2025</t>
        </is>
      </c>
      <c r="B752" s="1" t="n">
        <v>45720.40268518519</v>
      </c>
      <c r="C752" s="1" t="n">
        <v>45900</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6451-2022</t>
        </is>
      </c>
      <c r="B753" s="1" t="n">
        <v>44601.35342592592</v>
      </c>
      <c r="C753" s="1" t="n">
        <v>45900</v>
      </c>
      <c r="D753" t="inlineStr">
        <is>
          <t>JÄMTLANDS LÄN</t>
        </is>
      </c>
      <c r="E753" t="inlineStr">
        <is>
          <t>KROKOM</t>
        </is>
      </c>
      <c r="G753" t="n">
        <v>5.8</v>
      </c>
      <c r="H753" t="n">
        <v>0</v>
      </c>
      <c r="I753" t="n">
        <v>0</v>
      </c>
      <c r="J753" t="n">
        <v>0</v>
      </c>
      <c r="K753" t="n">
        <v>0</v>
      </c>
      <c r="L753" t="n">
        <v>0</v>
      </c>
      <c r="M753" t="n">
        <v>0</v>
      </c>
      <c r="N753" t="n">
        <v>0</v>
      </c>
      <c r="O753" t="n">
        <v>0</v>
      </c>
      <c r="P753" t="n">
        <v>0</v>
      </c>
      <c r="Q753" t="n">
        <v>0</v>
      </c>
      <c r="R753" s="2" t="inlineStr"/>
    </row>
    <row r="754" ht="15" customHeight="1">
      <c r="A754" t="inlineStr">
        <is>
          <t>A 31290-2025</t>
        </is>
      </c>
      <c r="B754" s="1" t="n">
        <v>45833.36050925926</v>
      </c>
      <c r="C754" s="1" t="n">
        <v>45900</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31291-2025</t>
        </is>
      </c>
      <c r="B755" s="1" t="n">
        <v>45833.36083333333</v>
      </c>
      <c r="C755" s="1" t="n">
        <v>45900</v>
      </c>
      <c r="D755" t="inlineStr">
        <is>
          <t>JÄMTLANDS LÄN</t>
        </is>
      </c>
      <c r="E755" t="inlineStr">
        <is>
          <t>KROKOM</t>
        </is>
      </c>
      <c r="G755" t="n">
        <v>4.5</v>
      </c>
      <c r="H755" t="n">
        <v>0</v>
      </c>
      <c r="I755" t="n">
        <v>0</v>
      </c>
      <c r="J755" t="n">
        <v>0</v>
      </c>
      <c r="K755" t="n">
        <v>0</v>
      </c>
      <c r="L755" t="n">
        <v>0</v>
      </c>
      <c r="M755" t="n">
        <v>0</v>
      </c>
      <c r="N755" t="n">
        <v>0</v>
      </c>
      <c r="O755" t="n">
        <v>0</v>
      </c>
      <c r="P755" t="n">
        <v>0</v>
      </c>
      <c r="Q755" t="n">
        <v>0</v>
      </c>
      <c r="R755" s="2" t="inlineStr"/>
    </row>
    <row r="756" ht="15" customHeight="1">
      <c r="A756" t="inlineStr">
        <is>
          <t>A 31654-2025</t>
        </is>
      </c>
      <c r="B756" s="1" t="n">
        <v>45834.34726851852</v>
      </c>
      <c r="C756" s="1" t="n">
        <v>45900</v>
      </c>
      <c r="D756" t="inlineStr">
        <is>
          <t>JÄMTLANDS LÄN</t>
        </is>
      </c>
      <c r="E756" t="inlineStr">
        <is>
          <t>KROKOM</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5533-2025</t>
        </is>
      </c>
      <c r="B757" s="1" t="n">
        <v>45693</v>
      </c>
      <c r="C757" s="1" t="n">
        <v>45900</v>
      </c>
      <c r="D757" t="inlineStr">
        <is>
          <t>JÄMTLANDS LÄN</t>
        </is>
      </c>
      <c r="E757" t="inlineStr">
        <is>
          <t>KROKOM</t>
        </is>
      </c>
      <c r="G757" t="n">
        <v>109</v>
      </c>
      <c r="H757" t="n">
        <v>0</v>
      </c>
      <c r="I757" t="n">
        <v>0</v>
      </c>
      <c r="J757" t="n">
        <v>0</v>
      </c>
      <c r="K757" t="n">
        <v>0</v>
      </c>
      <c r="L757" t="n">
        <v>0</v>
      </c>
      <c r="M757" t="n">
        <v>0</v>
      </c>
      <c r="N757" t="n">
        <v>0</v>
      </c>
      <c r="O757" t="n">
        <v>0</v>
      </c>
      <c r="P757" t="n">
        <v>0</v>
      </c>
      <c r="Q757" t="n">
        <v>0</v>
      </c>
      <c r="R757" s="2" t="inlineStr"/>
    </row>
    <row r="758" ht="15" customHeight="1">
      <c r="A758" t="inlineStr">
        <is>
          <t>A 40364-2023</t>
        </is>
      </c>
      <c r="B758" s="1" t="n">
        <v>45168</v>
      </c>
      <c r="C758" s="1" t="n">
        <v>45900</v>
      </c>
      <c r="D758" t="inlineStr">
        <is>
          <t>JÄMTLANDS LÄN</t>
        </is>
      </c>
      <c r="E758" t="inlineStr">
        <is>
          <t>KROKOM</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34278-2022</t>
        </is>
      </c>
      <c r="B759" s="1" t="n">
        <v>44792.27644675926</v>
      </c>
      <c r="C759" s="1" t="n">
        <v>45900</v>
      </c>
      <c r="D759" t="inlineStr">
        <is>
          <t>JÄMTLANDS LÄN</t>
        </is>
      </c>
      <c r="E759" t="inlineStr">
        <is>
          <t>KROKOM</t>
        </is>
      </c>
      <c r="G759" t="n">
        <v>19.5</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45900</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23512-2022</t>
        </is>
      </c>
      <c r="B761" s="1" t="n">
        <v>44721.39003472222</v>
      </c>
      <c r="C761" s="1" t="n">
        <v>45900</v>
      </c>
      <c r="D761" t="inlineStr">
        <is>
          <t>JÄMTLANDS LÄN</t>
        </is>
      </c>
      <c r="E761" t="inlineStr">
        <is>
          <t>KROKOM</t>
        </is>
      </c>
      <c r="F761" t="inlineStr">
        <is>
          <t>Övriga Aktiebolag</t>
        </is>
      </c>
      <c r="G761" t="n">
        <v>4.8</v>
      </c>
      <c r="H761" t="n">
        <v>0</v>
      </c>
      <c r="I761" t="n">
        <v>0</v>
      </c>
      <c r="J761" t="n">
        <v>0</v>
      </c>
      <c r="K761" t="n">
        <v>0</v>
      </c>
      <c r="L761" t="n">
        <v>0</v>
      </c>
      <c r="M761" t="n">
        <v>0</v>
      </c>
      <c r="N761" t="n">
        <v>0</v>
      </c>
      <c r="O761" t="n">
        <v>0</v>
      </c>
      <c r="P761" t="n">
        <v>0</v>
      </c>
      <c r="Q761" t="n">
        <v>0</v>
      </c>
      <c r="R761" s="2" t="inlineStr"/>
    </row>
    <row r="762" ht="15" customHeight="1">
      <c r="A762" t="inlineStr">
        <is>
          <t>A 51910-2023</t>
        </is>
      </c>
      <c r="B762" s="1" t="n">
        <v>45216</v>
      </c>
      <c r="C762" s="1" t="n">
        <v>45900</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3257-2024</t>
        </is>
      </c>
      <c r="B763" s="1" t="n">
        <v>45316</v>
      </c>
      <c r="C763" s="1" t="n">
        <v>45900</v>
      </c>
      <c r="D763" t="inlineStr">
        <is>
          <t>JÄMTLANDS LÄN</t>
        </is>
      </c>
      <c r="E763" t="inlineStr">
        <is>
          <t>KROKOM</t>
        </is>
      </c>
      <c r="G763" t="n">
        <v>6.5</v>
      </c>
      <c r="H763" t="n">
        <v>0</v>
      </c>
      <c r="I763" t="n">
        <v>0</v>
      </c>
      <c r="J763" t="n">
        <v>0</v>
      </c>
      <c r="K763" t="n">
        <v>0</v>
      </c>
      <c r="L763" t="n">
        <v>0</v>
      </c>
      <c r="M763" t="n">
        <v>0</v>
      </c>
      <c r="N763" t="n">
        <v>0</v>
      </c>
      <c r="O763" t="n">
        <v>0</v>
      </c>
      <c r="P763" t="n">
        <v>0</v>
      </c>
      <c r="Q763" t="n">
        <v>0</v>
      </c>
      <c r="R763" s="2" t="inlineStr"/>
    </row>
    <row r="764" ht="15" customHeight="1">
      <c r="A764" t="inlineStr">
        <is>
          <t>A 20174-2025</t>
        </is>
      </c>
      <c r="B764" s="1" t="n">
        <v>45772.58283564815</v>
      </c>
      <c r="C764" s="1" t="n">
        <v>45900</v>
      </c>
      <c r="D764" t="inlineStr">
        <is>
          <t>JÄMTLANDS LÄN</t>
        </is>
      </c>
      <c r="E764" t="inlineStr">
        <is>
          <t>KROKOM</t>
        </is>
      </c>
      <c r="G764" t="n">
        <v>47</v>
      </c>
      <c r="H764" t="n">
        <v>0</v>
      </c>
      <c r="I764" t="n">
        <v>0</v>
      </c>
      <c r="J764" t="n">
        <v>0</v>
      </c>
      <c r="K764" t="n">
        <v>0</v>
      </c>
      <c r="L764" t="n">
        <v>0</v>
      </c>
      <c r="M764" t="n">
        <v>0</v>
      </c>
      <c r="N764" t="n">
        <v>0</v>
      </c>
      <c r="O764" t="n">
        <v>0</v>
      </c>
      <c r="P764" t="n">
        <v>0</v>
      </c>
      <c r="Q764" t="n">
        <v>0</v>
      </c>
      <c r="R764" s="2" t="inlineStr"/>
    </row>
    <row r="765" ht="15" customHeight="1">
      <c r="A765" t="inlineStr">
        <is>
          <t>A 20181-2025</t>
        </is>
      </c>
      <c r="B765" s="1" t="n">
        <v>45772.59200231481</v>
      </c>
      <c r="C765" s="1" t="n">
        <v>45900</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25421-2022</t>
        </is>
      </c>
      <c r="B766" s="1" t="n">
        <v>44732</v>
      </c>
      <c r="C766" s="1" t="n">
        <v>45900</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24441-2022</t>
        </is>
      </c>
      <c r="B767" s="1" t="n">
        <v>44726</v>
      </c>
      <c r="C767" s="1" t="n">
        <v>45900</v>
      </c>
      <c r="D767" t="inlineStr">
        <is>
          <t>JÄMTLANDS LÄN</t>
        </is>
      </c>
      <c r="E767" t="inlineStr">
        <is>
          <t>KROKOM</t>
        </is>
      </c>
      <c r="G767" t="n">
        <v>12.1</v>
      </c>
      <c r="H767" t="n">
        <v>0</v>
      </c>
      <c r="I767" t="n">
        <v>0</v>
      </c>
      <c r="J767" t="n">
        <v>0</v>
      </c>
      <c r="K767" t="n">
        <v>0</v>
      </c>
      <c r="L767" t="n">
        <v>0</v>
      </c>
      <c r="M767" t="n">
        <v>0</v>
      </c>
      <c r="N767" t="n">
        <v>0</v>
      </c>
      <c r="O767" t="n">
        <v>0</v>
      </c>
      <c r="P767" t="n">
        <v>0</v>
      </c>
      <c r="Q767" t="n">
        <v>0</v>
      </c>
      <c r="R767" s="2" t="inlineStr"/>
    </row>
    <row r="768" ht="15" customHeight="1">
      <c r="A768" t="inlineStr">
        <is>
          <t>A 31852-2025</t>
        </is>
      </c>
      <c r="B768" s="1" t="n">
        <v>45834.61517361111</v>
      </c>
      <c r="C768" s="1" t="n">
        <v>45900</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37349-2025</t>
        </is>
      </c>
      <c r="B769" s="1" t="n">
        <v>45876</v>
      </c>
      <c r="C769" s="1" t="n">
        <v>45900</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37350-2025</t>
        </is>
      </c>
      <c r="B770" s="1" t="n">
        <v>45876</v>
      </c>
      <c r="C770" s="1" t="n">
        <v>45900</v>
      </c>
      <c r="D770" t="inlineStr">
        <is>
          <t>JÄMTLANDS LÄN</t>
        </is>
      </c>
      <c r="E770" t="inlineStr">
        <is>
          <t>KROKOM</t>
        </is>
      </c>
      <c r="G770" t="n">
        <v>29.9</v>
      </c>
      <c r="H770" t="n">
        <v>0</v>
      </c>
      <c r="I770" t="n">
        <v>0</v>
      </c>
      <c r="J770" t="n">
        <v>0</v>
      </c>
      <c r="K770" t="n">
        <v>0</v>
      </c>
      <c r="L770" t="n">
        <v>0</v>
      </c>
      <c r="M770" t="n">
        <v>0</v>
      </c>
      <c r="N770" t="n">
        <v>0</v>
      </c>
      <c r="O770" t="n">
        <v>0</v>
      </c>
      <c r="P770" t="n">
        <v>0</v>
      </c>
      <c r="Q770" t="n">
        <v>0</v>
      </c>
      <c r="R770" s="2" t="inlineStr"/>
    </row>
    <row r="771" ht="15" customHeight="1">
      <c r="A771" t="inlineStr">
        <is>
          <t>A 31292-2025</t>
        </is>
      </c>
      <c r="B771" s="1" t="n">
        <v>45833.36111111111</v>
      </c>
      <c r="C771" s="1" t="n">
        <v>45900</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31537-2023</t>
        </is>
      </c>
      <c r="B772" s="1" t="n">
        <v>45117</v>
      </c>
      <c r="C772" s="1" t="n">
        <v>45900</v>
      </c>
      <c r="D772" t="inlineStr">
        <is>
          <t>JÄMTLANDS LÄN</t>
        </is>
      </c>
      <c r="E772" t="inlineStr">
        <is>
          <t>KROKOM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32765-2023</t>
        </is>
      </c>
      <c r="B773" s="1" t="n">
        <v>45123.61459490741</v>
      </c>
      <c r="C773" s="1" t="n">
        <v>45900</v>
      </c>
      <c r="D773" t="inlineStr">
        <is>
          <t>JÄMTLANDS LÄN</t>
        </is>
      </c>
      <c r="E773" t="inlineStr">
        <is>
          <t>KROKOM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5955-2025</t>
        </is>
      </c>
      <c r="B774" s="1" t="n">
        <v>45695.47791666666</v>
      </c>
      <c r="C774" s="1" t="n">
        <v>45900</v>
      </c>
      <c r="D774" t="inlineStr">
        <is>
          <t>JÄMTLANDS LÄN</t>
        </is>
      </c>
      <c r="E774" t="inlineStr">
        <is>
          <t>KROKOM</t>
        </is>
      </c>
      <c r="G774" t="n">
        <v>8.5</v>
      </c>
      <c r="H774" t="n">
        <v>0</v>
      </c>
      <c r="I774" t="n">
        <v>0</v>
      </c>
      <c r="J774" t="n">
        <v>0</v>
      </c>
      <c r="K774" t="n">
        <v>0</v>
      </c>
      <c r="L774" t="n">
        <v>0</v>
      </c>
      <c r="M774" t="n">
        <v>0</v>
      </c>
      <c r="N774" t="n">
        <v>0</v>
      </c>
      <c r="O774" t="n">
        <v>0</v>
      </c>
      <c r="P774" t="n">
        <v>0</v>
      </c>
      <c r="Q774" t="n">
        <v>0</v>
      </c>
      <c r="R774" s="2" t="inlineStr"/>
    </row>
    <row r="775" ht="15" customHeight="1">
      <c r="A775" t="inlineStr">
        <is>
          <t>A 48769-2022</t>
        </is>
      </c>
      <c r="B775" s="1" t="n">
        <v>44855</v>
      </c>
      <c r="C775" s="1" t="n">
        <v>45900</v>
      </c>
      <c r="D775" t="inlineStr">
        <is>
          <t>JÄMTLANDS LÄN</t>
        </is>
      </c>
      <c r="E775" t="inlineStr">
        <is>
          <t>KROKOM</t>
        </is>
      </c>
      <c r="G775" t="n">
        <v>7.5</v>
      </c>
      <c r="H775" t="n">
        <v>0</v>
      </c>
      <c r="I775" t="n">
        <v>0</v>
      </c>
      <c r="J775" t="n">
        <v>0</v>
      </c>
      <c r="K775" t="n">
        <v>0</v>
      </c>
      <c r="L775" t="n">
        <v>0</v>
      </c>
      <c r="M775" t="n">
        <v>0</v>
      </c>
      <c r="N775" t="n">
        <v>0</v>
      </c>
      <c r="O775" t="n">
        <v>0</v>
      </c>
      <c r="P775" t="n">
        <v>0</v>
      </c>
      <c r="Q775" t="n">
        <v>0</v>
      </c>
      <c r="R775" s="2" t="inlineStr"/>
    </row>
    <row r="776" ht="15" customHeight="1">
      <c r="A776" t="inlineStr">
        <is>
          <t>A 48777-2022</t>
        </is>
      </c>
      <c r="B776" s="1" t="n">
        <v>44855</v>
      </c>
      <c r="C776" s="1" t="n">
        <v>45900</v>
      </c>
      <c r="D776" t="inlineStr">
        <is>
          <t>JÄMTLANDS LÄN</t>
        </is>
      </c>
      <c r="E776" t="inlineStr">
        <is>
          <t>KROKOM</t>
        </is>
      </c>
      <c r="G776" t="n">
        <v>5.3</v>
      </c>
      <c r="H776" t="n">
        <v>0</v>
      </c>
      <c r="I776" t="n">
        <v>0</v>
      </c>
      <c r="J776" t="n">
        <v>0</v>
      </c>
      <c r="K776" t="n">
        <v>0</v>
      </c>
      <c r="L776" t="n">
        <v>0</v>
      </c>
      <c r="M776" t="n">
        <v>0</v>
      </c>
      <c r="N776" t="n">
        <v>0</v>
      </c>
      <c r="O776" t="n">
        <v>0</v>
      </c>
      <c r="P776" t="n">
        <v>0</v>
      </c>
      <c r="Q776" t="n">
        <v>0</v>
      </c>
      <c r="R776" s="2" t="inlineStr"/>
    </row>
    <row r="777" ht="15" customHeight="1">
      <c r="A777" t="inlineStr">
        <is>
          <t>A 37408-2025</t>
        </is>
      </c>
      <c r="B777" s="1" t="n">
        <v>45877.46555555556</v>
      </c>
      <c r="C777" s="1" t="n">
        <v>45900</v>
      </c>
      <c r="D777" t="inlineStr">
        <is>
          <t>JÄMTLANDS LÄN</t>
        </is>
      </c>
      <c r="E777" t="inlineStr">
        <is>
          <t>KROKOM</t>
        </is>
      </c>
      <c r="G777" t="n">
        <v>7.3</v>
      </c>
      <c r="H777" t="n">
        <v>0</v>
      </c>
      <c r="I777" t="n">
        <v>0</v>
      </c>
      <c r="J777" t="n">
        <v>0</v>
      </c>
      <c r="K777" t="n">
        <v>0</v>
      </c>
      <c r="L777" t="n">
        <v>0</v>
      </c>
      <c r="M777" t="n">
        <v>0</v>
      </c>
      <c r="N777" t="n">
        <v>0</v>
      </c>
      <c r="O777" t="n">
        <v>0</v>
      </c>
      <c r="P777" t="n">
        <v>0</v>
      </c>
      <c r="Q777" t="n">
        <v>0</v>
      </c>
      <c r="R777" s="2" t="inlineStr"/>
    </row>
    <row r="778" ht="15" customHeight="1">
      <c r="A778" t="inlineStr">
        <is>
          <t>A 37615-2025</t>
        </is>
      </c>
      <c r="B778" s="1" t="n">
        <v>45880</v>
      </c>
      <c r="C778" s="1" t="n">
        <v>45900</v>
      </c>
      <c r="D778" t="inlineStr">
        <is>
          <t>JÄMTLANDS LÄN</t>
        </is>
      </c>
      <c r="E778" t="inlineStr">
        <is>
          <t>KROKOM</t>
        </is>
      </c>
      <c r="G778" t="n">
        <v>33.6</v>
      </c>
      <c r="H778" t="n">
        <v>0</v>
      </c>
      <c r="I778" t="n">
        <v>0</v>
      </c>
      <c r="J778" t="n">
        <v>0</v>
      </c>
      <c r="K778" t="n">
        <v>0</v>
      </c>
      <c r="L778" t="n">
        <v>0</v>
      </c>
      <c r="M778" t="n">
        <v>0</v>
      </c>
      <c r="N778" t="n">
        <v>0</v>
      </c>
      <c r="O778" t="n">
        <v>0</v>
      </c>
      <c r="P778" t="n">
        <v>0</v>
      </c>
      <c r="Q778" t="n">
        <v>0</v>
      </c>
      <c r="R778" s="2" t="inlineStr"/>
    </row>
    <row r="779" ht="15" customHeight="1">
      <c r="A779" t="inlineStr">
        <is>
          <t>A 50206-2024</t>
        </is>
      </c>
      <c r="B779" s="1" t="n">
        <v>45600.49616898148</v>
      </c>
      <c r="C779" s="1" t="n">
        <v>45900</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54491-2022</t>
        </is>
      </c>
      <c r="B780" s="1" t="n">
        <v>44880</v>
      </c>
      <c r="C780" s="1" t="n">
        <v>45900</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32038-2025</t>
        </is>
      </c>
      <c r="B781" s="1" t="n">
        <v>45835.42712962963</v>
      </c>
      <c r="C781" s="1" t="n">
        <v>45900</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18406-2025</t>
        </is>
      </c>
      <c r="B782" s="1" t="n">
        <v>45762.60907407408</v>
      </c>
      <c r="C782" s="1" t="n">
        <v>45900</v>
      </c>
      <c r="D782" t="inlineStr">
        <is>
          <t>JÄMTLANDS LÄN</t>
        </is>
      </c>
      <c r="E782" t="inlineStr">
        <is>
          <t>KROKOM</t>
        </is>
      </c>
      <c r="F782" t="inlineStr">
        <is>
          <t>Övriga Aktiebolag</t>
        </is>
      </c>
      <c r="G782" t="n">
        <v>34.3</v>
      </c>
      <c r="H782" t="n">
        <v>0</v>
      </c>
      <c r="I782" t="n">
        <v>0</v>
      </c>
      <c r="J782" t="n">
        <v>0</v>
      </c>
      <c r="K782" t="n">
        <v>0</v>
      </c>
      <c r="L782" t="n">
        <v>0</v>
      </c>
      <c r="M782" t="n">
        <v>0</v>
      </c>
      <c r="N782" t="n">
        <v>0</v>
      </c>
      <c r="O782" t="n">
        <v>0</v>
      </c>
      <c r="P782" t="n">
        <v>0</v>
      </c>
      <c r="Q782" t="n">
        <v>0</v>
      </c>
      <c r="R782" s="2" t="inlineStr"/>
    </row>
    <row r="783" ht="15" customHeight="1">
      <c r="A783" t="inlineStr">
        <is>
          <t>A 31538-2023</t>
        </is>
      </c>
      <c r="B783" s="1" t="n">
        <v>45117</v>
      </c>
      <c r="C783" s="1" t="n">
        <v>45900</v>
      </c>
      <c r="D783" t="inlineStr">
        <is>
          <t>JÄMTLANDS LÄN</t>
        </is>
      </c>
      <c r="E783" t="inlineStr">
        <is>
          <t>KROKOM</t>
        </is>
      </c>
      <c r="F783" t="inlineStr">
        <is>
          <t>Övriga Aktiebolag</t>
        </is>
      </c>
      <c r="G783" t="n">
        <v>9.9</v>
      </c>
      <c r="H783" t="n">
        <v>0</v>
      </c>
      <c r="I783" t="n">
        <v>0</v>
      </c>
      <c r="J783" t="n">
        <v>0</v>
      </c>
      <c r="K783" t="n">
        <v>0</v>
      </c>
      <c r="L783" t="n">
        <v>0</v>
      </c>
      <c r="M783" t="n">
        <v>0</v>
      </c>
      <c r="N783" t="n">
        <v>0</v>
      </c>
      <c r="O783" t="n">
        <v>0</v>
      </c>
      <c r="P783" t="n">
        <v>0</v>
      </c>
      <c r="Q783" t="n">
        <v>0</v>
      </c>
      <c r="R783" s="2" t="inlineStr"/>
    </row>
    <row r="784" ht="15" customHeight="1">
      <c r="A784" t="inlineStr">
        <is>
          <t>A 27178-2022</t>
        </is>
      </c>
      <c r="B784" s="1" t="n">
        <v>44741</v>
      </c>
      <c r="C784" s="1" t="n">
        <v>45900</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32318-2025</t>
        </is>
      </c>
      <c r="B785" s="1" t="n">
        <v>45836.34413194445</v>
      </c>
      <c r="C785" s="1" t="n">
        <v>45900</v>
      </c>
      <c r="D785" t="inlineStr">
        <is>
          <t>JÄMTLANDS LÄN</t>
        </is>
      </c>
      <c r="E785" t="inlineStr">
        <is>
          <t>KROKOM</t>
        </is>
      </c>
      <c r="F785" t="inlineStr">
        <is>
          <t>SCA</t>
        </is>
      </c>
      <c r="G785" t="n">
        <v>13.8</v>
      </c>
      <c r="H785" t="n">
        <v>0</v>
      </c>
      <c r="I785" t="n">
        <v>0</v>
      </c>
      <c r="J785" t="n">
        <v>0</v>
      </c>
      <c r="K785" t="n">
        <v>0</v>
      </c>
      <c r="L785" t="n">
        <v>0</v>
      </c>
      <c r="M785" t="n">
        <v>0</v>
      </c>
      <c r="N785" t="n">
        <v>0</v>
      </c>
      <c r="O785" t="n">
        <v>0</v>
      </c>
      <c r="P785" t="n">
        <v>0</v>
      </c>
      <c r="Q785" t="n">
        <v>0</v>
      </c>
      <c r="R785" s="2" t="inlineStr"/>
    </row>
    <row r="786" ht="15" customHeight="1">
      <c r="A786" t="inlineStr">
        <is>
          <t>A 37465-2025</t>
        </is>
      </c>
      <c r="B786" s="1" t="n">
        <v>45877.57403935185</v>
      </c>
      <c r="C786" s="1" t="n">
        <v>45900</v>
      </c>
      <c r="D786" t="inlineStr">
        <is>
          <t>JÄMTLANDS LÄN</t>
        </is>
      </c>
      <c r="E786" t="inlineStr">
        <is>
          <t>KROKOM</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16129-2025</t>
        </is>
      </c>
      <c r="B787" s="1" t="n">
        <v>45750.42650462963</v>
      </c>
      <c r="C787" s="1" t="n">
        <v>45900</v>
      </c>
      <c r="D787" t="inlineStr">
        <is>
          <t>JÄMTLANDS LÄN</t>
        </is>
      </c>
      <c r="E787" t="inlineStr">
        <is>
          <t>KROKOM</t>
        </is>
      </c>
      <c r="G787" t="n">
        <v>3</v>
      </c>
      <c r="H787" t="n">
        <v>0</v>
      </c>
      <c r="I787" t="n">
        <v>0</v>
      </c>
      <c r="J787" t="n">
        <v>0</v>
      </c>
      <c r="K787" t="n">
        <v>0</v>
      </c>
      <c r="L787" t="n">
        <v>0</v>
      </c>
      <c r="M787" t="n">
        <v>0</v>
      </c>
      <c r="N787" t="n">
        <v>0</v>
      </c>
      <c r="O787" t="n">
        <v>0</v>
      </c>
      <c r="P787" t="n">
        <v>0</v>
      </c>
      <c r="Q787" t="n">
        <v>0</v>
      </c>
      <c r="R787" s="2" t="inlineStr"/>
    </row>
    <row r="788" ht="15" customHeight="1">
      <c r="A788" t="inlineStr">
        <is>
          <t>A 24402-2022</t>
        </is>
      </c>
      <c r="B788" s="1" t="n">
        <v>44726</v>
      </c>
      <c r="C788" s="1" t="n">
        <v>45900</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773-2024</t>
        </is>
      </c>
      <c r="B789" s="1" t="n">
        <v>45300</v>
      </c>
      <c r="C789" s="1" t="n">
        <v>45900</v>
      </c>
      <c r="D789" t="inlineStr">
        <is>
          <t>JÄMTLANDS LÄN</t>
        </is>
      </c>
      <c r="E789" t="inlineStr">
        <is>
          <t>KROKOM</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44519-2024</t>
        </is>
      </c>
      <c r="B790" s="1" t="n">
        <v>45574.43403935185</v>
      </c>
      <c r="C790" s="1" t="n">
        <v>45900</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8865-2025</t>
        </is>
      </c>
      <c r="B791" s="1" t="n">
        <v>45713.36561342593</v>
      </c>
      <c r="C791" s="1" t="n">
        <v>45900</v>
      </c>
      <c r="D791" t="inlineStr">
        <is>
          <t>JÄMTLANDS LÄN</t>
        </is>
      </c>
      <c r="E791" t="inlineStr">
        <is>
          <t>KROKOM</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8880-2025</t>
        </is>
      </c>
      <c r="B792" s="1" t="n">
        <v>45713.38028935185</v>
      </c>
      <c r="C792" s="1" t="n">
        <v>45900</v>
      </c>
      <c r="D792" t="inlineStr">
        <is>
          <t>JÄMTLANDS LÄN</t>
        </is>
      </c>
      <c r="E792" t="inlineStr">
        <is>
          <t>KROKOM</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38024-2025</t>
        </is>
      </c>
      <c r="B793" s="1" t="n">
        <v>45882.34510416666</v>
      </c>
      <c r="C793" s="1" t="n">
        <v>45900</v>
      </c>
      <c r="D793" t="inlineStr">
        <is>
          <t>JÄMTLANDS LÄN</t>
        </is>
      </c>
      <c r="E793" t="inlineStr">
        <is>
          <t>KROKOM</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33045-2025</t>
        </is>
      </c>
      <c r="B794" s="1" t="n">
        <v>45840.40717592592</v>
      </c>
      <c r="C794" s="1" t="n">
        <v>45900</v>
      </c>
      <c r="D794" t="inlineStr">
        <is>
          <t>JÄMTLANDS LÄN</t>
        </is>
      </c>
      <c r="E794" t="inlineStr">
        <is>
          <t>KROKOM</t>
        </is>
      </c>
      <c r="F794" t="inlineStr">
        <is>
          <t>SCA</t>
        </is>
      </c>
      <c r="G794" t="n">
        <v>18.7</v>
      </c>
      <c r="H794" t="n">
        <v>0</v>
      </c>
      <c r="I794" t="n">
        <v>0</v>
      </c>
      <c r="J794" t="n">
        <v>0</v>
      </c>
      <c r="K794" t="n">
        <v>0</v>
      </c>
      <c r="L794" t="n">
        <v>0</v>
      </c>
      <c r="M794" t="n">
        <v>0</v>
      </c>
      <c r="N794" t="n">
        <v>0</v>
      </c>
      <c r="O794" t="n">
        <v>0</v>
      </c>
      <c r="P794" t="n">
        <v>0</v>
      </c>
      <c r="Q794" t="n">
        <v>0</v>
      </c>
      <c r="R794" s="2" t="inlineStr"/>
    </row>
    <row r="795" ht="15" customHeight="1">
      <c r="A795" t="inlineStr">
        <is>
          <t>A 6804-2025</t>
        </is>
      </c>
      <c r="B795" s="1" t="n">
        <v>45700.6833912037</v>
      </c>
      <c r="C795" s="1" t="n">
        <v>45900</v>
      </c>
      <c r="D795" t="inlineStr">
        <is>
          <t>JÄMTLANDS LÄN</t>
        </is>
      </c>
      <c r="E795" t="inlineStr">
        <is>
          <t>KROKOM</t>
        </is>
      </c>
      <c r="G795" t="n">
        <v>2.2</v>
      </c>
      <c r="H795" t="n">
        <v>0</v>
      </c>
      <c r="I795" t="n">
        <v>0</v>
      </c>
      <c r="J795" t="n">
        <v>0</v>
      </c>
      <c r="K795" t="n">
        <v>0</v>
      </c>
      <c r="L795" t="n">
        <v>0</v>
      </c>
      <c r="M795" t="n">
        <v>0</v>
      </c>
      <c r="N795" t="n">
        <v>0</v>
      </c>
      <c r="O795" t="n">
        <v>0</v>
      </c>
      <c r="P795" t="n">
        <v>0</v>
      </c>
      <c r="Q795" t="n">
        <v>0</v>
      </c>
      <c r="R795" s="2" t="inlineStr"/>
    </row>
    <row r="796" ht="15" customHeight="1">
      <c r="A796" t="inlineStr">
        <is>
          <t>A 32896-2025</t>
        </is>
      </c>
      <c r="B796" s="1" t="n">
        <v>45839.61541666667</v>
      </c>
      <c r="C796" s="1" t="n">
        <v>45900</v>
      </c>
      <c r="D796" t="inlineStr">
        <is>
          <t>JÄMTLANDS LÄN</t>
        </is>
      </c>
      <c r="E796" t="inlineStr">
        <is>
          <t>KROKOM</t>
        </is>
      </c>
      <c r="F796" t="inlineStr">
        <is>
          <t>SCA</t>
        </is>
      </c>
      <c r="G796" t="n">
        <v>17.9</v>
      </c>
      <c r="H796" t="n">
        <v>0</v>
      </c>
      <c r="I796" t="n">
        <v>0</v>
      </c>
      <c r="J796" t="n">
        <v>0</v>
      </c>
      <c r="K796" t="n">
        <v>0</v>
      </c>
      <c r="L796" t="n">
        <v>0</v>
      </c>
      <c r="M796" t="n">
        <v>0</v>
      </c>
      <c r="N796" t="n">
        <v>0</v>
      </c>
      <c r="O796" t="n">
        <v>0</v>
      </c>
      <c r="P796" t="n">
        <v>0</v>
      </c>
      <c r="Q796" t="n">
        <v>0</v>
      </c>
      <c r="R796" s="2" t="inlineStr"/>
    </row>
    <row r="797" ht="15" customHeight="1">
      <c r="A797" t="inlineStr">
        <is>
          <t>A 32897-2025</t>
        </is>
      </c>
      <c r="B797" s="1" t="n">
        <v>45839.61563657408</v>
      </c>
      <c r="C797" s="1" t="n">
        <v>45900</v>
      </c>
      <c r="D797" t="inlineStr">
        <is>
          <t>JÄMTLANDS LÄN</t>
        </is>
      </c>
      <c r="E797" t="inlineStr">
        <is>
          <t>KROKOM</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54828-2024</t>
        </is>
      </c>
      <c r="B798" s="1" t="n">
        <v>45618.54398148148</v>
      </c>
      <c r="C798" s="1" t="n">
        <v>45900</v>
      </c>
      <c r="D798" t="inlineStr">
        <is>
          <t>JÄMTLANDS LÄN</t>
        </is>
      </c>
      <c r="E798" t="inlineStr">
        <is>
          <t>KROKOM</t>
        </is>
      </c>
      <c r="G798" t="n">
        <v>8.1</v>
      </c>
      <c r="H798" t="n">
        <v>0</v>
      </c>
      <c r="I798" t="n">
        <v>0</v>
      </c>
      <c r="J798" t="n">
        <v>0</v>
      </c>
      <c r="K798" t="n">
        <v>0</v>
      </c>
      <c r="L798" t="n">
        <v>0</v>
      </c>
      <c r="M798" t="n">
        <v>0</v>
      </c>
      <c r="N798" t="n">
        <v>0</v>
      </c>
      <c r="O798" t="n">
        <v>0</v>
      </c>
      <c r="P798" t="n">
        <v>0</v>
      </c>
      <c r="Q798" t="n">
        <v>0</v>
      </c>
      <c r="R798" s="2" t="inlineStr"/>
    </row>
    <row r="799" ht="15" customHeight="1">
      <c r="A799" t="inlineStr">
        <is>
          <t>A 37820-2025</t>
        </is>
      </c>
      <c r="B799" s="1" t="n">
        <v>45881.39909722222</v>
      </c>
      <c r="C799" s="1" t="n">
        <v>45900</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15231-2025</t>
        </is>
      </c>
      <c r="B800" s="1" t="n">
        <v>45744.59894675926</v>
      </c>
      <c r="C800" s="1" t="n">
        <v>45900</v>
      </c>
      <c r="D800" t="inlineStr">
        <is>
          <t>JÄMTLANDS LÄN</t>
        </is>
      </c>
      <c r="E800" t="inlineStr">
        <is>
          <t>KROKOM</t>
        </is>
      </c>
      <c r="F800" t="inlineStr">
        <is>
          <t>Övriga Aktiebolag</t>
        </is>
      </c>
      <c r="G800" t="n">
        <v>11.8</v>
      </c>
      <c r="H800" t="n">
        <v>0</v>
      </c>
      <c r="I800" t="n">
        <v>0</v>
      </c>
      <c r="J800" t="n">
        <v>0</v>
      </c>
      <c r="K800" t="n">
        <v>0</v>
      </c>
      <c r="L800" t="n">
        <v>0</v>
      </c>
      <c r="M800" t="n">
        <v>0</v>
      </c>
      <c r="N800" t="n">
        <v>0</v>
      </c>
      <c r="O800" t="n">
        <v>0</v>
      </c>
      <c r="P800" t="n">
        <v>0</v>
      </c>
      <c r="Q800" t="n">
        <v>0</v>
      </c>
      <c r="R800" s="2" t="inlineStr"/>
    </row>
    <row r="801" ht="15" customHeight="1">
      <c r="A801" t="inlineStr">
        <is>
          <t>A 10133-2025</t>
        </is>
      </c>
      <c r="B801" s="1" t="n">
        <v>45719</v>
      </c>
      <c r="C801" s="1" t="n">
        <v>45900</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45900</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38205-2025</t>
        </is>
      </c>
      <c r="B803" s="1" t="n">
        <v>45882.69851851852</v>
      </c>
      <c r="C803" s="1" t="n">
        <v>45900</v>
      </c>
      <c r="D803" t="inlineStr">
        <is>
          <t>JÄMTLANDS LÄN</t>
        </is>
      </c>
      <c r="E803" t="inlineStr">
        <is>
          <t>KROKOM</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18942-2025</t>
        </is>
      </c>
      <c r="B804" s="1" t="n">
        <v>45764</v>
      </c>
      <c r="C804" s="1" t="n">
        <v>45900</v>
      </c>
      <c r="D804" t="inlineStr">
        <is>
          <t>JÄMTLANDS LÄN</t>
        </is>
      </c>
      <c r="E804" t="inlineStr">
        <is>
          <t>KROKOM</t>
        </is>
      </c>
      <c r="G804" t="n">
        <v>8.9</v>
      </c>
      <c r="H804" t="n">
        <v>0</v>
      </c>
      <c r="I804" t="n">
        <v>0</v>
      </c>
      <c r="J804" t="n">
        <v>0</v>
      </c>
      <c r="K804" t="n">
        <v>0</v>
      </c>
      <c r="L804" t="n">
        <v>0</v>
      </c>
      <c r="M804" t="n">
        <v>0</v>
      </c>
      <c r="N804" t="n">
        <v>0</v>
      </c>
      <c r="O804" t="n">
        <v>0</v>
      </c>
      <c r="P804" t="n">
        <v>0</v>
      </c>
      <c r="Q804" t="n">
        <v>0</v>
      </c>
      <c r="R804" s="2" t="inlineStr"/>
    </row>
    <row r="805" ht="15" customHeight="1">
      <c r="A805" t="inlineStr">
        <is>
          <t>A 55660-2023</t>
        </is>
      </c>
      <c r="B805" s="1" t="n">
        <v>45238</v>
      </c>
      <c r="C805" s="1" t="n">
        <v>45900</v>
      </c>
      <c r="D805" t="inlineStr">
        <is>
          <t>JÄMTLANDS LÄN</t>
        </is>
      </c>
      <c r="E805" t="inlineStr">
        <is>
          <t>KROKOM</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32966-2025</t>
        </is>
      </c>
      <c r="B806" s="1" t="n">
        <v>45839.72320601852</v>
      </c>
      <c r="C806" s="1" t="n">
        <v>45900</v>
      </c>
      <c r="D806" t="inlineStr">
        <is>
          <t>JÄMTLANDS LÄN</t>
        </is>
      </c>
      <c r="E806" t="inlineStr">
        <is>
          <t>KROKOM</t>
        </is>
      </c>
      <c r="G806" t="n">
        <v>2.7</v>
      </c>
      <c r="H806" t="n">
        <v>0</v>
      </c>
      <c r="I806" t="n">
        <v>0</v>
      </c>
      <c r="J806" t="n">
        <v>0</v>
      </c>
      <c r="K806" t="n">
        <v>0</v>
      </c>
      <c r="L806" t="n">
        <v>0</v>
      </c>
      <c r="M806" t="n">
        <v>0</v>
      </c>
      <c r="N806" t="n">
        <v>0</v>
      </c>
      <c r="O806" t="n">
        <v>0</v>
      </c>
      <c r="P806" t="n">
        <v>0</v>
      </c>
      <c r="Q806" t="n">
        <v>0</v>
      </c>
      <c r="R806" s="2" t="inlineStr"/>
    </row>
    <row r="807" ht="15" customHeight="1">
      <c r="A807" t="inlineStr">
        <is>
          <t>A 32898-2025</t>
        </is>
      </c>
      <c r="B807" s="1" t="n">
        <v>45839.61582175926</v>
      </c>
      <c r="C807" s="1" t="n">
        <v>45900</v>
      </c>
      <c r="D807" t="inlineStr">
        <is>
          <t>JÄMTLANDS LÄN</t>
        </is>
      </c>
      <c r="E807" t="inlineStr">
        <is>
          <t>KROKOM</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32899-2025</t>
        </is>
      </c>
      <c r="B808" s="1" t="n">
        <v>45839.61594907408</v>
      </c>
      <c r="C808" s="1" t="n">
        <v>45900</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59973-2023</t>
        </is>
      </c>
      <c r="B809" s="1" t="n">
        <v>45257</v>
      </c>
      <c r="C809" s="1" t="n">
        <v>45900</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37821-2025</t>
        </is>
      </c>
      <c r="B810" s="1" t="n">
        <v>45881.40521990741</v>
      </c>
      <c r="C810" s="1" t="n">
        <v>45900</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37886-2025</t>
        </is>
      </c>
      <c r="B811" s="1" t="n">
        <v>45881.51081018519</v>
      </c>
      <c r="C811" s="1" t="n">
        <v>45900</v>
      </c>
      <c r="D811" t="inlineStr">
        <is>
          <t>JÄMTLANDS LÄN</t>
        </is>
      </c>
      <c r="E811" t="inlineStr">
        <is>
          <t>KROKOM</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38416-2025</t>
        </is>
      </c>
      <c r="B812" s="1" t="n">
        <v>45883.61028935185</v>
      </c>
      <c r="C812" s="1" t="n">
        <v>45900</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57856-2023</t>
        </is>
      </c>
      <c r="B813" s="1" t="n">
        <v>45247</v>
      </c>
      <c r="C813" s="1" t="n">
        <v>45900</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9022-2025</t>
        </is>
      </c>
      <c r="B814" s="1" t="n">
        <v>45713.59623842593</v>
      </c>
      <c r="C814" s="1" t="n">
        <v>45900</v>
      </c>
      <c r="D814" t="inlineStr">
        <is>
          <t>JÄMTLANDS LÄN</t>
        </is>
      </c>
      <c r="E814" t="inlineStr">
        <is>
          <t>KROKOM</t>
        </is>
      </c>
      <c r="F814" t="inlineStr">
        <is>
          <t>Övriga Aktiebolag</t>
        </is>
      </c>
      <c r="G814" t="n">
        <v>29.9</v>
      </c>
      <c r="H814" t="n">
        <v>0</v>
      </c>
      <c r="I814" t="n">
        <v>0</v>
      </c>
      <c r="J814" t="n">
        <v>0</v>
      </c>
      <c r="K814" t="n">
        <v>0</v>
      </c>
      <c r="L814" t="n">
        <v>0</v>
      </c>
      <c r="M814" t="n">
        <v>0</v>
      </c>
      <c r="N814" t="n">
        <v>0</v>
      </c>
      <c r="O814" t="n">
        <v>0</v>
      </c>
      <c r="P814" t="n">
        <v>0</v>
      </c>
      <c r="Q814" t="n">
        <v>0</v>
      </c>
      <c r="R814" s="2" t="inlineStr"/>
    </row>
    <row r="815" ht="15" customHeight="1">
      <c r="A815" t="inlineStr">
        <is>
          <t>A 30160-2022</t>
        </is>
      </c>
      <c r="B815" s="1" t="n">
        <v>44757</v>
      </c>
      <c r="C815" s="1" t="n">
        <v>45900</v>
      </c>
      <c r="D815" t="inlineStr">
        <is>
          <t>JÄMTLANDS LÄN</t>
        </is>
      </c>
      <c r="E815" t="inlineStr">
        <is>
          <t>KROKOM</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1852-2025</t>
        </is>
      </c>
      <c r="B816" s="1" t="n">
        <v>45671.59114583334</v>
      </c>
      <c r="C816" s="1" t="n">
        <v>45900</v>
      </c>
      <c r="D816" t="inlineStr">
        <is>
          <t>JÄMTLANDS LÄN</t>
        </is>
      </c>
      <c r="E816" t="inlineStr">
        <is>
          <t>KROKOM</t>
        </is>
      </c>
      <c r="G816" t="n">
        <v>6.8</v>
      </c>
      <c r="H816" t="n">
        <v>0</v>
      </c>
      <c r="I816" t="n">
        <v>0</v>
      </c>
      <c r="J816" t="n">
        <v>0</v>
      </c>
      <c r="K816" t="n">
        <v>0</v>
      </c>
      <c r="L816" t="n">
        <v>0</v>
      </c>
      <c r="M816" t="n">
        <v>0</v>
      </c>
      <c r="N816" t="n">
        <v>0</v>
      </c>
      <c r="O816" t="n">
        <v>0</v>
      </c>
      <c r="P816" t="n">
        <v>0</v>
      </c>
      <c r="Q816" t="n">
        <v>0</v>
      </c>
      <c r="R816" s="2" t="inlineStr"/>
    </row>
    <row r="817" ht="15" customHeight="1">
      <c r="A817" t="inlineStr">
        <is>
          <t>A 21990-2022</t>
        </is>
      </c>
      <c r="B817" s="1" t="n">
        <v>44711</v>
      </c>
      <c r="C817" s="1" t="n">
        <v>45900</v>
      </c>
      <c r="D817" t="inlineStr">
        <is>
          <t>JÄMTLANDS LÄN</t>
        </is>
      </c>
      <c r="E817" t="inlineStr">
        <is>
          <t>KROKOM</t>
        </is>
      </c>
      <c r="F817" t="inlineStr">
        <is>
          <t>Övriga Aktiebolag</t>
        </is>
      </c>
      <c r="G817" t="n">
        <v>26.3</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45900</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63532-2023</t>
        </is>
      </c>
      <c r="B819" s="1" t="n">
        <v>45274</v>
      </c>
      <c r="C819" s="1" t="n">
        <v>45900</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37530-2025</t>
        </is>
      </c>
      <c r="B820" s="1" t="n">
        <v>45878</v>
      </c>
      <c r="C820" s="1" t="n">
        <v>45900</v>
      </c>
      <c r="D820" t="inlineStr">
        <is>
          <t>JÄMTLANDS LÄN</t>
        </is>
      </c>
      <c r="E820" t="inlineStr">
        <is>
          <t>KROKOM</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33677-2025</t>
        </is>
      </c>
      <c r="B821" s="1" t="n">
        <v>45841.67834490741</v>
      </c>
      <c r="C821" s="1" t="n">
        <v>45900</v>
      </c>
      <c r="D821" t="inlineStr">
        <is>
          <t>JÄMTLANDS LÄN</t>
        </is>
      </c>
      <c r="E821" t="inlineStr">
        <is>
          <t>KROKOM</t>
        </is>
      </c>
      <c r="F821" t="inlineStr">
        <is>
          <t>SCA</t>
        </is>
      </c>
      <c r="G821" t="n">
        <v>13.7</v>
      </c>
      <c r="H821" t="n">
        <v>0</v>
      </c>
      <c r="I821" t="n">
        <v>0</v>
      </c>
      <c r="J821" t="n">
        <v>0</v>
      </c>
      <c r="K821" t="n">
        <v>0</v>
      </c>
      <c r="L821" t="n">
        <v>0</v>
      </c>
      <c r="M821" t="n">
        <v>0</v>
      </c>
      <c r="N821" t="n">
        <v>0</v>
      </c>
      <c r="O821" t="n">
        <v>0</v>
      </c>
      <c r="P821" t="n">
        <v>0</v>
      </c>
      <c r="Q821" t="n">
        <v>0</v>
      </c>
      <c r="R821" s="2" t="inlineStr"/>
    </row>
    <row r="822" ht="15" customHeight="1">
      <c r="A822" t="inlineStr">
        <is>
          <t>A 33777-2025</t>
        </is>
      </c>
      <c r="B822" s="1" t="n">
        <v>45842.39587962963</v>
      </c>
      <c r="C822" s="1" t="n">
        <v>45900</v>
      </c>
      <c r="D822" t="inlineStr">
        <is>
          <t>JÄMTLANDS LÄN</t>
        </is>
      </c>
      <c r="E822" t="inlineStr">
        <is>
          <t>KROKOM</t>
        </is>
      </c>
      <c r="F822" t="inlineStr">
        <is>
          <t>Övriga Aktiebolag</t>
        </is>
      </c>
      <c r="G822" t="n">
        <v>0.3</v>
      </c>
      <c r="H822" t="n">
        <v>0</v>
      </c>
      <c r="I822" t="n">
        <v>0</v>
      </c>
      <c r="J822" t="n">
        <v>0</v>
      </c>
      <c r="K822" t="n">
        <v>0</v>
      </c>
      <c r="L822" t="n">
        <v>0</v>
      </c>
      <c r="M822" t="n">
        <v>0</v>
      </c>
      <c r="N822" t="n">
        <v>0</v>
      </c>
      <c r="O822" t="n">
        <v>0</v>
      </c>
      <c r="P822" t="n">
        <v>0</v>
      </c>
      <c r="Q822" t="n">
        <v>0</v>
      </c>
      <c r="R822" s="2" t="inlineStr"/>
    </row>
    <row r="823" ht="15" customHeight="1">
      <c r="A823" t="inlineStr">
        <is>
          <t>A 33779-2025</t>
        </is>
      </c>
      <c r="B823" s="1" t="n">
        <v>45842.40013888889</v>
      </c>
      <c r="C823" s="1" t="n">
        <v>45900</v>
      </c>
      <c r="D823" t="inlineStr">
        <is>
          <t>JÄMTLANDS LÄN</t>
        </is>
      </c>
      <c r="E823" t="inlineStr">
        <is>
          <t>KROKOM</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31988-2024</t>
        </is>
      </c>
      <c r="B824" s="1" t="n">
        <v>45510.58033564815</v>
      </c>
      <c r="C824" s="1" t="n">
        <v>45900</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38253-2025</t>
        </is>
      </c>
      <c r="B825" s="1" t="n">
        <v>45883.37883101852</v>
      </c>
      <c r="C825" s="1" t="n">
        <v>45900</v>
      </c>
      <c r="D825" t="inlineStr">
        <is>
          <t>JÄMTLANDS LÄN</t>
        </is>
      </c>
      <c r="E825" t="inlineStr">
        <is>
          <t>KROKOM</t>
        </is>
      </c>
      <c r="G825" t="n">
        <v>5.8</v>
      </c>
      <c r="H825" t="n">
        <v>0</v>
      </c>
      <c r="I825" t="n">
        <v>0</v>
      </c>
      <c r="J825" t="n">
        <v>0</v>
      </c>
      <c r="K825" t="n">
        <v>0</v>
      </c>
      <c r="L825" t="n">
        <v>0</v>
      </c>
      <c r="M825" t="n">
        <v>0</v>
      </c>
      <c r="N825" t="n">
        <v>0</v>
      </c>
      <c r="O825" t="n">
        <v>0</v>
      </c>
      <c r="P825" t="n">
        <v>0</v>
      </c>
      <c r="Q825" t="n">
        <v>0</v>
      </c>
      <c r="R825" s="2" t="inlineStr"/>
    </row>
    <row r="826" ht="15" customHeight="1">
      <c r="A826" t="inlineStr">
        <is>
          <t>A 24252-2024</t>
        </is>
      </c>
      <c r="B826" s="1" t="n">
        <v>45457.38799768518</v>
      </c>
      <c r="C826" s="1" t="n">
        <v>45900</v>
      </c>
      <c r="D826" t="inlineStr">
        <is>
          <t>JÄMTLANDS LÄN</t>
        </is>
      </c>
      <c r="E826" t="inlineStr">
        <is>
          <t>KROKOM</t>
        </is>
      </c>
      <c r="G826" t="n">
        <v>1.9</v>
      </c>
      <c r="H826" t="n">
        <v>0</v>
      </c>
      <c r="I826" t="n">
        <v>0</v>
      </c>
      <c r="J826" t="n">
        <v>0</v>
      </c>
      <c r="K826" t="n">
        <v>0</v>
      </c>
      <c r="L826" t="n">
        <v>0</v>
      </c>
      <c r="M826" t="n">
        <v>0</v>
      </c>
      <c r="N826" t="n">
        <v>0</v>
      </c>
      <c r="O826" t="n">
        <v>0</v>
      </c>
      <c r="P826" t="n">
        <v>0</v>
      </c>
      <c r="Q826" t="n">
        <v>0</v>
      </c>
      <c r="R826" s="2" t="inlineStr"/>
    </row>
    <row r="827" ht="15" customHeight="1">
      <c r="A827" t="inlineStr">
        <is>
          <t>A 33451-2025</t>
        </is>
      </c>
      <c r="B827" s="1" t="n">
        <v>45841.46925925926</v>
      </c>
      <c r="C827" s="1" t="n">
        <v>45900</v>
      </c>
      <c r="D827" t="inlineStr">
        <is>
          <t>JÄMTLANDS LÄN</t>
        </is>
      </c>
      <c r="E827" t="inlineStr">
        <is>
          <t>KROKOM</t>
        </is>
      </c>
      <c r="F827" t="inlineStr">
        <is>
          <t>SCA</t>
        </is>
      </c>
      <c r="G827" t="n">
        <v>17.5</v>
      </c>
      <c r="H827" t="n">
        <v>0</v>
      </c>
      <c r="I827" t="n">
        <v>0</v>
      </c>
      <c r="J827" t="n">
        <v>0</v>
      </c>
      <c r="K827" t="n">
        <v>0</v>
      </c>
      <c r="L827" t="n">
        <v>0</v>
      </c>
      <c r="M827" t="n">
        <v>0</v>
      </c>
      <c r="N827" t="n">
        <v>0</v>
      </c>
      <c r="O827" t="n">
        <v>0</v>
      </c>
      <c r="P827" t="n">
        <v>0</v>
      </c>
      <c r="Q827" t="n">
        <v>0</v>
      </c>
      <c r="R827" s="2" t="inlineStr"/>
    </row>
    <row r="828" ht="15" customHeight="1">
      <c r="A828" t="inlineStr">
        <is>
          <t>A 27000-2021</t>
        </is>
      </c>
      <c r="B828" s="1" t="n">
        <v>44349</v>
      </c>
      <c r="C828" s="1" t="n">
        <v>45900</v>
      </c>
      <c r="D828" t="inlineStr">
        <is>
          <t>JÄMTLANDS LÄN</t>
        </is>
      </c>
      <c r="E828" t="inlineStr">
        <is>
          <t>KROKOM</t>
        </is>
      </c>
      <c r="F828" t="inlineStr">
        <is>
          <t>Allmännings- och besparingsskogar</t>
        </is>
      </c>
      <c r="G828" t="n">
        <v>2.3</v>
      </c>
      <c r="H828" t="n">
        <v>0</v>
      </c>
      <c r="I828" t="n">
        <v>0</v>
      </c>
      <c r="J828" t="n">
        <v>0</v>
      </c>
      <c r="K828" t="n">
        <v>0</v>
      </c>
      <c r="L828" t="n">
        <v>0</v>
      </c>
      <c r="M828" t="n">
        <v>0</v>
      </c>
      <c r="N828" t="n">
        <v>0</v>
      </c>
      <c r="O828" t="n">
        <v>0</v>
      </c>
      <c r="P828" t="n">
        <v>0</v>
      </c>
      <c r="Q828" t="n">
        <v>0</v>
      </c>
      <c r="R828" s="2" t="inlineStr"/>
    </row>
    <row r="829" ht="15" customHeight="1">
      <c r="A829" t="inlineStr">
        <is>
          <t>A 13395-2021</t>
        </is>
      </c>
      <c r="B829" s="1" t="n">
        <v>44273</v>
      </c>
      <c r="C829" s="1" t="n">
        <v>45900</v>
      </c>
      <c r="D829" t="inlineStr">
        <is>
          <t>JÄMTLANDS LÄN</t>
        </is>
      </c>
      <c r="E829" t="inlineStr">
        <is>
          <t>KROKOM</t>
        </is>
      </c>
      <c r="G829" t="n">
        <v>13.7</v>
      </c>
      <c r="H829" t="n">
        <v>0</v>
      </c>
      <c r="I829" t="n">
        <v>0</v>
      </c>
      <c r="J829" t="n">
        <v>0</v>
      </c>
      <c r="K829" t="n">
        <v>0</v>
      </c>
      <c r="L829" t="n">
        <v>0</v>
      </c>
      <c r="M829" t="n">
        <v>0</v>
      </c>
      <c r="N829" t="n">
        <v>0</v>
      </c>
      <c r="O829" t="n">
        <v>0</v>
      </c>
      <c r="P829" t="n">
        <v>0</v>
      </c>
      <c r="Q829" t="n">
        <v>0</v>
      </c>
      <c r="R829" s="2" t="inlineStr"/>
    </row>
    <row r="830" ht="15" customHeight="1">
      <c r="A830" t="inlineStr">
        <is>
          <t>A 47587-2023</t>
        </is>
      </c>
      <c r="B830" s="1" t="n">
        <v>45203.44248842593</v>
      </c>
      <c r="C830" s="1" t="n">
        <v>45900</v>
      </c>
      <c r="D830" t="inlineStr">
        <is>
          <t>JÄMTLANDS LÄN</t>
        </is>
      </c>
      <c r="E830" t="inlineStr">
        <is>
          <t>KROKOM</t>
        </is>
      </c>
      <c r="G830" t="n">
        <v>5.1</v>
      </c>
      <c r="H830" t="n">
        <v>0</v>
      </c>
      <c r="I830" t="n">
        <v>0</v>
      </c>
      <c r="J830" t="n">
        <v>0</v>
      </c>
      <c r="K830" t="n">
        <v>0</v>
      </c>
      <c r="L830" t="n">
        <v>0</v>
      </c>
      <c r="M830" t="n">
        <v>0</v>
      </c>
      <c r="N830" t="n">
        <v>0</v>
      </c>
      <c r="O830" t="n">
        <v>0</v>
      </c>
      <c r="P830" t="n">
        <v>0</v>
      </c>
      <c r="Q830" t="n">
        <v>0</v>
      </c>
      <c r="R830" s="2" t="inlineStr"/>
    </row>
    <row r="831" ht="15" customHeight="1">
      <c r="A831" t="inlineStr">
        <is>
          <t>A 33915-2025</t>
        </is>
      </c>
      <c r="B831" s="1" t="n">
        <v>45842.6099537037</v>
      </c>
      <c r="C831" s="1" t="n">
        <v>45900</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33418-2025</t>
        </is>
      </c>
      <c r="B832" s="1" t="n">
        <v>45841.43987268519</v>
      </c>
      <c r="C832" s="1" t="n">
        <v>45900</v>
      </c>
      <c r="D832" t="inlineStr">
        <is>
          <t>JÄMTLANDS LÄN</t>
        </is>
      </c>
      <c r="E832" t="inlineStr">
        <is>
          <t>KROKOM</t>
        </is>
      </c>
      <c r="G832" t="n">
        <v>3.9</v>
      </c>
      <c r="H832" t="n">
        <v>0</v>
      </c>
      <c r="I832" t="n">
        <v>0</v>
      </c>
      <c r="J832" t="n">
        <v>0</v>
      </c>
      <c r="K832" t="n">
        <v>0</v>
      </c>
      <c r="L832" t="n">
        <v>0</v>
      </c>
      <c r="M832" t="n">
        <v>0</v>
      </c>
      <c r="N832" t="n">
        <v>0</v>
      </c>
      <c r="O832" t="n">
        <v>0</v>
      </c>
      <c r="P832" t="n">
        <v>0</v>
      </c>
      <c r="Q832" t="n">
        <v>0</v>
      </c>
      <c r="R832" s="2" t="inlineStr"/>
    </row>
    <row r="833" ht="15" customHeight="1">
      <c r="A833" t="inlineStr">
        <is>
          <t>A 39127-2023</t>
        </is>
      </c>
      <c r="B833" s="1" t="n">
        <v>45165.70483796296</v>
      </c>
      <c r="C833" s="1" t="n">
        <v>45900</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38789-2025</t>
        </is>
      </c>
      <c r="B834" s="1" t="n">
        <v>45887.44883101852</v>
      </c>
      <c r="C834" s="1" t="n">
        <v>45900</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38894-2025</t>
        </is>
      </c>
      <c r="B835" s="1" t="n">
        <v>45887.59064814815</v>
      </c>
      <c r="C835" s="1" t="n">
        <v>45900</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33945-2025</t>
        </is>
      </c>
      <c r="B836" s="1" t="n">
        <v>45842</v>
      </c>
      <c r="C836" s="1" t="n">
        <v>45900</v>
      </c>
      <c r="D836" t="inlineStr">
        <is>
          <t>JÄMTLANDS LÄN</t>
        </is>
      </c>
      <c r="E836" t="inlineStr">
        <is>
          <t>KROKOM</t>
        </is>
      </c>
      <c r="G836" t="n">
        <v>7</v>
      </c>
      <c r="H836" t="n">
        <v>0</v>
      </c>
      <c r="I836" t="n">
        <v>0</v>
      </c>
      <c r="J836" t="n">
        <v>0</v>
      </c>
      <c r="K836" t="n">
        <v>0</v>
      </c>
      <c r="L836" t="n">
        <v>0</v>
      </c>
      <c r="M836" t="n">
        <v>0</v>
      </c>
      <c r="N836" t="n">
        <v>0</v>
      </c>
      <c r="O836" t="n">
        <v>0</v>
      </c>
      <c r="P836" t="n">
        <v>0</v>
      </c>
      <c r="Q836" t="n">
        <v>0</v>
      </c>
      <c r="R836" s="2" t="inlineStr"/>
    </row>
    <row r="837" ht="15" customHeight="1">
      <c r="A837" t="inlineStr">
        <is>
          <t>A 67740-2021</t>
        </is>
      </c>
      <c r="B837" s="1" t="n">
        <v>44524</v>
      </c>
      <c r="C837" s="1" t="n">
        <v>45900</v>
      </c>
      <c r="D837" t="inlineStr">
        <is>
          <t>JÄMTLANDS LÄN</t>
        </is>
      </c>
      <c r="E837" t="inlineStr">
        <is>
          <t>KROKOM</t>
        </is>
      </c>
      <c r="G837" t="n">
        <v>12.3</v>
      </c>
      <c r="H837" t="n">
        <v>0</v>
      </c>
      <c r="I837" t="n">
        <v>0</v>
      </c>
      <c r="J837" t="n">
        <v>0</v>
      </c>
      <c r="K837" t="n">
        <v>0</v>
      </c>
      <c r="L837" t="n">
        <v>0</v>
      </c>
      <c r="M837" t="n">
        <v>0</v>
      </c>
      <c r="N837" t="n">
        <v>0</v>
      </c>
      <c r="O837" t="n">
        <v>0</v>
      </c>
      <c r="P837" t="n">
        <v>0</v>
      </c>
      <c r="Q837" t="n">
        <v>0</v>
      </c>
      <c r="R837" s="2" t="inlineStr"/>
    </row>
    <row r="838" ht="15" customHeight="1">
      <c r="A838" t="inlineStr">
        <is>
          <t>A 22890-2024</t>
        </is>
      </c>
      <c r="B838" s="1" t="n">
        <v>45448.67574074074</v>
      </c>
      <c r="C838" s="1" t="n">
        <v>45900</v>
      </c>
      <c r="D838" t="inlineStr">
        <is>
          <t>JÄMTLANDS LÄN</t>
        </is>
      </c>
      <c r="E838" t="inlineStr">
        <is>
          <t>KROKOM</t>
        </is>
      </c>
      <c r="F838" t="inlineStr">
        <is>
          <t>Övriga Aktiebolag</t>
        </is>
      </c>
      <c r="G838" t="n">
        <v>3</v>
      </c>
      <c r="H838" t="n">
        <v>0</v>
      </c>
      <c r="I838" t="n">
        <v>0</v>
      </c>
      <c r="J838" t="n">
        <v>0</v>
      </c>
      <c r="K838" t="n">
        <v>0</v>
      </c>
      <c r="L838" t="n">
        <v>0</v>
      </c>
      <c r="M838" t="n">
        <v>0</v>
      </c>
      <c r="N838" t="n">
        <v>0</v>
      </c>
      <c r="O838" t="n">
        <v>0</v>
      </c>
      <c r="P838" t="n">
        <v>0</v>
      </c>
      <c r="Q838" t="n">
        <v>0</v>
      </c>
      <c r="R838" s="2" t="inlineStr"/>
    </row>
    <row r="839" ht="15" customHeight="1">
      <c r="A839" t="inlineStr">
        <is>
          <t>A 52217-2024</t>
        </is>
      </c>
      <c r="B839" s="1" t="n">
        <v>45607</v>
      </c>
      <c r="C839" s="1" t="n">
        <v>45900</v>
      </c>
      <c r="D839" t="inlineStr">
        <is>
          <t>JÄMTLANDS LÄN</t>
        </is>
      </c>
      <c r="E839" t="inlineStr">
        <is>
          <t>KROKOM</t>
        </is>
      </c>
      <c r="G839" t="n">
        <v>0.2</v>
      </c>
      <c r="H839" t="n">
        <v>0</v>
      </c>
      <c r="I839" t="n">
        <v>0</v>
      </c>
      <c r="J839" t="n">
        <v>0</v>
      </c>
      <c r="K839" t="n">
        <v>0</v>
      </c>
      <c r="L839" t="n">
        <v>0</v>
      </c>
      <c r="M839" t="n">
        <v>0</v>
      </c>
      <c r="N839" t="n">
        <v>0</v>
      </c>
      <c r="O839" t="n">
        <v>0</v>
      </c>
      <c r="P839" t="n">
        <v>0</v>
      </c>
      <c r="Q839" t="n">
        <v>0</v>
      </c>
      <c r="R839" s="2" t="inlineStr"/>
    </row>
    <row r="840" ht="15" customHeight="1">
      <c r="A840" t="inlineStr">
        <is>
          <t>A 38885-2025</t>
        </is>
      </c>
      <c r="B840" s="1" t="n">
        <v>45887.58372685185</v>
      </c>
      <c r="C840" s="1" t="n">
        <v>45900</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39206-2025</t>
        </is>
      </c>
      <c r="B841" s="1" t="n">
        <v>45888.72766203704</v>
      </c>
      <c r="C841" s="1" t="n">
        <v>45900</v>
      </c>
      <c r="D841" t="inlineStr">
        <is>
          <t>JÄMTLANDS LÄN</t>
        </is>
      </c>
      <c r="E841" t="inlineStr">
        <is>
          <t>KROKOM</t>
        </is>
      </c>
      <c r="F841" t="inlineStr">
        <is>
          <t>Kyrkan</t>
        </is>
      </c>
      <c r="G841" t="n">
        <v>4.7</v>
      </c>
      <c r="H841" t="n">
        <v>0</v>
      </c>
      <c r="I841" t="n">
        <v>0</v>
      </c>
      <c r="J841" t="n">
        <v>0</v>
      </c>
      <c r="K841" t="n">
        <v>0</v>
      </c>
      <c r="L841" t="n">
        <v>0</v>
      </c>
      <c r="M841" t="n">
        <v>0</v>
      </c>
      <c r="N841" t="n">
        <v>0</v>
      </c>
      <c r="O841" t="n">
        <v>0</v>
      </c>
      <c r="P841" t="n">
        <v>0</v>
      </c>
      <c r="Q841" t="n">
        <v>0</v>
      </c>
      <c r="R841" s="2" t="inlineStr"/>
    </row>
    <row r="842" ht="15" customHeight="1">
      <c r="A842" t="inlineStr">
        <is>
          <t>A 53541-2024</t>
        </is>
      </c>
      <c r="B842" s="1" t="n">
        <v>45614.63606481482</v>
      </c>
      <c r="C842" s="1" t="n">
        <v>45900</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53544-2024</t>
        </is>
      </c>
      <c r="B843" s="1" t="n">
        <v>45614.63701388889</v>
      </c>
      <c r="C843" s="1" t="n">
        <v>45900</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15451-2021</t>
        </is>
      </c>
      <c r="B844" s="1" t="n">
        <v>44285</v>
      </c>
      <c r="C844" s="1" t="n">
        <v>45900</v>
      </c>
      <c r="D844" t="inlineStr">
        <is>
          <t>JÄMTLANDS LÄN</t>
        </is>
      </c>
      <c r="E844" t="inlineStr">
        <is>
          <t>KROKOM</t>
        </is>
      </c>
      <c r="G844" t="n">
        <v>6.7</v>
      </c>
      <c r="H844" t="n">
        <v>0</v>
      </c>
      <c r="I844" t="n">
        <v>0</v>
      </c>
      <c r="J844" t="n">
        <v>0</v>
      </c>
      <c r="K844" t="n">
        <v>0</v>
      </c>
      <c r="L844" t="n">
        <v>0</v>
      </c>
      <c r="M844" t="n">
        <v>0</v>
      </c>
      <c r="N844" t="n">
        <v>0</v>
      </c>
      <c r="O844" t="n">
        <v>0</v>
      </c>
      <c r="P844" t="n">
        <v>0</v>
      </c>
      <c r="Q844" t="n">
        <v>0</v>
      </c>
      <c r="R844" s="2" t="inlineStr"/>
    </row>
    <row r="845" ht="15" customHeight="1">
      <c r="A845" t="inlineStr">
        <is>
          <t>A 38850-2025</t>
        </is>
      </c>
      <c r="B845" s="1" t="n">
        <v>45887.55252314815</v>
      </c>
      <c r="C845" s="1" t="n">
        <v>45900</v>
      </c>
      <c r="D845" t="inlineStr">
        <is>
          <t>JÄMTLANDS LÄN</t>
        </is>
      </c>
      <c r="E845" t="inlineStr">
        <is>
          <t>KROKOM</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46753-2022</t>
        </is>
      </c>
      <c r="B846" s="1" t="n">
        <v>44847</v>
      </c>
      <c r="C846" s="1" t="n">
        <v>45900</v>
      </c>
      <c r="D846" t="inlineStr">
        <is>
          <t>JÄMTLANDS LÄN</t>
        </is>
      </c>
      <c r="E846" t="inlineStr">
        <is>
          <t>KROKOM</t>
        </is>
      </c>
      <c r="G846" t="n">
        <v>0.5</v>
      </c>
      <c r="H846" t="n">
        <v>0</v>
      </c>
      <c r="I846" t="n">
        <v>0</v>
      </c>
      <c r="J846" t="n">
        <v>0</v>
      </c>
      <c r="K846" t="n">
        <v>0</v>
      </c>
      <c r="L846" t="n">
        <v>0</v>
      </c>
      <c r="M846" t="n">
        <v>0</v>
      </c>
      <c r="N846" t="n">
        <v>0</v>
      </c>
      <c r="O846" t="n">
        <v>0</v>
      </c>
      <c r="P846" t="n">
        <v>0</v>
      </c>
      <c r="Q846" t="n">
        <v>0</v>
      </c>
      <c r="R846" s="2" t="inlineStr"/>
    </row>
    <row r="847" ht="15" customHeight="1">
      <c r="A847" t="inlineStr">
        <is>
          <t>A 46761-2022</t>
        </is>
      </c>
      <c r="B847" s="1" t="n">
        <v>44847</v>
      </c>
      <c r="C847" s="1" t="n">
        <v>45900</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33925-2025</t>
        </is>
      </c>
      <c r="B848" s="1" t="n">
        <v>45842</v>
      </c>
      <c r="C848" s="1" t="n">
        <v>45900</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5935-2025</t>
        </is>
      </c>
      <c r="B849" s="1" t="n">
        <v>45695.45013888889</v>
      </c>
      <c r="C849" s="1" t="n">
        <v>45900</v>
      </c>
      <c r="D849" t="inlineStr">
        <is>
          <t>JÄMTLANDS LÄN</t>
        </is>
      </c>
      <c r="E849" t="inlineStr">
        <is>
          <t>KROKOM</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45900</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39205-2025</t>
        </is>
      </c>
      <c r="B851" s="1" t="n">
        <v>45888.72445601852</v>
      </c>
      <c r="C851" s="1" t="n">
        <v>45900</v>
      </c>
      <c r="D851" t="inlineStr">
        <is>
          <t>JÄMTLANDS LÄN</t>
        </is>
      </c>
      <c r="E851" t="inlineStr">
        <is>
          <t>KROKOM</t>
        </is>
      </c>
      <c r="F851" t="inlineStr">
        <is>
          <t>Kyrkan</t>
        </is>
      </c>
      <c r="G851" t="n">
        <v>20.6</v>
      </c>
      <c r="H851" t="n">
        <v>0</v>
      </c>
      <c r="I851" t="n">
        <v>0</v>
      </c>
      <c r="J851" t="n">
        <v>0</v>
      </c>
      <c r="K851" t="n">
        <v>0</v>
      </c>
      <c r="L851" t="n">
        <v>0</v>
      </c>
      <c r="M851" t="n">
        <v>0</v>
      </c>
      <c r="N851" t="n">
        <v>0</v>
      </c>
      <c r="O851" t="n">
        <v>0</v>
      </c>
      <c r="P851" t="n">
        <v>0</v>
      </c>
      <c r="Q851" t="n">
        <v>0</v>
      </c>
      <c r="R851" s="2" t="inlineStr"/>
    </row>
    <row r="852" ht="15" customHeight="1">
      <c r="A852" t="inlineStr">
        <is>
          <t>A 37346-2025</t>
        </is>
      </c>
      <c r="B852" s="1" t="n">
        <v>45876</v>
      </c>
      <c r="C852" s="1" t="n">
        <v>45900</v>
      </c>
      <c r="D852" t="inlineStr">
        <is>
          <t>JÄMTLANDS LÄN</t>
        </is>
      </c>
      <c r="E852" t="inlineStr">
        <is>
          <t>KROKOM</t>
        </is>
      </c>
      <c r="G852" t="n">
        <v>5</v>
      </c>
      <c r="H852" t="n">
        <v>0</v>
      </c>
      <c r="I852" t="n">
        <v>0</v>
      </c>
      <c r="J852" t="n">
        <v>0</v>
      </c>
      <c r="K852" t="n">
        <v>0</v>
      </c>
      <c r="L852" t="n">
        <v>0</v>
      </c>
      <c r="M852" t="n">
        <v>0</v>
      </c>
      <c r="N852" t="n">
        <v>0</v>
      </c>
      <c r="O852" t="n">
        <v>0</v>
      </c>
      <c r="P852" t="n">
        <v>0</v>
      </c>
      <c r="Q852" t="n">
        <v>0</v>
      </c>
      <c r="R852" s="2" t="inlineStr"/>
    </row>
    <row r="853" ht="15" customHeight="1">
      <c r="A853" t="inlineStr">
        <is>
          <t>A 34801-2023</t>
        </is>
      </c>
      <c r="B853" s="1" t="n">
        <v>45140</v>
      </c>
      <c r="C853" s="1" t="n">
        <v>45900</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26721-2023</t>
        </is>
      </c>
      <c r="B854" s="1" t="n">
        <v>45090</v>
      </c>
      <c r="C854" s="1" t="n">
        <v>45900</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25775-2024</t>
        </is>
      </c>
      <c r="B855" s="1" t="n">
        <v>45466.62116898148</v>
      </c>
      <c r="C855" s="1" t="n">
        <v>45900</v>
      </c>
      <c r="D855" t="inlineStr">
        <is>
          <t>JÄMTLANDS LÄN</t>
        </is>
      </c>
      <c r="E855" t="inlineStr">
        <is>
          <t>KROKOM</t>
        </is>
      </c>
      <c r="G855" t="n">
        <v>1.7</v>
      </c>
      <c r="H855" t="n">
        <v>0</v>
      </c>
      <c r="I855" t="n">
        <v>0</v>
      </c>
      <c r="J855" t="n">
        <v>0</v>
      </c>
      <c r="K855" t="n">
        <v>0</v>
      </c>
      <c r="L855" t="n">
        <v>0</v>
      </c>
      <c r="M855" t="n">
        <v>0</v>
      </c>
      <c r="N855" t="n">
        <v>0</v>
      </c>
      <c r="O855" t="n">
        <v>0</v>
      </c>
      <c r="P855" t="n">
        <v>0</v>
      </c>
      <c r="Q855" t="n">
        <v>0</v>
      </c>
      <c r="R855" s="2" t="inlineStr"/>
    </row>
    <row r="856" ht="15" customHeight="1">
      <c r="A856" t="inlineStr">
        <is>
          <t>A 34701-2025</t>
        </is>
      </c>
      <c r="B856" s="1" t="n">
        <v>45848.48070601852</v>
      </c>
      <c r="C856" s="1" t="n">
        <v>45900</v>
      </c>
      <c r="D856" t="inlineStr">
        <is>
          <t>JÄMTLANDS LÄN</t>
        </is>
      </c>
      <c r="E856" t="inlineStr">
        <is>
          <t>KROKOM</t>
        </is>
      </c>
      <c r="G856" t="n">
        <v>0.5</v>
      </c>
      <c r="H856" t="n">
        <v>0</v>
      </c>
      <c r="I856" t="n">
        <v>0</v>
      </c>
      <c r="J856" t="n">
        <v>0</v>
      </c>
      <c r="K856" t="n">
        <v>0</v>
      </c>
      <c r="L856" t="n">
        <v>0</v>
      </c>
      <c r="M856" t="n">
        <v>0</v>
      </c>
      <c r="N856" t="n">
        <v>0</v>
      </c>
      <c r="O856" t="n">
        <v>0</v>
      </c>
      <c r="P856" t="n">
        <v>0</v>
      </c>
      <c r="Q856" t="n">
        <v>0</v>
      </c>
      <c r="R856" s="2" t="inlineStr"/>
    </row>
    <row r="857" ht="15" customHeight="1">
      <c r="A857" t="inlineStr">
        <is>
          <t>A 42369-2023</t>
        </is>
      </c>
      <c r="B857" s="1" t="n">
        <v>45180</v>
      </c>
      <c r="C857" s="1" t="n">
        <v>45900</v>
      </c>
      <c r="D857" t="inlineStr">
        <is>
          <t>JÄMTLANDS LÄN</t>
        </is>
      </c>
      <c r="E857" t="inlineStr">
        <is>
          <t>KROKOM</t>
        </is>
      </c>
      <c r="F857" t="inlineStr">
        <is>
          <t>Övriga Aktiebolag</t>
        </is>
      </c>
      <c r="G857" t="n">
        <v>0.2</v>
      </c>
      <c r="H857" t="n">
        <v>0</v>
      </c>
      <c r="I857" t="n">
        <v>0</v>
      </c>
      <c r="J857" t="n">
        <v>0</v>
      </c>
      <c r="K857" t="n">
        <v>0</v>
      </c>
      <c r="L857" t="n">
        <v>0</v>
      </c>
      <c r="M857" t="n">
        <v>0</v>
      </c>
      <c r="N857" t="n">
        <v>0</v>
      </c>
      <c r="O857" t="n">
        <v>0</v>
      </c>
      <c r="P857" t="n">
        <v>0</v>
      </c>
      <c r="Q857" t="n">
        <v>0</v>
      </c>
      <c r="R857" s="2" t="inlineStr"/>
    </row>
    <row r="858" ht="15" customHeight="1">
      <c r="A858" t="inlineStr">
        <is>
          <t>A 18556-2025</t>
        </is>
      </c>
      <c r="B858" s="1" t="n">
        <v>45763.44112268519</v>
      </c>
      <c r="C858" s="1" t="n">
        <v>45900</v>
      </c>
      <c r="D858" t="inlineStr">
        <is>
          <t>JÄMTLANDS LÄN</t>
        </is>
      </c>
      <c r="E858" t="inlineStr">
        <is>
          <t>KROKOM</t>
        </is>
      </c>
      <c r="G858" t="n">
        <v>7.8</v>
      </c>
      <c r="H858" t="n">
        <v>0</v>
      </c>
      <c r="I858" t="n">
        <v>0</v>
      </c>
      <c r="J858" t="n">
        <v>0</v>
      </c>
      <c r="K858" t="n">
        <v>0</v>
      </c>
      <c r="L858" t="n">
        <v>0</v>
      </c>
      <c r="M858" t="n">
        <v>0</v>
      </c>
      <c r="N858" t="n">
        <v>0</v>
      </c>
      <c r="O858" t="n">
        <v>0</v>
      </c>
      <c r="P858" t="n">
        <v>0</v>
      </c>
      <c r="Q858" t="n">
        <v>0</v>
      </c>
      <c r="R858" s="2" t="inlineStr"/>
    </row>
    <row r="859" ht="15" customHeight="1">
      <c r="A859" t="inlineStr">
        <is>
          <t>A 34698-2025</t>
        </is>
      </c>
      <c r="B859" s="1" t="n">
        <v>45848</v>
      </c>
      <c r="C859" s="1" t="n">
        <v>45900</v>
      </c>
      <c r="D859" t="inlineStr">
        <is>
          <t>JÄMTLANDS LÄN</t>
        </is>
      </c>
      <c r="E859" t="inlineStr">
        <is>
          <t>KROKOM</t>
        </is>
      </c>
      <c r="G859" t="n">
        <v>7.9</v>
      </c>
      <c r="H859" t="n">
        <v>0</v>
      </c>
      <c r="I859" t="n">
        <v>0</v>
      </c>
      <c r="J859" t="n">
        <v>0</v>
      </c>
      <c r="K859" t="n">
        <v>0</v>
      </c>
      <c r="L859" t="n">
        <v>0</v>
      </c>
      <c r="M859" t="n">
        <v>0</v>
      </c>
      <c r="N859" t="n">
        <v>0</v>
      </c>
      <c r="O859" t="n">
        <v>0</v>
      </c>
      <c r="P859" t="n">
        <v>0</v>
      </c>
      <c r="Q859" t="n">
        <v>0</v>
      </c>
      <c r="R859" s="2" t="inlineStr"/>
    </row>
    <row r="860" ht="15" customHeight="1">
      <c r="A860" t="inlineStr">
        <is>
          <t>A 34535-2025</t>
        </is>
      </c>
      <c r="B860" s="1" t="n">
        <v>45847.51106481482</v>
      </c>
      <c r="C860" s="1" t="n">
        <v>45900</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60122-2024</t>
        </is>
      </c>
      <c r="B861" s="1" t="n">
        <v>45639</v>
      </c>
      <c r="C861" s="1" t="n">
        <v>45900</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60172-2024</t>
        </is>
      </c>
      <c r="B862" s="1" t="n">
        <v>45642.6366087963</v>
      </c>
      <c r="C862" s="1" t="n">
        <v>45900</v>
      </c>
      <c r="D862" t="inlineStr">
        <is>
          <t>JÄMTLANDS LÄN</t>
        </is>
      </c>
      <c r="E862" t="inlineStr">
        <is>
          <t>KROKOM</t>
        </is>
      </c>
      <c r="G862" t="n">
        <v>1.4</v>
      </c>
      <c r="H862" t="n">
        <v>0</v>
      </c>
      <c r="I862" t="n">
        <v>0</v>
      </c>
      <c r="J862" t="n">
        <v>0</v>
      </c>
      <c r="K862" t="n">
        <v>0</v>
      </c>
      <c r="L862" t="n">
        <v>0</v>
      </c>
      <c r="M862" t="n">
        <v>0</v>
      </c>
      <c r="N862" t="n">
        <v>0</v>
      </c>
      <c r="O862" t="n">
        <v>0</v>
      </c>
      <c r="P862" t="n">
        <v>0</v>
      </c>
      <c r="Q862" t="n">
        <v>0</v>
      </c>
      <c r="R862" s="2" t="inlineStr"/>
    </row>
    <row r="863" ht="15" customHeight="1">
      <c r="A863" t="inlineStr">
        <is>
          <t>A 23601-2021</t>
        </is>
      </c>
      <c r="B863" s="1" t="n">
        <v>44334</v>
      </c>
      <c r="C863" s="1" t="n">
        <v>45900</v>
      </c>
      <c r="D863" t="inlineStr">
        <is>
          <t>JÄMTLANDS LÄN</t>
        </is>
      </c>
      <c r="E863" t="inlineStr">
        <is>
          <t>KROKOM</t>
        </is>
      </c>
      <c r="G863" t="n">
        <v>1.7</v>
      </c>
      <c r="H863" t="n">
        <v>0</v>
      </c>
      <c r="I863" t="n">
        <v>0</v>
      </c>
      <c r="J863" t="n">
        <v>0</v>
      </c>
      <c r="K863" t="n">
        <v>0</v>
      </c>
      <c r="L863" t="n">
        <v>0</v>
      </c>
      <c r="M863" t="n">
        <v>0</v>
      </c>
      <c r="N863" t="n">
        <v>0</v>
      </c>
      <c r="O863" t="n">
        <v>0</v>
      </c>
      <c r="P863" t="n">
        <v>0</v>
      </c>
      <c r="Q863" t="n">
        <v>0</v>
      </c>
      <c r="R863" s="2" t="inlineStr"/>
    </row>
    <row r="864" ht="15" customHeight="1">
      <c r="A864" t="inlineStr">
        <is>
          <t>A 34608-2025</t>
        </is>
      </c>
      <c r="B864" s="1" t="n">
        <v>45847.65717592592</v>
      </c>
      <c r="C864" s="1" t="n">
        <v>45900</v>
      </c>
      <c r="D864" t="inlineStr">
        <is>
          <t>JÄMTLANDS LÄN</t>
        </is>
      </c>
      <c r="E864" t="inlineStr">
        <is>
          <t>KROKOM</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6066-2025</t>
        </is>
      </c>
      <c r="B865" s="1" t="n">
        <v>45696.3440162037</v>
      </c>
      <c r="C865" s="1" t="n">
        <v>45900</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16225-2025</t>
        </is>
      </c>
      <c r="B866" s="1" t="n">
        <v>45750.6447800926</v>
      </c>
      <c r="C866" s="1" t="n">
        <v>45900</v>
      </c>
      <c r="D866" t="inlineStr">
        <is>
          <t>JÄMTLANDS LÄN</t>
        </is>
      </c>
      <c r="E866" t="inlineStr">
        <is>
          <t>KROKOM</t>
        </is>
      </c>
      <c r="F866" t="inlineStr">
        <is>
          <t>Övriga Aktiebolag</t>
        </is>
      </c>
      <c r="G866" t="n">
        <v>11.5</v>
      </c>
      <c r="H866" t="n">
        <v>0</v>
      </c>
      <c r="I866" t="n">
        <v>0</v>
      </c>
      <c r="J866" t="n">
        <v>0</v>
      </c>
      <c r="K866" t="n">
        <v>0</v>
      </c>
      <c r="L866" t="n">
        <v>0</v>
      </c>
      <c r="M866" t="n">
        <v>0</v>
      </c>
      <c r="N866" t="n">
        <v>0</v>
      </c>
      <c r="O866" t="n">
        <v>0</v>
      </c>
      <c r="P866" t="n">
        <v>0</v>
      </c>
      <c r="Q866" t="n">
        <v>0</v>
      </c>
      <c r="R866" s="2" t="inlineStr"/>
    </row>
    <row r="867" ht="15" customHeight="1">
      <c r="A867" t="inlineStr">
        <is>
          <t>A 59619-2024</t>
        </is>
      </c>
      <c r="B867" s="1" t="n">
        <v>45638.81375</v>
      </c>
      <c r="C867" s="1" t="n">
        <v>45900</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39271-2025</t>
        </is>
      </c>
      <c r="B868" s="1" t="n">
        <v>45889.38626157407</v>
      </c>
      <c r="C868" s="1" t="n">
        <v>45900</v>
      </c>
      <c r="D868" t="inlineStr">
        <is>
          <t>JÄMTLANDS LÄN</t>
        </is>
      </c>
      <c r="E868" t="inlineStr">
        <is>
          <t>KROKOM</t>
        </is>
      </c>
      <c r="F868" t="inlineStr">
        <is>
          <t>SCA</t>
        </is>
      </c>
      <c r="G868" t="n">
        <v>5.1</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45900</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39265-2025</t>
        </is>
      </c>
      <c r="B870" s="1" t="n">
        <v>45889.37520833333</v>
      </c>
      <c r="C870" s="1" t="n">
        <v>45900</v>
      </c>
      <c r="D870" t="inlineStr">
        <is>
          <t>JÄMTLANDS LÄN</t>
        </is>
      </c>
      <c r="E870" t="inlineStr">
        <is>
          <t>KROKOM</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17510-2025</t>
        </is>
      </c>
      <c r="B871" s="1" t="n">
        <v>45757.56491898148</v>
      </c>
      <c r="C871" s="1" t="n">
        <v>45900</v>
      </c>
      <c r="D871" t="inlineStr">
        <is>
          <t>JÄMTLANDS LÄN</t>
        </is>
      </c>
      <c r="E871" t="inlineStr">
        <is>
          <t>KROKOM</t>
        </is>
      </c>
      <c r="G871" t="n">
        <v>3.1</v>
      </c>
      <c r="H871" t="n">
        <v>0</v>
      </c>
      <c r="I871" t="n">
        <v>0</v>
      </c>
      <c r="J871" t="n">
        <v>0</v>
      </c>
      <c r="K871" t="n">
        <v>0</v>
      </c>
      <c r="L871" t="n">
        <v>0</v>
      </c>
      <c r="M871" t="n">
        <v>0</v>
      </c>
      <c r="N871" t="n">
        <v>0</v>
      </c>
      <c r="O871" t="n">
        <v>0</v>
      </c>
      <c r="P871" t="n">
        <v>0</v>
      </c>
      <c r="Q871" t="n">
        <v>0</v>
      </c>
      <c r="R871" s="2" t="inlineStr"/>
    </row>
    <row r="872" ht="15" customHeight="1">
      <c r="A872" t="inlineStr">
        <is>
          <t>A 8868-2025</t>
        </is>
      </c>
      <c r="B872" s="1" t="n">
        <v>45713.36836805556</v>
      </c>
      <c r="C872" s="1" t="n">
        <v>45900</v>
      </c>
      <c r="D872" t="inlineStr">
        <is>
          <t>JÄMTLANDS LÄN</t>
        </is>
      </c>
      <c r="E872" t="inlineStr">
        <is>
          <t>KROKOM</t>
        </is>
      </c>
      <c r="F872" t="inlineStr">
        <is>
          <t>Övriga Aktiebolag</t>
        </is>
      </c>
      <c r="G872" t="n">
        <v>4.2</v>
      </c>
      <c r="H872" t="n">
        <v>0</v>
      </c>
      <c r="I872" t="n">
        <v>0</v>
      </c>
      <c r="J872" t="n">
        <v>0</v>
      </c>
      <c r="K872" t="n">
        <v>0</v>
      </c>
      <c r="L872" t="n">
        <v>0</v>
      </c>
      <c r="M872" t="n">
        <v>0</v>
      </c>
      <c r="N872" t="n">
        <v>0</v>
      </c>
      <c r="O872" t="n">
        <v>0</v>
      </c>
      <c r="P872" t="n">
        <v>0</v>
      </c>
      <c r="Q872" t="n">
        <v>0</v>
      </c>
      <c r="R872" s="2" t="inlineStr"/>
    </row>
    <row r="873" ht="15" customHeight="1">
      <c r="A873" t="inlineStr">
        <is>
          <t>A 34516-2025</t>
        </is>
      </c>
      <c r="B873" s="1" t="n">
        <v>45847.46462962963</v>
      </c>
      <c r="C873" s="1" t="n">
        <v>45900</v>
      </c>
      <c r="D873" t="inlineStr">
        <is>
          <t>JÄMTLANDS LÄN</t>
        </is>
      </c>
      <c r="E873" t="inlineStr">
        <is>
          <t>KROKOM</t>
        </is>
      </c>
      <c r="G873" t="n">
        <v>4</v>
      </c>
      <c r="H873" t="n">
        <v>0</v>
      </c>
      <c r="I873" t="n">
        <v>0</v>
      </c>
      <c r="J873" t="n">
        <v>0</v>
      </c>
      <c r="K873" t="n">
        <v>0</v>
      </c>
      <c r="L873" t="n">
        <v>0</v>
      </c>
      <c r="M873" t="n">
        <v>0</v>
      </c>
      <c r="N873" t="n">
        <v>0</v>
      </c>
      <c r="O873" t="n">
        <v>0</v>
      </c>
      <c r="P873" t="n">
        <v>0</v>
      </c>
      <c r="Q873" t="n">
        <v>0</v>
      </c>
      <c r="R873" s="2" t="inlineStr"/>
    </row>
    <row r="874" ht="15" customHeight="1">
      <c r="A874" t="inlineStr">
        <is>
          <t>A 34737-2025</t>
        </is>
      </c>
      <c r="B874" s="1" t="n">
        <v>45848.60371527778</v>
      </c>
      <c r="C874" s="1" t="n">
        <v>45900</v>
      </c>
      <c r="D874" t="inlineStr">
        <is>
          <t>JÄMTLANDS LÄN</t>
        </is>
      </c>
      <c r="E874" t="inlineStr">
        <is>
          <t>KROKOM</t>
        </is>
      </c>
      <c r="G874" t="n">
        <v>7.5</v>
      </c>
      <c r="H874" t="n">
        <v>0</v>
      </c>
      <c r="I874" t="n">
        <v>0</v>
      </c>
      <c r="J874" t="n">
        <v>0</v>
      </c>
      <c r="K874" t="n">
        <v>0</v>
      </c>
      <c r="L874" t="n">
        <v>0</v>
      </c>
      <c r="M874" t="n">
        <v>0</v>
      </c>
      <c r="N874" t="n">
        <v>0</v>
      </c>
      <c r="O874" t="n">
        <v>0</v>
      </c>
      <c r="P874" t="n">
        <v>0</v>
      </c>
      <c r="Q874" t="n">
        <v>0</v>
      </c>
      <c r="R874" s="2" t="inlineStr"/>
    </row>
    <row r="875" ht="15" customHeight="1">
      <c r="A875" t="inlineStr">
        <is>
          <t>A 15885-2023</t>
        </is>
      </c>
      <c r="B875" s="1" t="n">
        <v>45022</v>
      </c>
      <c r="C875" s="1" t="n">
        <v>45900</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34872-2025</t>
        </is>
      </c>
      <c r="B876" s="1" t="n">
        <v>45849.4525462963</v>
      </c>
      <c r="C876" s="1" t="n">
        <v>45900</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23139-2021</t>
        </is>
      </c>
      <c r="B877" s="1" t="n">
        <v>44331</v>
      </c>
      <c r="C877" s="1" t="n">
        <v>45900</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5356-2025</t>
        </is>
      </c>
      <c r="B878" s="1" t="n">
        <v>45692</v>
      </c>
      <c r="C878" s="1" t="n">
        <v>45900</v>
      </c>
      <c r="D878" t="inlineStr">
        <is>
          <t>JÄMTLANDS LÄN</t>
        </is>
      </c>
      <c r="E878" t="inlineStr">
        <is>
          <t>KROKOM</t>
        </is>
      </c>
      <c r="F878" t="inlineStr">
        <is>
          <t>Övriga Aktiebolag</t>
        </is>
      </c>
      <c r="G878" t="n">
        <v>2.2</v>
      </c>
      <c r="H878" t="n">
        <v>0</v>
      </c>
      <c r="I878" t="n">
        <v>0</v>
      </c>
      <c r="J878" t="n">
        <v>0</v>
      </c>
      <c r="K878" t="n">
        <v>0</v>
      </c>
      <c r="L878" t="n">
        <v>0</v>
      </c>
      <c r="M878" t="n">
        <v>0</v>
      </c>
      <c r="N878" t="n">
        <v>0</v>
      </c>
      <c r="O878" t="n">
        <v>0</v>
      </c>
      <c r="P878" t="n">
        <v>0</v>
      </c>
      <c r="Q878" t="n">
        <v>0</v>
      </c>
      <c r="R878" s="2" t="inlineStr"/>
    </row>
    <row r="879" ht="15" customHeight="1">
      <c r="A879" t="inlineStr">
        <is>
          <t>A 60102-2023</t>
        </is>
      </c>
      <c r="B879" s="1" t="n">
        <v>45257</v>
      </c>
      <c r="C879" s="1" t="n">
        <v>45900</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7763-2024</t>
        </is>
      </c>
      <c r="B880" s="1" t="n">
        <v>45348</v>
      </c>
      <c r="C880" s="1" t="n">
        <v>45900</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34829-2025</t>
        </is>
      </c>
      <c r="B881" s="1" t="n">
        <v>45849.3859837963</v>
      </c>
      <c r="C881" s="1" t="n">
        <v>45900</v>
      </c>
      <c r="D881" t="inlineStr">
        <is>
          <t>JÄMTLANDS LÄN</t>
        </is>
      </c>
      <c r="E881" t="inlineStr">
        <is>
          <t>KROKOM</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57459-2024</t>
        </is>
      </c>
      <c r="B882" s="1" t="n">
        <v>45630</v>
      </c>
      <c r="C882" s="1" t="n">
        <v>45900</v>
      </c>
      <c r="D882" t="inlineStr">
        <is>
          <t>JÄMTLANDS LÄN</t>
        </is>
      </c>
      <c r="E882" t="inlineStr">
        <is>
          <t>KROKOM</t>
        </is>
      </c>
      <c r="G882" t="n">
        <v>19.2</v>
      </c>
      <c r="H882" t="n">
        <v>0</v>
      </c>
      <c r="I882" t="n">
        <v>0</v>
      </c>
      <c r="J882" t="n">
        <v>0</v>
      </c>
      <c r="K882" t="n">
        <v>0</v>
      </c>
      <c r="L882" t="n">
        <v>0</v>
      </c>
      <c r="M882" t="n">
        <v>0</v>
      </c>
      <c r="N882" t="n">
        <v>0</v>
      </c>
      <c r="O882" t="n">
        <v>0</v>
      </c>
      <c r="P882" t="n">
        <v>0</v>
      </c>
      <c r="Q882" t="n">
        <v>0</v>
      </c>
      <c r="R882" s="2" t="inlineStr"/>
    </row>
    <row r="883" ht="15" customHeight="1">
      <c r="A883" t="inlineStr">
        <is>
          <t>A 40180-2025</t>
        </is>
      </c>
      <c r="B883" s="1" t="n">
        <v>45894.63693287037</v>
      </c>
      <c r="C883" s="1" t="n">
        <v>45900</v>
      </c>
      <c r="D883" t="inlineStr">
        <is>
          <t>JÄMTLANDS LÄN</t>
        </is>
      </c>
      <c r="E883" t="inlineStr">
        <is>
          <t>KROKOM</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47723-2024</t>
        </is>
      </c>
      <c r="B884" s="1" t="n">
        <v>45588</v>
      </c>
      <c r="C884" s="1" t="n">
        <v>45900</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40068-2025</t>
        </is>
      </c>
      <c r="B885" s="1" t="n">
        <v>45894.43864583333</v>
      </c>
      <c r="C885" s="1" t="n">
        <v>45900</v>
      </c>
      <c r="D885" t="inlineStr">
        <is>
          <t>JÄMTLANDS LÄN</t>
        </is>
      </c>
      <c r="E885" t="inlineStr">
        <is>
          <t>KROKOM</t>
        </is>
      </c>
      <c r="G885" t="n">
        <v>22.8</v>
      </c>
      <c r="H885" t="n">
        <v>0</v>
      </c>
      <c r="I885" t="n">
        <v>0</v>
      </c>
      <c r="J885" t="n">
        <v>0</v>
      </c>
      <c r="K885" t="n">
        <v>0</v>
      </c>
      <c r="L885" t="n">
        <v>0</v>
      </c>
      <c r="M885" t="n">
        <v>0</v>
      </c>
      <c r="N885" t="n">
        <v>0</v>
      </c>
      <c r="O885" t="n">
        <v>0</v>
      </c>
      <c r="P885" t="n">
        <v>0</v>
      </c>
      <c r="Q885" t="n">
        <v>0</v>
      </c>
      <c r="R885" s="2" t="inlineStr"/>
    </row>
    <row r="886" ht="15" customHeight="1">
      <c r="A886" t="inlineStr">
        <is>
          <t>A 27899-2025</t>
        </is>
      </c>
      <c r="B886" s="1" t="n">
        <v>45817</v>
      </c>
      <c r="C886" s="1" t="n">
        <v>45900</v>
      </c>
      <c r="D886" t="inlineStr">
        <is>
          <t>JÄMTLANDS LÄN</t>
        </is>
      </c>
      <c r="E886" t="inlineStr">
        <is>
          <t>KROKOM</t>
        </is>
      </c>
      <c r="G886" t="n">
        <v>16.4</v>
      </c>
      <c r="H886" t="n">
        <v>0</v>
      </c>
      <c r="I886" t="n">
        <v>0</v>
      </c>
      <c r="J886" t="n">
        <v>0</v>
      </c>
      <c r="K886" t="n">
        <v>0</v>
      </c>
      <c r="L886" t="n">
        <v>0</v>
      </c>
      <c r="M886" t="n">
        <v>0</v>
      </c>
      <c r="N886" t="n">
        <v>0</v>
      </c>
      <c r="O886" t="n">
        <v>0</v>
      </c>
      <c r="P886" t="n">
        <v>0</v>
      </c>
      <c r="Q886" t="n">
        <v>0</v>
      </c>
      <c r="R886" s="2" t="inlineStr"/>
    </row>
    <row r="887" ht="15" customHeight="1">
      <c r="A887" t="inlineStr">
        <is>
          <t>A 42398-2024</t>
        </is>
      </c>
      <c r="B887" s="1" t="n">
        <v>45565.33152777778</v>
      </c>
      <c r="C887" s="1" t="n">
        <v>45900</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5680-2025</t>
        </is>
      </c>
      <c r="B888" s="1" t="n">
        <v>45694.34268518518</v>
      </c>
      <c r="C888" s="1" t="n">
        <v>45900</v>
      </c>
      <c r="D888" t="inlineStr">
        <is>
          <t>JÄMTLANDS LÄN</t>
        </is>
      </c>
      <c r="E888" t="inlineStr">
        <is>
          <t>KROKOM</t>
        </is>
      </c>
      <c r="F888" t="inlineStr">
        <is>
          <t>Övriga Aktiebolag</t>
        </is>
      </c>
      <c r="G888" t="n">
        <v>48.4</v>
      </c>
      <c r="H888" t="n">
        <v>0</v>
      </c>
      <c r="I888" t="n">
        <v>0</v>
      </c>
      <c r="J888" t="n">
        <v>0</v>
      </c>
      <c r="K888" t="n">
        <v>0</v>
      </c>
      <c r="L888" t="n">
        <v>0</v>
      </c>
      <c r="M888" t="n">
        <v>0</v>
      </c>
      <c r="N888" t="n">
        <v>0</v>
      </c>
      <c r="O888" t="n">
        <v>0</v>
      </c>
      <c r="P888" t="n">
        <v>0</v>
      </c>
      <c r="Q888" t="n">
        <v>0</v>
      </c>
      <c r="R888" s="2" t="inlineStr"/>
    </row>
    <row r="889" ht="15" customHeight="1">
      <c r="A889" t="inlineStr">
        <is>
          <t>A 47850-2023</t>
        </is>
      </c>
      <c r="B889" s="1" t="n">
        <v>45204.40770833333</v>
      </c>
      <c r="C889" s="1" t="n">
        <v>45900</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26184-2024</t>
        </is>
      </c>
      <c r="B890" s="1" t="n">
        <v>45467</v>
      </c>
      <c r="C890" s="1" t="n">
        <v>45900</v>
      </c>
      <c r="D890" t="inlineStr">
        <is>
          <t>JÄMTLANDS LÄN</t>
        </is>
      </c>
      <c r="E890" t="inlineStr">
        <is>
          <t>KROKOM</t>
        </is>
      </c>
      <c r="G890" t="n">
        <v>65.7</v>
      </c>
      <c r="H890" t="n">
        <v>0</v>
      </c>
      <c r="I890" t="n">
        <v>0</v>
      </c>
      <c r="J890" t="n">
        <v>0</v>
      </c>
      <c r="K890" t="n">
        <v>0</v>
      </c>
      <c r="L890" t="n">
        <v>0</v>
      </c>
      <c r="M890" t="n">
        <v>0</v>
      </c>
      <c r="N890" t="n">
        <v>0</v>
      </c>
      <c r="O890" t="n">
        <v>0</v>
      </c>
      <c r="P890" t="n">
        <v>0</v>
      </c>
      <c r="Q890" t="n">
        <v>0</v>
      </c>
      <c r="R890" s="2" t="inlineStr"/>
    </row>
    <row r="891" ht="15" customHeight="1">
      <c r="A891" t="inlineStr">
        <is>
          <t>A 34720-2023</t>
        </is>
      </c>
      <c r="B891" s="1" t="n">
        <v>45139</v>
      </c>
      <c r="C891" s="1" t="n">
        <v>45900</v>
      </c>
      <c r="D891" t="inlineStr">
        <is>
          <t>JÄMTLANDS LÄN</t>
        </is>
      </c>
      <c r="E891" t="inlineStr">
        <is>
          <t>KROKOM</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44154-2024</t>
        </is>
      </c>
      <c r="B892" s="1" t="n">
        <v>45572</v>
      </c>
      <c r="C892" s="1" t="n">
        <v>45900</v>
      </c>
      <c r="D892" t="inlineStr">
        <is>
          <t>JÄMTLANDS LÄN</t>
        </is>
      </c>
      <c r="E892" t="inlineStr">
        <is>
          <t>KROKOM</t>
        </is>
      </c>
      <c r="F892" t="inlineStr">
        <is>
          <t>SCA</t>
        </is>
      </c>
      <c r="G892" t="n">
        <v>28.9</v>
      </c>
      <c r="H892" t="n">
        <v>0</v>
      </c>
      <c r="I892" t="n">
        <v>0</v>
      </c>
      <c r="J892" t="n">
        <v>0</v>
      </c>
      <c r="K892" t="n">
        <v>0</v>
      </c>
      <c r="L892" t="n">
        <v>0</v>
      </c>
      <c r="M892" t="n">
        <v>0</v>
      </c>
      <c r="N892" t="n">
        <v>0</v>
      </c>
      <c r="O892" t="n">
        <v>0</v>
      </c>
      <c r="P892" t="n">
        <v>0</v>
      </c>
      <c r="Q892" t="n">
        <v>0</v>
      </c>
      <c r="R892" s="2" t="inlineStr"/>
    </row>
    <row r="893" ht="15" customHeight="1">
      <c r="A893" t="inlineStr">
        <is>
          <t>A 1473-2025</t>
        </is>
      </c>
      <c r="B893" s="1" t="n">
        <v>45670</v>
      </c>
      <c r="C893" s="1" t="n">
        <v>45900</v>
      </c>
      <c r="D893" t="inlineStr">
        <is>
          <t>JÄMTLANDS LÄN</t>
        </is>
      </c>
      <c r="E893" t="inlineStr">
        <is>
          <t>KROKOM</t>
        </is>
      </c>
      <c r="G893" t="n">
        <v>7.6</v>
      </c>
      <c r="H893" t="n">
        <v>0</v>
      </c>
      <c r="I893" t="n">
        <v>0</v>
      </c>
      <c r="J893" t="n">
        <v>0</v>
      </c>
      <c r="K893" t="n">
        <v>0</v>
      </c>
      <c r="L893" t="n">
        <v>0</v>
      </c>
      <c r="M893" t="n">
        <v>0</v>
      </c>
      <c r="N893" t="n">
        <v>0</v>
      </c>
      <c r="O893" t="n">
        <v>0</v>
      </c>
      <c r="P893" t="n">
        <v>0</v>
      </c>
      <c r="Q893" t="n">
        <v>0</v>
      </c>
      <c r="R893" s="2" t="inlineStr"/>
    </row>
    <row r="894" ht="15" customHeight="1">
      <c r="A894" t="inlineStr">
        <is>
          <t>A 53568-2024</t>
        </is>
      </c>
      <c r="B894" s="1" t="n">
        <v>45614.65925925926</v>
      </c>
      <c r="C894" s="1" t="n">
        <v>45900</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40283-2025</t>
        </is>
      </c>
      <c r="B895" s="1" t="n">
        <v>45895.36994212963</v>
      </c>
      <c r="C895" s="1" t="n">
        <v>45900</v>
      </c>
      <c r="D895" t="inlineStr">
        <is>
          <t>JÄMTLANDS LÄN</t>
        </is>
      </c>
      <c r="E895" t="inlineStr">
        <is>
          <t>KROKOM</t>
        </is>
      </c>
      <c r="G895" t="n">
        <v>11.1</v>
      </c>
      <c r="H895" t="n">
        <v>0</v>
      </c>
      <c r="I895" t="n">
        <v>0</v>
      </c>
      <c r="J895" t="n">
        <v>0</v>
      </c>
      <c r="K895" t="n">
        <v>0</v>
      </c>
      <c r="L895" t="n">
        <v>0</v>
      </c>
      <c r="M895" t="n">
        <v>0</v>
      </c>
      <c r="N895" t="n">
        <v>0</v>
      </c>
      <c r="O895" t="n">
        <v>0</v>
      </c>
      <c r="P895" t="n">
        <v>0</v>
      </c>
      <c r="Q895" t="n">
        <v>0</v>
      </c>
      <c r="R895" s="2" t="inlineStr"/>
    </row>
    <row r="896" ht="15" customHeight="1">
      <c r="A896" t="inlineStr">
        <is>
          <t>A 33480-2024</t>
        </is>
      </c>
      <c r="B896" s="1" t="n">
        <v>45519.60965277778</v>
      </c>
      <c r="C896" s="1" t="n">
        <v>45900</v>
      </c>
      <c r="D896" t="inlineStr">
        <is>
          <t>JÄMTLANDS LÄN</t>
        </is>
      </c>
      <c r="E896" t="inlineStr">
        <is>
          <t>KROKOM</t>
        </is>
      </c>
      <c r="G896" t="n">
        <v>2.8</v>
      </c>
      <c r="H896" t="n">
        <v>0</v>
      </c>
      <c r="I896" t="n">
        <v>0</v>
      </c>
      <c r="J896" t="n">
        <v>0</v>
      </c>
      <c r="K896" t="n">
        <v>0</v>
      </c>
      <c r="L896" t="n">
        <v>0</v>
      </c>
      <c r="M896" t="n">
        <v>0</v>
      </c>
      <c r="N896" t="n">
        <v>0</v>
      </c>
      <c r="O896" t="n">
        <v>0</v>
      </c>
      <c r="P896" t="n">
        <v>0</v>
      </c>
      <c r="Q896" t="n">
        <v>0</v>
      </c>
      <c r="R896" s="2" t="inlineStr"/>
    </row>
    <row r="897" ht="15" customHeight="1">
      <c r="A897" t="inlineStr">
        <is>
          <t>A 40507-2025</t>
        </is>
      </c>
      <c r="B897" s="1" t="n">
        <v>45896.34443287037</v>
      </c>
      <c r="C897" s="1" t="n">
        <v>45900</v>
      </c>
      <c r="D897" t="inlineStr">
        <is>
          <t>JÄMTLANDS LÄN</t>
        </is>
      </c>
      <c r="E897" t="inlineStr">
        <is>
          <t>KROKOM</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35354-2025</t>
        </is>
      </c>
      <c r="B898" s="1" t="n">
        <v>45854.65378472222</v>
      </c>
      <c r="C898" s="1" t="n">
        <v>45900</v>
      </c>
      <c r="D898" t="inlineStr">
        <is>
          <t>JÄMTLANDS LÄN</t>
        </is>
      </c>
      <c r="E898" t="inlineStr">
        <is>
          <t>KROKOM</t>
        </is>
      </c>
      <c r="G898" t="n">
        <v>3.7</v>
      </c>
      <c r="H898" t="n">
        <v>0</v>
      </c>
      <c r="I898" t="n">
        <v>0</v>
      </c>
      <c r="J898" t="n">
        <v>0</v>
      </c>
      <c r="K898" t="n">
        <v>0</v>
      </c>
      <c r="L898" t="n">
        <v>0</v>
      </c>
      <c r="M898" t="n">
        <v>0</v>
      </c>
      <c r="N898" t="n">
        <v>0</v>
      </c>
      <c r="O898" t="n">
        <v>0</v>
      </c>
      <c r="P898" t="n">
        <v>0</v>
      </c>
      <c r="Q898" t="n">
        <v>0</v>
      </c>
      <c r="R898" s="2" t="inlineStr"/>
    </row>
    <row r="899" ht="15" customHeight="1">
      <c r="A899" t="inlineStr">
        <is>
          <t>A 72064-2021</t>
        </is>
      </c>
      <c r="B899" s="1" t="n">
        <v>44544.49326388889</v>
      </c>
      <c r="C899" s="1" t="n">
        <v>45900</v>
      </c>
      <c r="D899" t="inlineStr">
        <is>
          <t>JÄMTLANDS LÄN</t>
        </is>
      </c>
      <c r="E899" t="inlineStr">
        <is>
          <t>KROKOM</t>
        </is>
      </c>
      <c r="G899" t="n">
        <v>18.7</v>
      </c>
      <c r="H899" t="n">
        <v>0</v>
      </c>
      <c r="I899" t="n">
        <v>0</v>
      </c>
      <c r="J899" t="n">
        <v>0</v>
      </c>
      <c r="K899" t="n">
        <v>0</v>
      </c>
      <c r="L899" t="n">
        <v>0</v>
      </c>
      <c r="M899" t="n">
        <v>0</v>
      </c>
      <c r="N899" t="n">
        <v>0</v>
      </c>
      <c r="O899" t="n">
        <v>0</v>
      </c>
      <c r="P899" t="n">
        <v>0</v>
      </c>
      <c r="Q899" t="n">
        <v>0</v>
      </c>
      <c r="R899" s="2" t="inlineStr"/>
    </row>
    <row r="900" ht="15" customHeight="1">
      <c r="A900" t="inlineStr">
        <is>
          <t>A 35238-2025</t>
        </is>
      </c>
      <c r="B900" s="1" t="n">
        <v>45853.6156712963</v>
      </c>
      <c r="C900" s="1" t="n">
        <v>45900</v>
      </c>
      <c r="D900" t="inlineStr">
        <is>
          <t>JÄMTLANDS LÄN</t>
        </is>
      </c>
      <c r="E900" t="inlineStr">
        <is>
          <t>KROKOM</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58482-2024</t>
        </is>
      </c>
      <c r="B901" s="1" t="n">
        <v>45635</v>
      </c>
      <c r="C901" s="1" t="n">
        <v>45900</v>
      </c>
      <c r="D901" t="inlineStr">
        <is>
          <t>JÄMTLANDS LÄN</t>
        </is>
      </c>
      <c r="E901" t="inlineStr">
        <is>
          <t>KROKOM</t>
        </is>
      </c>
      <c r="G901" t="n">
        <v>1.5</v>
      </c>
      <c r="H901" t="n">
        <v>0</v>
      </c>
      <c r="I901" t="n">
        <v>0</v>
      </c>
      <c r="J901" t="n">
        <v>0</v>
      </c>
      <c r="K901" t="n">
        <v>0</v>
      </c>
      <c r="L901" t="n">
        <v>0</v>
      </c>
      <c r="M901" t="n">
        <v>0</v>
      </c>
      <c r="N901" t="n">
        <v>0</v>
      </c>
      <c r="O901" t="n">
        <v>0</v>
      </c>
      <c r="P901" t="n">
        <v>0</v>
      </c>
      <c r="Q901" t="n">
        <v>0</v>
      </c>
      <c r="R901" s="2" t="inlineStr"/>
    </row>
    <row r="902" ht="15" customHeight="1">
      <c r="A902" t="inlineStr">
        <is>
          <t>A 29379-2024</t>
        </is>
      </c>
      <c r="B902" s="1" t="n">
        <v>45483</v>
      </c>
      <c r="C902" s="1" t="n">
        <v>45900</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35359-2025</t>
        </is>
      </c>
      <c r="B903" s="1" t="n">
        <v>45854.66518518519</v>
      </c>
      <c r="C903" s="1" t="n">
        <v>45900</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33173-2025</t>
        </is>
      </c>
      <c r="B904" s="1" t="n">
        <v>45840.58494212963</v>
      </c>
      <c r="C904" s="1" t="n">
        <v>45900</v>
      </c>
      <c r="D904" t="inlineStr">
        <is>
          <t>JÄMTLANDS LÄN</t>
        </is>
      </c>
      <c r="E904" t="inlineStr">
        <is>
          <t>KROKOM</t>
        </is>
      </c>
      <c r="G904" t="n">
        <v>4.2</v>
      </c>
      <c r="H904" t="n">
        <v>0</v>
      </c>
      <c r="I904" t="n">
        <v>0</v>
      </c>
      <c r="J904" t="n">
        <v>0</v>
      </c>
      <c r="K904" t="n">
        <v>0</v>
      </c>
      <c r="L904" t="n">
        <v>0</v>
      </c>
      <c r="M904" t="n">
        <v>0</v>
      </c>
      <c r="N904" t="n">
        <v>0</v>
      </c>
      <c r="O904" t="n">
        <v>0</v>
      </c>
      <c r="P904" t="n">
        <v>0</v>
      </c>
      <c r="Q904" t="n">
        <v>0</v>
      </c>
      <c r="R904" s="2" t="inlineStr"/>
    </row>
    <row r="905" ht="15" customHeight="1">
      <c r="A905" t="inlineStr">
        <is>
          <t>A 33802-2021</t>
        </is>
      </c>
      <c r="B905" s="1" t="n">
        <v>44377</v>
      </c>
      <c r="C905" s="1" t="n">
        <v>45900</v>
      </c>
      <c r="D905" t="inlineStr">
        <is>
          <t>JÄMTLANDS LÄN</t>
        </is>
      </c>
      <c r="E905" t="inlineStr">
        <is>
          <t>KROKOM</t>
        </is>
      </c>
      <c r="G905" t="n">
        <v>2</v>
      </c>
      <c r="H905" t="n">
        <v>0</v>
      </c>
      <c r="I905" t="n">
        <v>0</v>
      </c>
      <c r="J905" t="n">
        <v>0</v>
      </c>
      <c r="K905" t="n">
        <v>0</v>
      </c>
      <c r="L905" t="n">
        <v>0</v>
      </c>
      <c r="M905" t="n">
        <v>0</v>
      </c>
      <c r="N905" t="n">
        <v>0</v>
      </c>
      <c r="O905" t="n">
        <v>0</v>
      </c>
      <c r="P905" t="n">
        <v>0</v>
      </c>
      <c r="Q905" t="n">
        <v>0</v>
      </c>
      <c r="R905" s="2" t="inlineStr"/>
    </row>
    <row r="906" ht="15" customHeight="1">
      <c r="A906" t="inlineStr">
        <is>
          <t>A 11056-2025</t>
        </is>
      </c>
      <c r="B906" s="1" t="n">
        <v>45723.50841435185</v>
      </c>
      <c r="C906" s="1" t="n">
        <v>45900</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25428-2022</t>
        </is>
      </c>
      <c r="B907" s="1" t="n">
        <v>44732</v>
      </c>
      <c r="C907" s="1" t="n">
        <v>45900</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50302-2022</t>
        </is>
      </c>
      <c r="B908" s="1" t="n">
        <v>44865</v>
      </c>
      <c r="C908" s="1" t="n">
        <v>45900</v>
      </c>
      <c r="D908" t="inlineStr">
        <is>
          <t>JÄMTLANDS LÄN</t>
        </is>
      </c>
      <c r="E908" t="inlineStr">
        <is>
          <t>KROKOM</t>
        </is>
      </c>
      <c r="G908" t="n">
        <v>3.4</v>
      </c>
      <c r="H908" t="n">
        <v>0</v>
      </c>
      <c r="I908" t="n">
        <v>0</v>
      </c>
      <c r="J908" t="n">
        <v>0</v>
      </c>
      <c r="K908" t="n">
        <v>0</v>
      </c>
      <c r="L908" t="n">
        <v>0</v>
      </c>
      <c r="M908" t="n">
        <v>0</v>
      </c>
      <c r="N908" t="n">
        <v>0</v>
      </c>
      <c r="O908" t="n">
        <v>0</v>
      </c>
      <c r="P908" t="n">
        <v>0</v>
      </c>
      <c r="Q908" t="n">
        <v>0</v>
      </c>
      <c r="R908" s="2" t="inlineStr"/>
    </row>
    <row r="909" ht="15" customHeight="1">
      <c r="A909" t="inlineStr">
        <is>
          <t>A 9016-2025</t>
        </is>
      </c>
      <c r="B909" s="1" t="n">
        <v>45713.59163194444</v>
      </c>
      <c r="C909" s="1" t="n">
        <v>45900</v>
      </c>
      <c r="D909" t="inlineStr">
        <is>
          <t>JÄMTLANDS LÄN</t>
        </is>
      </c>
      <c r="E909" t="inlineStr">
        <is>
          <t>KROKOM</t>
        </is>
      </c>
      <c r="F909" t="inlineStr">
        <is>
          <t>Övriga Aktiebolag</t>
        </is>
      </c>
      <c r="G909" t="n">
        <v>19.3</v>
      </c>
      <c r="H909" t="n">
        <v>0</v>
      </c>
      <c r="I909" t="n">
        <v>0</v>
      </c>
      <c r="J909" t="n">
        <v>0</v>
      </c>
      <c r="K909" t="n">
        <v>0</v>
      </c>
      <c r="L909" t="n">
        <v>0</v>
      </c>
      <c r="M909" t="n">
        <v>0</v>
      </c>
      <c r="N909" t="n">
        <v>0</v>
      </c>
      <c r="O909" t="n">
        <v>0</v>
      </c>
      <c r="P909" t="n">
        <v>0</v>
      </c>
      <c r="Q909" t="n">
        <v>0</v>
      </c>
      <c r="R909" s="2" t="inlineStr"/>
    </row>
    <row r="910" ht="15" customHeight="1">
      <c r="A910" t="inlineStr">
        <is>
          <t>A 35460-2025</t>
        </is>
      </c>
      <c r="B910" s="1" t="n">
        <v>45855.61193287037</v>
      </c>
      <c r="C910" s="1" t="n">
        <v>45900</v>
      </c>
      <c r="D910" t="inlineStr">
        <is>
          <t>JÄMTLANDS LÄN</t>
        </is>
      </c>
      <c r="E910" t="inlineStr">
        <is>
          <t>KROKOM</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40806-2025</t>
        </is>
      </c>
      <c r="B911" s="1" t="n">
        <v>45897.46832175926</v>
      </c>
      <c r="C911" s="1" t="n">
        <v>45900</v>
      </c>
      <c r="D911" t="inlineStr">
        <is>
          <t>JÄMTLANDS LÄN</t>
        </is>
      </c>
      <c r="E911" t="inlineStr">
        <is>
          <t>KROKOM</t>
        </is>
      </c>
      <c r="G911" t="n">
        <v>3.6</v>
      </c>
      <c r="H911" t="n">
        <v>0</v>
      </c>
      <c r="I911" t="n">
        <v>0</v>
      </c>
      <c r="J911" t="n">
        <v>0</v>
      </c>
      <c r="K911" t="n">
        <v>0</v>
      </c>
      <c r="L911" t="n">
        <v>0</v>
      </c>
      <c r="M911" t="n">
        <v>0</v>
      </c>
      <c r="N911" t="n">
        <v>0</v>
      </c>
      <c r="O911" t="n">
        <v>0</v>
      </c>
      <c r="P911" t="n">
        <v>0</v>
      </c>
      <c r="Q911" t="n">
        <v>0</v>
      </c>
      <c r="R911" s="2" t="inlineStr"/>
    </row>
    <row r="912" ht="15" customHeight="1">
      <c r="A912" t="inlineStr">
        <is>
          <t>A 31905-2021</t>
        </is>
      </c>
      <c r="B912" s="1" t="n">
        <v>44370</v>
      </c>
      <c r="C912" s="1" t="n">
        <v>45900</v>
      </c>
      <c r="D912" t="inlineStr">
        <is>
          <t>JÄMTLANDS LÄN</t>
        </is>
      </c>
      <c r="E912" t="inlineStr">
        <is>
          <t>KROKOM</t>
        </is>
      </c>
      <c r="G912" t="n">
        <v>12.9</v>
      </c>
      <c r="H912" t="n">
        <v>0</v>
      </c>
      <c r="I912" t="n">
        <v>0</v>
      </c>
      <c r="J912" t="n">
        <v>0</v>
      </c>
      <c r="K912" t="n">
        <v>0</v>
      </c>
      <c r="L912" t="n">
        <v>0</v>
      </c>
      <c r="M912" t="n">
        <v>0</v>
      </c>
      <c r="N912" t="n">
        <v>0</v>
      </c>
      <c r="O912" t="n">
        <v>0</v>
      </c>
      <c r="P912" t="n">
        <v>0</v>
      </c>
      <c r="Q912" t="n">
        <v>0</v>
      </c>
      <c r="R912" s="2" t="inlineStr"/>
    </row>
    <row r="913" ht="15" customHeight="1">
      <c r="A913" t="inlineStr">
        <is>
          <t>A 42369-2021</t>
        </is>
      </c>
      <c r="B913" s="1" t="n">
        <v>44427</v>
      </c>
      <c r="C913" s="1" t="n">
        <v>45900</v>
      </c>
      <c r="D913" t="inlineStr">
        <is>
          <t>JÄMTLANDS LÄN</t>
        </is>
      </c>
      <c r="E913" t="inlineStr">
        <is>
          <t>KROKOM</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41290-2025</t>
        </is>
      </c>
      <c r="B914" s="1" t="n">
        <v>45898.64267361111</v>
      </c>
      <c r="C914" s="1" t="n">
        <v>45900</v>
      </c>
      <c r="D914" t="inlineStr">
        <is>
          <t>JÄMTLANDS LÄN</t>
        </is>
      </c>
      <c r="E914" t="inlineStr">
        <is>
          <t>KROKOM</t>
        </is>
      </c>
      <c r="G914" t="n">
        <v>17.1</v>
      </c>
      <c r="H914" t="n">
        <v>0</v>
      </c>
      <c r="I914" t="n">
        <v>0</v>
      </c>
      <c r="J914" t="n">
        <v>0</v>
      </c>
      <c r="K914" t="n">
        <v>0</v>
      </c>
      <c r="L914" t="n">
        <v>0</v>
      </c>
      <c r="M914" t="n">
        <v>0</v>
      </c>
      <c r="N914" t="n">
        <v>0</v>
      </c>
      <c r="O914" t="n">
        <v>0</v>
      </c>
      <c r="P914" t="n">
        <v>0</v>
      </c>
      <c r="Q914" t="n">
        <v>0</v>
      </c>
      <c r="R914" s="2" t="inlineStr"/>
    </row>
    <row r="915" ht="15" customHeight="1">
      <c r="A915" t="inlineStr">
        <is>
          <t>A 5422-2021</t>
        </is>
      </c>
      <c r="B915" s="1" t="n">
        <v>44228</v>
      </c>
      <c r="C915" s="1" t="n">
        <v>45900</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41142-2023</t>
        </is>
      </c>
      <c r="B916" s="1" t="n">
        <v>45173</v>
      </c>
      <c r="C916" s="1" t="n">
        <v>45900</v>
      </c>
      <c r="D916" t="inlineStr">
        <is>
          <t>JÄMTLANDS LÄN</t>
        </is>
      </c>
      <c r="E916" t="inlineStr">
        <is>
          <t>KROKOM</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40796-2025</t>
        </is>
      </c>
      <c r="B917" s="1" t="n">
        <v>45897.44951388889</v>
      </c>
      <c r="C917" s="1" t="n">
        <v>45900</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40800-2025</t>
        </is>
      </c>
      <c r="B918" s="1" t="n">
        <v>45897.45311342592</v>
      </c>
      <c r="C918" s="1" t="n">
        <v>45900</v>
      </c>
      <c r="D918" t="inlineStr">
        <is>
          <t>JÄMTLANDS LÄN</t>
        </is>
      </c>
      <c r="E918" t="inlineStr">
        <is>
          <t>KROKOM</t>
        </is>
      </c>
      <c r="G918" t="n">
        <v>5.8</v>
      </c>
      <c r="H918" t="n">
        <v>0</v>
      </c>
      <c r="I918" t="n">
        <v>0</v>
      </c>
      <c r="J918" t="n">
        <v>0</v>
      </c>
      <c r="K918" t="n">
        <v>0</v>
      </c>
      <c r="L918" t="n">
        <v>0</v>
      </c>
      <c r="M918" t="n">
        <v>0</v>
      </c>
      <c r="N918" t="n">
        <v>0</v>
      </c>
      <c r="O918" t="n">
        <v>0</v>
      </c>
      <c r="P918" t="n">
        <v>0</v>
      </c>
      <c r="Q918" t="n">
        <v>0</v>
      </c>
      <c r="R918" s="2" t="inlineStr"/>
    </row>
    <row r="919" ht="15" customHeight="1">
      <c r="A919" t="inlineStr">
        <is>
          <t>A 40822-2025</t>
        </is>
      </c>
      <c r="B919" s="1" t="n">
        <v>45897.49424768519</v>
      </c>
      <c r="C919" s="1" t="n">
        <v>45900</v>
      </c>
      <c r="D919" t="inlineStr">
        <is>
          <t>JÄMTLANDS LÄN</t>
        </is>
      </c>
      <c r="E919" t="inlineStr">
        <is>
          <t>KROKOM</t>
        </is>
      </c>
      <c r="G919" t="n">
        <v>3.8</v>
      </c>
      <c r="H919" t="n">
        <v>0</v>
      </c>
      <c r="I919" t="n">
        <v>0</v>
      </c>
      <c r="J919" t="n">
        <v>0</v>
      </c>
      <c r="K919" t="n">
        <v>0</v>
      </c>
      <c r="L919" t="n">
        <v>0</v>
      </c>
      <c r="M919" t="n">
        <v>0</v>
      </c>
      <c r="N919" t="n">
        <v>0</v>
      </c>
      <c r="O919" t="n">
        <v>0</v>
      </c>
      <c r="P919" t="n">
        <v>0</v>
      </c>
      <c r="Q919" t="n">
        <v>0</v>
      </c>
      <c r="R919" s="2" t="inlineStr"/>
    </row>
    <row r="920" ht="15" customHeight="1">
      <c r="A920" t="inlineStr">
        <is>
          <t>A 5798-2025</t>
        </is>
      </c>
      <c r="B920" s="1" t="n">
        <v>45694.65905092593</v>
      </c>
      <c r="C920" s="1" t="n">
        <v>45900</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9025-2025</t>
        </is>
      </c>
      <c r="B921" s="1" t="n">
        <v>45713.59952546296</v>
      </c>
      <c r="C921" s="1" t="n">
        <v>45900</v>
      </c>
      <c r="D921" t="inlineStr">
        <is>
          <t>JÄMTLANDS LÄN</t>
        </is>
      </c>
      <c r="E921" t="inlineStr">
        <is>
          <t>KROKOM</t>
        </is>
      </c>
      <c r="F921" t="inlineStr">
        <is>
          <t>Övriga Aktiebolag</t>
        </is>
      </c>
      <c r="G921" t="n">
        <v>28.4</v>
      </c>
      <c r="H921" t="n">
        <v>0</v>
      </c>
      <c r="I921" t="n">
        <v>0</v>
      </c>
      <c r="J921" t="n">
        <v>0</v>
      </c>
      <c r="K921" t="n">
        <v>0</v>
      </c>
      <c r="L921" t="n">
        <v>0</v>
      </c>
      <c r="M921" t="n">
        <v>0</v>
      </c>
      <c r="N921" t="n">
        <v>0</v>
      </c>
      <c r="O921" t="n">
        <v>0</v>
      </c>
      <c r="P921" t="n">
        <v>0</v>
      </c>
      <c r="Q921" t="n">
        <v>0</v>
      </c>
      <c r="R921" s="2" t="inlineStr"/>
    </row>
    <row r="922" ht="15" customHeight="1">
      <c r="A922" t="inlineStr">
        <is>
          <t>A 58415-2024</t>
        </is>
      </c>
      <c r="B922" s="1" t="n">
        <v>45634.7925</v>
      </c>
      <c r="C922" s="1" t="n">
        <v>45900</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58416-2024</t>
        </is>
      </c>
      <c r="B923" s="1" t="n">
        <v>45634.79854166666</v>
      </c>
      <c r="C923" s="1" t="n">
        <v>45900</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52240-2024</t>
        </is>
      </c>
      <c r="B924" s="1" t="n">
        <v>45608.61923611111</v>
      </c>
      <c r="C924" s="1" t="n">
        <v>45900</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45900</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50129-2024</t>
        </is>
      </c>
      <c r="B926" s="1" t="n">
        <v>45600.433125</v>
      </c>
      <c r="C926" s="1" t="n">
        <v>45900</v>
      </c>
      <c r="D926" t="inlineStr">
        <is>
          <t>JÄMTLANDS LÄN</t>
        </is>
      </c>
      <c r="E926" t="inlineStr">
        <is>
          <t>KROKOM</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6991-2025</t>
        </is>
      </c>
      <c r="B927" s="1" t="n">
        <v>45701.57363425926</v>
      </c>
      <c r="C927" s="1" t="n">
        <v>45900</v>
      </c>
      <c r="D927" t="inlineStr">
        <is>
          <t>JÄMTLANDS LÄN</t>
        </is>
      </c>
      <c r="E927" t="inlineStr">
        <is>
          <t>KROKOM</t>
        </is>
      </c>
      <c r="G927" t="n">
        <v>4.9</v>
      </c>
      <c r="H927" t="n">
        <v>0</v>
      </c>
      <c r="I927" t="n">
        <v>0</v>
      </c>
      <c r="J927" t="n">
        <v>0</v>
      </c>
      <c r="K927" t="n">
        <v>0</v>
      </c>
      <c r="L927" t="n">
        <v>0</v>
      </c>
      <c r="M927" t="n">
        <v>0</v>
      </c>
      <c r="N927" t="n">
        <v>0</v>
      </c>
      <c r="O927" t="n">
        <v>0</v>
      </c>
      <c r="P927" t="n">
        <v>0</v>
      </c>
      <c r="Q927" t="n">
        <v>0</v>
      </c>
      <c r="R927" s="2" t="inlineStr"/>
    </row>
    <row r="928" ht="15" customHeight="1">
      <c r="A928" t="inlineStr">
        <is>
          <t>A 14170-2024</t>
        </is>
      </c>
      <c r="B928" s="1" t="n">
        <v>45392.95844907407</v>
      </c>
      <c r="C928" s="1" t="n">
        <v>45900</v>
      </c>
      <c r="D928" t="inlineStr">
        <is>
          <t>JÄMTLANDS LÄN</t>
        </is>
      </c>
      <c r="E928" t="inlineStr">
        <is>
          <t>KROKOM</t>
        </is>
      </c>
      <c r="G928" t="n">
        <v>4.9</v>
      </c>
      <c r="H928" t="n">
        <v>0</v>
      </c>
      <c r="I928" t="n">
        <v>0</v>
      </c>
      <c r="J928" t="n">
        <v>0</v>
      </c>
      <c r="K928" t="n">
        <v>0</v>
      </c>
      <c r="L928" t="n">
        <v>0</v>
      </c>
      <c r="M928" t="n">
        <v>0</v>
      </c>
      <c r="N928" t="n">
        <v>0</v>
      </c>
      <c r="O928" t="n">
        <v>0</v>
      </c>
      <c r="P928" t="n">
        <v>0</v>
      </c>
      <c r="Q928" t="n">
        <v>0</v>
      </c>
      <c r="R928" s="2" t="inlineStr"/>
    </row>
    <row r="929" ht="15" customHeight="1">
      <c r="A929" t="inlineStr">
        <is>
          <t>A 14171-2024</t>
        </is>
      </c>
      <c r="B929" s="1" t="n">
        <v>45392</v>
      </c>
      <c r="C929" s="1" t="n">
        <v>45900</v>
      </c>
      <c r="D929" t="inlineStr">
        <is>
          <t>JÄMTLANDS LÄN</t>
        </is>
      </c>
      <c r="E929" t="inlineStr">
        <is>
          <t>KROKOM</t>
        </is>
      </c>
      <c r="G929" t="n">
        <v>5.9</v>
      </c>
      <c r="H929" t="n">
        <v>0</v>
      </c>
      <c r="I929" t="n">
        <v>0</v>
      </c>
      <c r="J929" t="n">
        <v>0</v>
      </c>
      <c r="K929" t="n">
        <v>0</v>
      </c>
      <c r="L929" t="n">
        <v>0</v>
      </c>
      <c r="M929" t="n">
        <v>0</v>
      </c>
      <c r="N929" t="n">
        <v>0</v>
      </c>
      <c r="O929" t="n">
        <v>0</v>
      </c>
      <c r="P929" t="n">
        <v>0</v>
      </c>
      <c r="Q929" t="n">
        <v>0</v>
      </c>
      <c r="R929" s="2" t="inlineStr"/>
    </row>
    <row r="930" ht="15" customHeight="1">
      <c r="A930" t="inlineStr">
        <is>
          <t>A 5378-2025</t>
        </is>
      </c>
      <c r="B930" s="1" t="n">
        <v>45692.60364583333</v>
      </c>
      <c r="C930" s="1" t="n">
        <v>45900</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8167-2025</t>
        </is>
      </c>
      <c r="B931" s="1" t="n">
        <v>45708</v>
      </c>
      <c r="C931" s="1" t="n">
        <v>45900</v>
      </c>
      <c r="D931" t="inlineStr">
        <is>
          <t>JÄMTLANDS LÄN</t>
        </is>
      </c>
      <c r="E931" t="inlineStr">
        <is>
          <t>KROKOM</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7079-2025</t>
        </is>
      </c>
      <c r="B932" s="1" t="n">
        <v>45701</v>
      </c>
      <c r="C932" s="1" t="n">
        <v>45900</v>
      </c>
      <c r="D932" t="inlineStr">
        <is>
          <t>JÄMTLANDS LÄN</t>
        </is>
      </c>
      <c r="E932" t="inlineStr">
        <is>
          <t>KROKOM</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9023-2025</t>
        </is>
      </c>
      <c r="B933" s="1" t="n">
        <v>45713.59741898148</v>
      </c>
      <c r="C933" s="1" t="n">
        <v>45900</v>
      </c>
      <c r="D933" t="inlineStr">
        <is>
          <t>JÄMTLANDS LÄN</t>
        </is>
      </c>
      <c r="E933" t="inlineStr">
        <is>
          <t>KROKOM</t>
        </is>
      </c>
      <c r="F933" t="inlineStr">
        <is>
          <t>Övriga Aktiebolag</t>
        </is>
      </c>
      <c r="G933" t="n">
        <v>16.8</v>
      </c>
      <c r="H933" t="n">
        <v>0</v>
      </c>
      <c r="I933" t="n">
        <v>0</v>
      </c>
      <c r="J933" t="n">
        <v>0</v>
      </c>
      <c r="K933" t="n">
        <v>0</v>
      </c>
      <c r="L933" t="n">
        <v>0</v>
      </c>
      <c r="M933" t="n">
        <v>0</v>
      </c>
      <c r="N933" t="n">
        <v>0</v>
      </c>
      <c r="O933" t="n">
        <v>0</v>
      </c>
      <c r="P933" t="n">
        <v>0</v>
      </c>
      <c r="Q933" t="n">
        <v>0</v>
      </c>
      <c r="R933" s="2" t="inlineStr"/>
    </row>
    <row r="934" ht="15" customHeight="1">
      <c r="A934" t="inlineStr">
        <is>
          <t>A 23832-2021</t>
        </is>
      </c>
      <c r="B934" s="1" t="n">
        <v>44335</v>
      </c>
      <c r="C934" s="1" t="n">
        <v>45900</v>
      </c>
      <c r="D934" t="inlineStr">
        <is>
          <t>JÄMTLANDS LÄN</t>
        </is>
      </c>
      <c r="E934" t="inlineStr">
        <is>
          <t>KROKOM</t>
        </is>
      </c>
      <c r="G934" t="n">
        <v>20</v>
      </c>
      <c r="H934" t="n">
        <v>0</v>
      </c>
      <c r="I934" t="n">
        <v>0</v>
      </c>
      <c r="J934" t="n">
        <v>0</v>
      </c>
      <c r="K934" t="n">
        <v>0</v>
      </c>
      <c r="L934" t="n">
        <v>0</v>
      </c>
      <c r="M934" t="n">
        <v>0</v>
      </c>
      <c r="N934" t="n">
        <v>0</v>
      </c>
      <c r="O934" t="n">
        <v>0</v>
      </c>
      <c r="P934" t="n">
        <v>0</v>
      </c>
      <c r="Q934" t="n">
        <v>0</v>
      </c>
      <c r="R934" s="2" t="inlineStr"/>
    </row>
    <row r="935" ht="15" customHeight="1">
      <c r="A935" t="inlineStr">
        <is>
          <t>A 52268-2022</t>
        </is>
      </c>
      <c r="B935" s="1" t="n">
        <v>44873</v>
      </c>
      <c r="C935" s="1" t="n">
        <v>45900</v>
      </c>
      <c r="D935" t="inlineStr">
        <is>
          <t>JÄMTLANDS LÄN</t>
        </is>
      </c>
      <c r="E935" t="inlineStr">
        <is>
          <t>KROKOM</t>
        </is>
      </c>
      <c r="G935" t="n">
        <v>0.7</v>
      </c>
      <c r="H935" t="n">
        <v>0</v>
      </c>
      <c r="I935" t="n">
        <v>0</v>
      </c>
      <c r="J935" t="n">
        <v>0</v>
      </c>
      <c r="K935" t="n">
        <v>0</v>
      </c>
      <c r="L935" t="n">
        <v>0</v>
      </c>
      <c r="M935" t="n">
        <v>0</v>
      </c>
      <c r="N935" t="n">
        <v>0</v>
      </c>
      <c r="O935" t="n">
        <v>0</v>
      </c>
      <c r="P935" t="n">
        <v>0</v>
      </c>
      <c r="Q935" t="n">
        <v>0</v>
      </c>
      <c r="R935" s="2" t="inlineStr"/>
      <c r="U935">
        <f>HYPERLINK("https://klasma.github.io/Logging_2309/knärot/A 52268-2022 karta knärot.png", "A 52268-2022")</f>
        <v/>
      </c>
      <c r="V935">
        <f>HYPERLINK("https://klasma.github.io/Logging_2309/klagomål/A 52268-2022 FSC-klagomål.docx", "A 52268-2022")</f>
        <v/>
      </c>
      <c r="W935">
        <f>HYPERLINK("https://klasma.github.io/Logging_2309/klagomålsmail/A 52268-2022 FSC-klagomål mail.docx", "A 52268-2022")</f>
        <v/>
      </c>
      <c r="X935">
        <f>HYPERLINK("https://klasma.github.io/Logging_2309/tillsyn/A 52268-2022 tillsynsbegäran.docx", "A 52268-2022")</f>
        <v/>
      </c>
      <c r="Y935">
        <f>HYPERLINK("https://klasma.github.io/Logging_2309/tillsynsmail/A 52268-2022 tillsynsbegäran mail.docx", "A 52268-2022")</f>
        <v/>
      </c>
    </row>
    <row r="936" ht="15" customHeight="1">
      <c r="A936" t="inlineStr">
        <is>
          <t>A 30158-2022</t>
        </is>
      </c>
      <c r="B936" s="1" t="n">
        <v>44757</v>
      </c>
      <c r="C936" s="1" t="n">
        <v>45900</v>
      </c>
      <c r="D936" t="inlineStr">
        <is>
          <t>JÄMTLANDS LÄN</t>
        </is>
      </c>
      <c r="E936" t="inlineStr">
        <is>
          <t>KROKOM</t>
        </is>
      </c>
      <c r="F936" t="inlineStr">
        <is>
          <t>SCA</t>
        </is>
      </c>
      <c r="G936" t="n">
        <v>9.6</v>
      </c>
      <c r="H936" t="n">
        <v>0</v>
      </c>
      <c r="I936" t="n">
        <v>0</v>
      </c>
      <c r="J936" t="n">
        <v>0</v>
      </c>
      <c r="K936" t="n">
        <v>0</v>
      </c>
      <c r="L936" t="n">
        <v>0</v>
      </c>
      <c r="M936" t="n">
        <v>0</v>
      </c>
      <c r="N936" t="n">
        <v>0</v>
      </c>
      <c r="O936" t="n">
        <v>0</v>
      </c>
      <c r="P936" t="n">
        <v>0</v>
      </c>
      <c r="Q936" t="n">
        <v>0</v>
      </c>
      <c r="R936" s="2" t="inlineStr"/>
    </row>
    <row r="937" ht="15" customHeight="1">
      <c r="A937" t="inlineStr">
        <is>
          <t>A 23507-2024</t>
        </is>
      </c>
      <c r="B937" s="1" t="n">
        <v>45453</v>
      </c>
      <c r="C937" s="1" t="n">
        <v>45900</v>
      </c>
      <c r="D937" t="inlineStr">
        <is>
          <t>JÄMTLANDS LÄN</t>
        </is>
      </c>
      <c r="E937" t="inlineStr">
        <is>
          <t>KROKOM</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23539-2024</t>
        </is>
      </c>
      <c r="B938" s="1" t="n">
        <v>45453.95237268518</v>
      </c>
      <c r="C938" s="1" t="n">
        <v>45900</v>
      </c>
      <c r="D938" t="inlineStr">
        <is>
          <t>JÄMTLANDS LÄN</t>
        </is>
      </c>
      <c r="E938" t="inlineStr">
        <is>
          <t>KROKOM</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30979-2024</t>
        </is>
      </c>
      <c r="B939" s="1" t="n">
        <v>45499.48672453704</v>
      </c>
      <c r="C939" s="1" t="n">
        <v>45900</v>
      </c>
      <c r="D939" t="inlineStr">
        <is>
          <t>JÄMTLANDS LÄN</t>
        </is>
      </c>
      <c r="E939" t="inlineStr">
        <is>
          <t>KROKOM</t>
        </is>
      </c>
      <c r="G939" t="n">
        <v>18.2</v>
      </c>
      <c r="H939" t="n">
        <v>0</v>
      </c>
      <c r="I939" t="n">
        <v>0</v>
      </c>
      <c r="J939" t="n">
        <v>0</v>
      </c>
      <c r="K939" t="n">
        <v>0</v>
      </c>
      <c r="L939" t="n">
        <v>0</v>
      </c>
      <c r="M939" t="n">
        <v>0</v>
      </c>
      <c r="N939" t="n">
        <v>0</v>
      </c>
      <c r="O939" t="n">
        <v>0</v>
      </c>
      <c r="P939" t="n">
        <v>0</v>
      </c>
      <c r="Q939" t="n">
        <v>0</v>
      </c>
      <c r="R939" s="2" t="inlineStr"/>
    </row>
    <row r="940" ht="15" customHeight="1">
      <c r="A940" t="inlineStr">
        <is>
          <t>A 4570-2025</t>
        </is>
      </c>
      <c r="B940" s="1" t="n">
        <v>45687</v>
      </c>
      <c r="C940" s="1" t="n">
        <v>45900</v>
      </c>
      <c r="D940" t="inlineStr">
        <is>
          <t>JÄMTLANDS LÄN</t>
        </is>
      </c>
      <c r="E940" t="inlineStr">
        <is>
          <t>KROKOM</t>
        </is>
      </c>
      <c r="G940" t="n">
        <v>4.6</v>
      </c>
      <c r="H940" t="n">
        <v>0</v>
      </c>
      <c r="I940" t="n">
        <v>0</v>
      </c>
      <c r="J940" t="n">
        <v>0</v>
      </c>
      <c r="K940" t="n">
        <v>0</v>
      </c>
      <c r="L940" t="n">
        <v>0</v>
      </c>
      <c r="M940" t="n">
        <v>0</v>
      </c>
      <c r="N940" t="n">
        <v>0</v>
      </c>
      <c r="O940" t="n">
        <v>0</v>
      </c>
      <c r="P940" t="n">
        <v>0</v>
      </c>
      <c r="Q940" t="n">
        <v>0</v>
      </c>
      <c r="R940" s="2" t="inlineStr"/>
    </row>
    <row r="941" ht="15" customHeight="1">
      <c r="A941" t="inlineStr">
        <is>
          <t>A 58313-2022</t>
        </is>
      </c>
      <c r="B941" s="1" t="n">
        <v>44901.54615740741</v>
      </c>
      <c r="C941" s="1" t="n">
        <v>45900</v>
      </c>
      <c r="D941" t="inlineStr">
        <is>
          <t>JÄMTLANDS LÄN</t>
        </is>
      </c>
      <c r="E941" t="inlineStr">
        <is>
          <t>KROKOM</t>
        </is>
      </c>
      <c r="F941" t="inlineStr">
        <is>
          <t>Övriga Aktiebolag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15761-2025</t>
        </is>
      </c>
      <c r="B942" s="1" t="n">
        <v>45748.57269675926</v>
      </c>
      <c r="C942" s="1" t="n">
        <v>45900</v>
      </c>
      <c r="D942" t="inlineStr">
        <is>
          <t>JÄMTLANDS LÄN</t>
        </is>
      </c>
      <c r="E942" t="inlineStr">
        <is>
          <t>KROKOM</t>
        </is>
      </c>
      <c r="G942" t="n">
        <v>48.1</v>
      </c>
      <c r="H942" t="n">
        <v>0</v>
      </c>
      <c r="I942" t="n">
        <v>0</v>
      </c>
      <c r="J942" t="n">
        <v>0</v>
      </c>
      <c r="K942" t="n">
        <v>0</v>
      </c>
      <c r="L942" t="n">
        <v>0</v>
      </c>
      <c r="M942" t="n">
        <v>0</v>
      </c>
      <c r="N942" t="n">
        <v>0</v>
      </c>
      <c r="O942" t="n">
        <v>0</v>
      </c>
      <c r="P942" t="n">
        <v>0</v>
      </c>
      <c r="Q942" t="n">
        <v>0</v>
      </c>
      <c r="R942" s="2" t="inlineStr"/>
    </row>
    <row r="943" ht="15" customHeight="1">
      <c r="A943" t="inlineStr">
        <is>
          <t>A 61742-2024</t>
        </is>
      </c>
      <c r="B943" s="1" t="n">
        <v>45649.38149305555</v>
      </c>
      <c r="C943" s="1" t="n">
        <v>45900</v>
      </c>
      <c r="D943" t="inlineStr">
        <is>
          <t>JÄMTLANDS LÄN</t>
        </is>
      </c>
      <c r="E943" t="inlineStr">
        <is>
          <t>KROKOM</t>
        </is>
      </c>
      <c r="G943" t="n">
        <v>13.3</v>
      </c>
      <c r="H943" t="n">
        <v>0</v>
      </c>
      <c r="I943" t="n">
        <v>0</v>
      </c>
      <c r="J943" t="n">
        <v>0</v>
      </c>
      <c r="K943" t="n">
        <v>0</v>
      </c>
      <c r="L943" t="n">
        <v>0</v>
      </c>
      <c r="M943" t="n">
        <v>0</v>
      </c>
      <c r="N943" t="n">
        <v>0</v>
      </c>
      <c r="O943" t="n">
        <v>0</v>
      </c>
      <c r="P943" t="n">
        <v>0</v>
      </c>
      <c r="Q943" t="n">
        <v>0</v>
      </c>
      <c r="R943" s="2" t="inlineStr"/>
    </row>
    <row r="944" ht="15" customHeight="1">
      <c r="A944" t="inlineStr">
        <is>
          <t>A 56596-2020</t>
        </is>
      </c>
      <c r="B944" s="1" t="n">
        <v>44133</v>
      </c>
      <c r="C944" s="1" t="n">
        <v>45900</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18841-2025</t>
        </is>
      </c>
      <c r="B945" s="1" t="n">
        <v>45764.40834490741</v>
      </c>
      <c r="C945" s="1" t="n">
        <v>45900</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9963-2025</t>
        </is>
      </c>
      <c r="B946" s="1" t="n">
        <v>45719.37307870371</v>
      </c>
      <c r="C946" s="1" t="n">
        <v>45900</v>
      </c>
      <c r="D946" t="inlineStr">
        <is>
          <t>JÄMTLANDS LÄN</t>
        </is>
      </c>
      <c r="E946" t="inlineStr">
        <is>
          <t>KROKOM</t>
        </is>
      </c>
      <c r="F946" t="inlineStr">
        <is>
          <t>Övriga Aktiebolag</t>
        </is>
      </c>
      <c r="G946" t="n">
        <v>3.7</v>
      </c>
      <c r="H946" t="n">
        <v>0</v>
      </c>
      <c r="I946" t="n">
        <v>0</v>
      </c>
      <c r="J946" t="n">
        <v>0</v>
      </c>
      <c r="K946" t="n">
        <v>0</v>
      </c>
      <c r="L946" t="n">
        <v>0</v>
      </c>
      <c r="M946" t="n">
        <v>0</v>
      </c>
      <c r="N946" t="n">
        <v>0</v>
      </c>
      <c r="O946" t="n">
        <v>0</v>
      </c>
      <c r="P946" t="n">
        <v>0</v>
      </c>
      <c r="Q946" t="n">
        <v>0</v>
      </c>
      <c r="R946" s="2" t="inlineStr"/>
    </row>
    <row r="947" ht="15" customHeight="1">
      <c r="A947" t="inlineStr">
        <is>
          <t>A 15876-2025</t>
        </is>
      </c>
      <c r="B947" s="1" t="n">
        <v>45749.38379629629</v>
      </c>
      <c r="C947" s="1" t="n">
        <v>45900</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34289-2021</t>
        </is>
      </c>
      <c r="B948" s="1" t="n">
        <v>44379.59675925926</v>
      </c>
      <c r="C948" s="1" t="n">
        <v>45900</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46644-2022</t>
        </is>
      </c>
      <c r="B949" s="1" t="n">
        <v>44849.8044212963</v>
      </c>
      <c r="C949" s="1" t="n">
        <v>45900</v>
      </c>
      <c r="D949" t="inlineStr">
        <is>
          <t>JÄMTLANDS LÄN</t>
        </is>
      </c>
      <c r="E949" t="inlineStr">
        <is>
          <t>KROKOM</t>
        </is>
      </c>
      <c r="G949" t="n">
        <v>4.2</v>
      </c>
      <c r="H949" t="n">
        <v>0</v>
      </c>
      <c r="I949" t="n">
        <v>0</v>
      </c>
      <c r="J949" t="n">
        <v>0</v>
      </c>
      <c r="K949" t="n">
        <v>0</v>
      </c>
      <c r="L949" t="n">
        <v>0</v>
      </c>
      <c r="M949" t="n">
        <v>0</v>
      </c>
      <c r="N949" t="n">
        <v>0</v>
      </c>
      <c r="O949" t="n">
        <v>0</v>
      </c>
      <c r="P949" t="n">
        <v>0</v>
      </c>
      <c r="Q949" t="n">
        <v>0</v>
      </c>
      <c r="R949" s="2" t="inlineStr"/>
    </row>
    <row r="950" ht="15" customHeight="1">
      <c r="A950" t="inlineStr">
        <is>
          <t>A 41439-2024</t>
        </is>
      </c>
      <c r="B950" s="1" t="n">
        <v>45560.38056712963</v>
      </c>
      <c r="C950" s="1" t="n">
        <v>45900</v>
      </c>
      <c r="D950" t="inlineStr">
        <is>
          <t>JÄMTLANDS LÄN</t>
        </is>
      </c>
      <c r="E950" t="inlineStr">
        <is>
          <t>KROKOM</t>
        </is>
      </c>
      <c r="F950" t="inlineStr">
        <is>
          <t>Övriga Aktiebolag</t>
        </is>
      </c>
      <c r="G950" t="n">
        <v>9.1</v>
      </c>
      <c r="H950" t="n">
        <v>0</v>
      </c>
      <c r="I950" t="n">
        <v>0</v>
      </c>
      <c r="J950" t="n">
        <v>0</v>
      </c>
      <c r="K950" t="n">
        <v>0</v>
      </c>
      <c r="L950" t="n">
        <v>0</v>
      </c>
      <c r="M950" t="n">
        <v>0</v>
      </c>
      <c r="N950" t="n">
        <v>0</v>
      </c>
      <c r="O950" t="n">
        <v>0</v>
      </c>
      <c r="P950" t="n">
        <v>0</v>
      </c>
      <c r="Q950" t="n">
        <v>0</v>
      </c>
      <c r="R950" s="2" t="inlineStr"/>
    </row>
    <row r="951" ht="15" customHeight="1">
      <c r="A951" t="inlineStr">
        <is>
          <t>A 17840-2025</t>
        </is>
      </c>
      <c r="B951" s="1" t="n">
        <v>45758.58943287037</v>
      </c>
      <c r="C951" s="1" t="n">
        <v>45900</v>
      </c>
      <c r="D951" t="inlineStr">
        <is>
          <t>JÄMTLANDS LÄN</t>
        </is>
      </c>
      <c r="E951" t="inlineStr">
        <is>
          <t>KROKOM</t>
        </is>
      </c>
      <c r="F951" t="inlineStr">
        <is>
          <t>Övriga Aktiebolag</t>
        </is>
      </c>
      <c r="G951" t="n">
        <v>6.7</v>
      </c>
      <c r="H951" t="n">
        <v>0</v>
      </c>
      <c r="I951" t="n">
        <v>0</v>
      </c>
      <c r="J951" t="n">
        <v>0</v>
      </c>
      <c r="K951" t="n">
        <v>0</v>
      </c>
      <c r="L951" t="n">
        <v>0</v>
      </c>
      <c r="M951" t="n">
        <v>0</v>
      </c>
      <c r="N951" t="n">
        <v>0</v>
      </c>
      <c r="O951" t="n">
        <v>0</v>
      </c>
      <c r="P951" t="n">
        <v>0</v>
      </c>
      <c r="Q951" t="n">
        <v>0</v>
      </c>
      <c r="R951" s="2" t="inlineStr"/>
    </row>
    <row r="952" ht="15" customHeight="1">
      <c r="A952" t="inlineStr">
        <is>
          <t>A 1477-2025</t>
        </is>
      </c>
      <c r="B952" s="1" t="n">
        <v>45670</v>
      </c>
      <c r="C952" s="1" t="n">
        <v>45900</v>
      </c>
      <c r="D952" t="inlineStr">
        <is>
          <t>JÄMTLANDS LÄN</t>
        </is>
      </c>
      <c r="E952" t="inlineStr">
        <is>
          <t>KROKOM</t>
        </is>
      </c>
      <c r="G952" t="n">
        <v>7.3</v>
      </c>
      <c r="H952" t="n">
        <v>0</v>
      </c>
      <c r="I952" t="n">
        <v>0</v>
      </c>
      <c r="J952" t="n">
        <v>0</v>
      </c>
      <c r="K952" t="n">
        <v>0</v>
      </c>
      <c r="L952" t="n">
        <v>0</v>
      </c>
      <c r="M952" t="n">
        <v>0</v>
      </c>
      <c r="N952" t="n">
        <v>0</v>
      </c>
      <c r="O952" t="n">
        <v>0</v>
      </c>
      <c r="P952" t="n">
        <v>0</v>
      </c>
      <c r="Q952" t="n">
        <v>0</v>
      </c>
      <c r="R952" s="2" t="inlineStr"/>
    </row>
    <row r="953" ht="15" customHeight="1">
      <c r="A953" t="inlineStr">
        <is>
          <t>A 884-2021</t>
        </is>
      </c>
      <c r="B953" s="1" t="n">
        <v>44206</v>
      </c>
      <c r="C953" s="1" t="n">
        <v>45900</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57149-2023</t>
        </is>
      </c>
      <c r="B954" s="1" t="n">
        <v>45245</v>
      </c>
      <c r="C954" s="1" t="n">
        <v>45900</v>
      </c>
      <c r="D954" t="inlineStr">
        <is>
          <t>JÄMTLANDS LÄN</t>
        </is>
      </c>
      <c r="E954" t="inlineStr">
        <is>
          <t>KROKOM</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30728-2022</t>
        </is>
      </c>
      <c r="B955" s="1" t="n">
        <v>44764</v>
      </c>
      <c r="C955" s="1" t="n">
        <v>45900</v>
      </c>
      <c r="D955" t="inlineStr">
        <is>
          <t>JÄMTLANDS LÄN</t>
        </is>
      </c>
      <c r="E955" t="inlineStr">
        <is>
          <t>KROKOM</t>
        </is>
      </c>
      <c r="G955" t="n">
        <v>6.4</v>
      </c>
      <c r="H955" t="n">
        <v>0</v>
      </c>
      <c r="I955" t="n">
        <v>0</v>
      </c>
      <c r="J955" t="n">
        <v>0</v>
      </c>
      <c r="K955" t="n">
        <v>0</v>
      </c>
      <c r="L955" t="n">
        <v>0</v>
      </c>
      <c r="M955" t="n">
        <v>0</v>
      </c>
      <c r="N955" t="n">
        <v>0</v>
      </c>
      <c r="O955" t="n">
        <v>0</v>
      </c>
      <c r="P955" t="n">
        <v>0</v>
      </c>
      <c r="Q955" t="n">
        <v>0</v>
      </c>
      <c r="R955" s="2" t="inlineStr"/>
    </row>
    <row r="956" ht="15" customHeight="1">
      <c r="A956" t="inlineStr">
        <is>
          <t>A 30729-2022</t>
        </is>
      </c>
      <c r="B956" s="1" t="n">
        <v>44764</v>
      </c>
      <c r="C956" s="1" t="n">
        <v>45900</v>
      </c>
      <c r="D956" t="inlineStr">
        <is>
          <t>JÄMTLANDS LÄN</t>
        </is>
      </c>
      <c r="E956" t="inlineStr">
        <is>
          <t>KROKOM</t>
        </is>
      </c>
      <c r="G956" t="n">
        <v>2.5</v>
      </c>
      <c r="H956" t="n">
        <v>0</v>
      </c>
      <c r="I956" t="n">
        <v>0</v>
      </c>
      <c r="J956" t="n">
        <v>0</v>
      </c>
      <c r="K956" t="n">
        <v>0</v>
      </c>
      <c r="L956" t="n">
        <v>0</v>
      </c>
      <c r="M956" t="n">
        <v>0</v>
      </c>
      <c r="N956" t="n">
        <v>0</v>
      </c>
      <c r="O956" t="n">
        <v>0</v>
      </c>
      <c r="P956" t="n">
        <v>0</v>
      </c>
      <c r="Q956" t="n">
        <v>0</v>
      </c>
      <c r="R956" s="2" t="inlineStr"/>
    </row>
    <row r="957" ht="15" customHeight="1">
      <c r="A957" t="inlineStr">
        <is>
          <t>A 6185-2025</t>
        </is>
      </c>
      <c r="B957" s="1" t="n">
        <v>45698.45653935185</v>
      </c>
      <c r="C957" s="1" t="n">
        <v>45900</v>
      </c>
      <c r="D957" t="inlineStr">
        <is>
          <t>JÄMTLANDS LÄN</t>
        </is>
      </c>
      <c r="E957" t="inlineStr">
        <is>
          <t>KROKOM</t>
        </is>
      </c>
      <c r="G957" t="n">
        <v>14.7</v>
      </c>
      <c r="H957" t="n">
        <v>0</v>
      </c>
      <c r="I957" t="n">
        <v>0</v>
      </c>
      <c r="J957" t="n">
        <v>0</v>
      </c>
      <c r="K957" t="n">
        <v>0</v>
      </c>
      <c r="L957" t="n">
        <v>0</v>
      </c>
      <c r="M957" t="n">
        <v>0</v>
      </c>
      <c r="N957" t="n">
        <v>0</v>
      </c>
      <c r="O957" t="n">
        <v>0</v>
      </c>
      <c r="P957" t="n">
        <v>0</v>
      </c>
      <c r="Q957" t="n">
        <v>0</v>
      </c>
      <c r="R957" s="2" t="inlineStr"/>
    </row>
    <row r="958" ht="15" customHeight="1">
      <c r="A958" t="inlineStr">
        <is>
          <t>A 53771-2022</t>
        </is>
      </c>
      <c r="B958" s="1" t="n">
        <v>44875</v>
      </c>
      <c r="C958" s="1" t="n">
        <v>45900</v>
      </c>
      <c r="D958" t="inlineStr">
        <is>
          <t>JÄMTLANDS LÄN</t>
        </is>
      </c>
      <c r="E958" t="inlineStr">
        <is>
          <t>KROKOM</t>
        </is>
      </c>
      <c r="G958" t="n">
        <v>8.1</v>
      </c>
      <c r="H958" t="n">
        <v>0</v>
      </c>
      <c r="I958" t="n">
        <v>0</v>
      </c>
      <c r="J958" t="n">
        <v>0</v>
      </c>
      <c r="K958" t="n">
        <v>0</v>
      </c>
      <c r="L958" t="n">
        <v>0</v>
      </c>
      <c r="M958" t="n">
        <v>0</v>
      </c>
      <c r="N958" t="n">
        <v>0</v>
      </c>
      <c r="O958" t="n">
        <v>0</v>
      </c>
      <c r="P958" t="n">
        <v>0</v>
      </c>
      <c r="Q958" t="n">
        <v>0</v>
      </c>
      <c r="R958" s="2" t="inlineStr"/>
    </row>
    <row r="959" ht="15" customHeight="1">
      <c r="A959" t="inlineStr">
        <is>
          <t>A 7630-2023</t>
        </is>
      </c>
      <c r="B959" s="1" t="n">
        <v>44972.55690972223</v>
      </c>
      <c r="C959" s="1" t="n">
        <v>45900</v>
      </c>
      <c r="D959" t="inlineStr">
        <is>
          <t>JÄMTLANDS LÄN</t>
        </is>
      </c>
      <c r="E959" t="inlineStr">
        <is>
          <t>KROKOM</t>
        </is>
      </c>
      <c r="G959" t="n">
        <v>2.1</v>
      </c>
      <c r="H959" t="n">
        <v>0</v>
      </c>
      <c r="I959" t="n">
        <v>0</v>
      </c>
      <c r="J959" t="n">
        <v>0</v>
      </c>
      <c r="K959" t="n">
        <v>0</v>
      </c>
      <c r="L959" t="n">
        <v>0</v>
      </c>
      <c r="M959" t="n">
        <v>0</v>
      </c>
      <c r="N959" t="n">
        <v>0</v>
      </c>
      <c r="O959" t="n">
        <v>0</v>
      </c>
      <c r="P959" t="n">
        <v>0</v>
      </c>
      <c r="Q959" t="n">
        <v>0</v>
      </c>
      <c r="R959" s="2" t="inlineStr"/>
    </row>
    <row r="960" ht="15" customHeight="1">
      <c r="A960" t="inlineStr">
        <is>
          <t>A 2062-2021</t>
        </is>
      </c>
      <c r="B960" s="1" t="n">
        <v>44211</v>
      </c>
      <c r="C960" s="1" t="n">
        <v>45900</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6042-2025</t>
        </is>
      </c>
      <c r="B961" s="1" t="n">
        <v>45695</v>
      </c>
      <c r="C961" s="1" t="n">
        <v>45900</v>
      </c>
      <c r="D961" t="inlineStr">
        <is>
          <t>JÄMTLANDS LÄN</t>
        </is>
      </c>
      <c r="E961" t="inlineStr">
        <is>
          <t>KROKOM</t>
        </is>
      </c>
      <c r="F961" t="inlineStr">
        <is>
          <t>Övriga Aktiebolag</t>
        </is>
      </c>
      <c r="G961" t="n">
        <v>8.9</v>
      </c>
      <c r="H961" t="n">
        <v>0</v>
      </c>
      <c r="I961" t="n">
        <v>0</v>
      </c>
      <c r="J961" t="n">
        <v>0</v>
      </c>
      <c r="K961" t="n">
        <v>0</v>
      </c>
      <c r="L961" t="n">
        <v>0</v>
      </c>
      <c r="M961" t="n">
        <v>0</v>
      </c>
      <c r="N961" t="n">
        <v>0</v>
      </c>
      <c r="O961" t="n">
        <v>0</v>
      </c>
      <c r="P961" t="n">
        <v>0</v>
      </c>
      <c r="Q961" t="n">
        <v>0</v>
      </c>
      <c r="R961" s="2" t="inlineStr"/>
    </row>
    <row r="962" ht="15" customHeight="1">
      <c r="A962" t="inlineStr">
        <is>
          <t>A 26414-2024</t>
        </is>
      </c>
      <c r="B962" s="1" t="n">
        <v>45469</v>
      </c>
      <c r="C962" s="1" t="n">
        <v>45900</v>
      </c>
      <c r="D962" t="inlineStr">
        <is>
          <t>JÄMTLANDS LÄN</t>
        </is>
      </c>
      <c r="E962" t="inlineStr">
        <is>
          <t>KROKOM</t>
        </is>
      </c>
      <c r="G962" t="n">
        <v>0.8</v>
      </c>
      <c r="H962" t="n">
        <v>0</v>
      </c>
      <c r="I962" t="n">
        <v>0</v>
      </c>
      <c r="J962" t="n">
        <v>0</v>
      </c>
      <c r="K962" t="n">
        <v>0</v>
      </c>
      <c r="L962" t="n">
        <v>0</v>
      </c>
      <c r="M962" t="n">
        <v>0</v>
      </c>
      <c r="N962" t="n">
        <v>0</v>
      </c>
      <c r="O962" t="n">
        <v>0</v>
      </c>
      <c r="P962" t="n">
        <v>0</v>
      </c>
      <c r="Q962" t="n">
        <v>0</v>
      </c>
      <c r="R962" s="2" t="inlineStr"/>
    </row>
    <row r="963" ht="15" customHeight="1">
      <c r="A963" t="inlineStr">
        <is>
          <t>A 10581-2025</t>
        </is>
      </c>
      <c r="B963" s="1" t="n">
        <v>45721.54896990741</v>
      </c>
      <c r="C963" s="1" t="n">
        <v>45900</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10632-2025</t>
        </is>
      </c>
      <c r="B964" s="1" t="n">
        <v>45721</v>
      </c>
      <c r="C964" s="1" t="n">
        <v>45900</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47060-2024</t>
        </is>
      </c>
      <c r="B965" s="1" t="n">
        <v>45586.46927083333</v>
      </c>
      <c r="C965" s="1" t="n">
        <v>45900</v>
      </c>
      <c r="D965" t="inlineStr">
        <is>
          <t>JÄMTLANDS LÄN</t>
        </is>
      </c>
      <c r="E965" t="inlineStr">
        <is>
          <t>KROKOM</t>
        </is>
      </c>
      <c r="G965" t="n">
        <v>2.9</v>
      </c>
      <c r="H965" t="n">
        <v>0</v>
      </c>
      <c r="I965" t="n">
        <v>0</v>
      </c>
      <c r="J965" t="n">
        <v>0</v>
      </c>
      <c r="K965" t="n">
        <v>0</v>
      </c>
      <c r="L965" t="n">
        <v>0</v>
      </c>
      <c r="M965" t="n">
        <v>0</v>
      </c>
      <c r="N965" t="n">
        <v>0</v>
      </c>
      <c r="O965" t="n">
        <v>0</v>
      </c>
      <c r="P965" t="n">
        <v>0</v>
      </c>
      <c r="Q965" t="n">
        <v>0</v>
      </c>
      <c r="R965" s="2" t="inlineStr"/>
    </row>
    <row r="966" ht="15" customHeight="1">
      <c r="A966" t="inlineStr">
        <is>
          <t>A 40394-2024</t>
        </is>
      </c>
      <c r="B966" s="1" t="n">
        <v>45555.43584490741</v>
      </c>
      <c r="C966" s="1" t="n">
        <v>45900</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47625-2023</t>
        </is>
      </c>
      <c r="B967" s="1" t="n">
        <v>45203</v>
      </c>
      <c r="C967" s="1" t="n">
        <v>45900</v>
      </c>
      <c r="D967" t="inlineStr">
        <is>
          <t>JÄMTLANDS LÄN</t>
        </is>
      </c>
      <c r="E967" t="inlineStr">
        <is>
          <t>KROKOM</t>
        </is>
      </c>
      <c r="G967" t="n">
        <v>1.1</v>
      </c>
      <c r="H967" t="n">
        <v>0</v>
      </c>
      <c r="I967" t="n">
        <v>0</v>
      </c>
      <c r="J967" t="n">
        <v>0</v>
      </c>
      <c r="K967" t="n">
        <v>0</v>
      </c>
      <c r="L967" t="n">
        <v>0</v>
      </c>
      <c r="M967" t="n">
        <v>0</v>
      </c>
      <c r="N967" t="n">
        <v>0</v>
      </c>
      <c r="O967" t="n">
        <v>0</v>
      </c>
      <c r="P967" t="n">
        <v>0</v>
      </c>
      <c r="Q967" t="n">
        <v>0</v>
      </c>
      <c r="R967" s="2" t="inlineStr"/>
    </row>
    <row r="968" ht="15" customHeight="1">
      <c r="A968" t="inlineStr">
        <is>
          <t>A 50270-2023</t>
        </is>
      </c>
      <c r="B968" s="1" t="n">
        <v>45216.3965625</v>
      </c>
      <c r="C968" s="1" t="n">
        <v>45900</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57514-2023</t>
        </is>
      </c>
      <c r="B969" s="1" t="n">
        <v>45246</v>
      </c>
      <c r="C969" s="1" t="n">
        <v>45900</v>
      </c>
      <c r="D969" t="inlineStr">
        <is>
          <t>JÄMTLANDS LÄN</t>
        </is>
      </c>
      <c r="E969" t="inlineStr">
        <is>
          <t>KROKOM</t>
        </is>
      </c>
      <c r="G969" t="n">
        <v>5.2</v>
      </c>
      <c r="H969" t="n">
        <v>0</v>
      </c>
      <c r="I969" t="n">
        <v>0</v>
      </c>
      <c r="J969" t="n">
        <v>0</v>
      </c>
      <c r="K969" t="n">
        <v>0</v>
      </c>
      <c r="L969" t="n">
        <v>0</v>
      </c>
      <c r="M969" t="n">
        <v>0</v>
      </c>
      <c r="N969" t="n">
        <v>0</v>
      </c>
      <c r="O969" t="n">
        <v>0</v>
      </c>
      <c r="P969" t="n">
        <v>0</v>
      </c>
      <c r="Q969" t="n">
        <v>0</v>
      </c>
      <c r="R969" s="2" t="inlineStr"/>
    </row>
    <row r="970" ht="15" customHeight="1">
      <c r="A970" t="inlineStr">
        <is>
          <t>A 65236-2023</t>
        </is>
      </c>
      <c r="B970" s="1" t="n">
        <v>45289</v>
      </c>
      <c r="C970" s="1" t="n">
        <v>45900</v>
      </c>
      <c r="D970" t="inlineStr">
        <is>
          <t>JÄMTLANDS LÄN</t>
        </is>
      </c>
      <c r="E970" t="inlineStr">
        <is>
          <t>KROKOM</t>
        </is>
      </c>
      <c r="G970" t="n">
        <v>0.1</v>
      </c>
      <c r="H970" t="n">
        <v>0</v>
      </c>
      <c r="I970" t="n">
        <v>0</v>
      </c>
      <c r="J970" t="n">
        <v>0</v>
      </c>
      <c r="K970" t="n">
        <v>0</v>
      </c>
      <c r="L970" t="n">
        <v>0</v>
      </c>
      <c r="M970" t="n">
        <v>0</v>
      </c>
      <c r="N970" t="n">
        <v>0</v>
      </c>
      <c r="O970" t="n">
        <v>0</v>
      </c>
      <c r="P970" t="n">
        <v>0</v>
      </c>
      <c r="Q970" t="n">
        <v>0</v>
      </c>
      <c r="R970" s="2" t="inlineStr"/>
    </row>
    <row r="971" ht="15" customHeight="1">
      <c r="A971" t="inlineStr">
        <is>
          <t>A 12471-2024</t>
        </is>
      </c>
      <c r="B971" s="1" t="n">
        <v>45378</v>
      </c>
      <c r="C971" s="1" t="n">
        <v>45900</v>
      </c>
      <c r="D971" t="inlineStr">
        <is>
          <t>JÄMTLANDS LÄN</t>
        </is>
      </c>
      <c r="E971" t="inlineStr">
        <is>
          <t>KROKOM</t>
        </is>
      </c>
      <c r="G971" t="n">
        <v>20.2</v>
      </c>
      <c r="H971" t="n">
        <v>0</v>
      </c>
      <c r="I971" t="n">
        <v>0</v>
      </c>
      <c r="J971" t="n">
        <v>0</v>
      </c>
      <c r="K971" t="n">
        <v>0</v>
      </c>
      <c r="L971" t="n">
        <v>0</v>
      </c>
      <c r="M971" t="n">
        <v>0</v>
      </c>
      <c r="N971" t="n">
        <v>0</v>
      </c>
      <c r="O971" t="n">
        <v>0</v>
      </c>
      <c r="P971" t="n">
        <v>0</v>
      </c>
      <c r="Q971" t="n">
        <v>0</v>
      </c>
      <c r="R971" s="2" t="inlineStr"/>
    </row>
    <row r="972" ht="15" customHeight="1">
      <c r="A972" t="inlineStr">
        <is>
          <t>A 53055-2023</t>
        </is>
      </c>
      <c r="B972" s="1" t="n">
        <v>45226</v>
      </c>
      <c r="C972" s="1" t="n">
        <v>45900</v>
      </c>
      <c r="D972" t="inlineStr">
        <is>
          <t>JÄMTLANDS LÄN</t>
        </is>
      </c>
      <c r="E972" t="inlineStr">
        <is>
          <t>KROKOM</t>
        </is>
      </c>
      <c r="G972" t="n">
        <v>3.4</v>
      </c>
      <c r="H972" t="n">
        <v>0</v>
      </c>
      <c r="I972" t="n">
        <v>0</v>
      </c>
      <c r="J972" t="n">
        <v>0</v>
      </c>
      <c r="K972" t="n">
        <v>0</v>
      </c>
      <c r="L972" t="n">
        <v>0</v>
      </c>
      <c r="M972" t="n">
        <v>0</v>
      </c>
      <c r="N972" t="n">
        <v>0</v>
      </c>
      <c r="O972" t="n">
        <v>0</v>
      </c>
      <c r="P972" t="n">
        <v>0</v>
      </c>
      <c r="Q972" t="n">
        <v>0</v>
      </c>
      <c r="R972" s="2" t="inlineStr"/>
    </row>
    <row r="973" ht="15" customHeight="1">
      <c r="A973" t="inlineStr">
        <is>
          <t>A 59778-2020</t>
        </is>
      </c>
      <c r="B973" s="1" t="n">
        <v>44148</v>
      </c>
      <c r="C973" s="1" t="n">
        <v>45900</v>
      </c>
      <c r="D973" t="inlineStr">
        <is>
          <t>JÄMTLANDS LÄN</t>
        </is>
      </c>
      <c r="E973" t="inlineStr">
        <is>
          <t>KROKOM</t>
        </is>
      </c>
      <c r="G973" t="n">
        <v>39.3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45900</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41971-2024</t>
        </is>
      </c>
      <c r="B975" s="1" t="n">
        <v>45561.61509259259</v>
      </c>
      <c r="C975" s="1" t="n">
        <v>45900</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18583-2025</t>
        </is>
      </c>
      <c r="B976" s="1" t="n">
        <v>45763.46918981482</v>
      </c>
      <c r="C976" s="1" t="n">
        <v>45900</v>
      </c>
      <c r="D976" t="inlineStr">
        <is>
          <t>JÄMTLANDS LÄN</t>
        </is>
      </c>
      <c r="E976" t="inlineStr">
        <is>
          <t>KROKOM</t>
        </is>
      </c>
      <c r="G976" t="n">
        <v>1.5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45900</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45900</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50951-2024</t>
        </is>
      </c>
      <c r="B979" s="1" t="n">
        <v>45603.28460648148</v>
      </c>
      <c r="C979" s="1" t="n">
        <v>45900</v>
      </c>
      <c r="D979" t="inlineStr">
        <is>
          <t>JÄMTLANDS LÄN</t>
        </is>
      </c>
      <c r="E979" t="inlineStr">
        <is>
          <t>KROKOM</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52666-2024</t>
        </is>
      </c>
      <c r="B980" s="1" t="n">
        <v>45610.36561342593</v>
      </c>
      <c r="C980" s="1" t="n">
        <v>45900</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7391-2025</t>
        </is>
      </c>
      <c r="B981" s="1" t="n">
        <v>45705.33446759259</v>
      </c>
      <c r="C981" s="1" t="n">
        <v>45900</v>
      </c>
      <c r="D981" t="inlineStr">
        <is>
          <t>JÄMTLANDS LÄN</t>
        </is>
      </c>
      <c r="E981" t="inlineStr">
        <is>
          <t>KROKOM</t>
        </is>
      </c>
      <c r="F981" t="inlineStr">
        <is>
          <t>Övriga Aktiebolag</t>
        </is>
      </c>
      <c r="G981" t="n">
        <v>7.9</v>
      </c>
      <c r="H981" t="n">
        <v>0</v>
      </c>
      <c r="I981" t="n">
        <v>0</v>
      </c>
      <c r="J981" t="n">
        <v>0</v>
      </c>
      <c r="K981" t="n">
        <v>0</v>
      </c>
      <c r="L981" t="n">
        <v>0</v>
      </c>
      <c r="M981" t="n">
        <v>0</v>
      </c>
      <c r="N981" t="n">
        <v>0</v>
      </c>
      <c r="O981" t="n">
        <v>0</v>
      </c>
      <c r="P981" t="n">
        <v>0</v>
      </c>
      <c r="Q981" t="n">
        <v>0</v>
      </c>
      <c r="R981" s="2" t="inlineStr"/>
    </row>
    <row r="982" ht="15" customHeight="1">
      <c r="A982" t="inlineStr">
        <is>
          <t>A 55455-2022</t>
        </is>
      </c>
      <c r="B982" s="1" t="n">
        <v>44887</v>
      </c>
      <c r="C982" s="1" t="n">
        <v>45900</v>
      </c>
      <c r="D982" t="inlineStr">
        <is>
          <t>JÄMTLANDS LÄN</t>
        </is>
      </c>
      <c r="E982" t="inlineStr">
        <is>
          <t>KROKOM</t>
        </is>
      </c>
      <c r="F982" t="inlineStr">
        <is>
          <t>Övriga Aktiebolag</t>
        </is>
      </c>
      <c r="G982" t="n">
        <v>5.2</v>
      </c>
      <c r="H982" t="n">
        <v>0</v>
      </c>
      <c r="I982" t="n">
        <v>0</v>
      </c>
      <c r="J982" t="n">
        <v>0</v>
      </c>
      <c r="K982" t="n">
        <v>0</v>
      </c>
      <c r="L982" t="n">
        <v>0</v>
      </c>
      <c r="M982" t="n">
        <v>0</v>
      </c>
      <c r="N982" t="n">
        <v>0</v>
      </c>
      <c r="O982" t="n">
        <v>0</v>
      </c>
      <c r="P982" t="n">
        <v>0</v>
      </c>
      <c r="Q982" t="n">
        <v>0</v>
      </c>
      <c r="R982" s="2" t="inlineStr"/>
    </row>
    <row r="983" ht="15" customHeight="1">
      <c r="A983" t="inlineStr">
        <is>
          <t>A 53916-2023</t>
        </is>
      </c>
      <c r="B983" s="1" t="n">
        <v>45231</v>
      </c>
      <c r="C983" s="1" t="n">
        <v>45900</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16343-2025</t>
        </is>
      </c>
      <c r="B984" s="1" t="n">
        <v>45751.37320601852</v>
      </c>
      <c r="C984" s="1" t="n">
        <v>45900</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34794-2022</t>
        </is>
      </c>
      <c r="B985" s="1" t="n">
        <v>44795</v>
      </c>
      <c r="C985" s="1" t="n">
        <v>45900</v>
      </c>
      <c r="D985" t="inlineStr">
        <is>
          <t>JÄMTLANDS LÄN</t>
        </is>
      </c>
      <c r="E985" t="inlineStr">
        <is>
          <t>KROKOM</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57726-2020</t>
        </is>
      </c>
      <c r="B986" s="1" t="n">
        <v>44140</v>
      </c>
      <c r="C986" s="1" t="n">
        <v>45900</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58390-2021</t>
        </is>
      </c>
      <c r="B987" s="1" t="n">
        <v>44488.47928240741</v>
      </c>
      <c r="C987" s="1" t="n">
        <v>45900</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29224-2023</t>
        </is>
      </c>
      <c r="B988" s="1" t="n">
        <v>45097</v>
      </c>
      <c r="C988" s="1" t="n">
        <v>45900</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52869-2023</t>
        </is>
      </c>
      <c r="B989" s="1" t="n">
        <v>45226</v>
      </c>
      <c r="C989" s="1" t="n">
        <v>45900</v>
      </c>
      <c r="D989" t="inlineStr">
        <is>
          <t>JÄMTLANDS LÄN</t>
        </is>
      </c>
      <c r="E989" t="inlineStr">
        <is>
          <t>KROKOM</t>
        </is>
      </c>
      <c r="G989" t="n">
        <v>0</v>
      </c>
      <c r="H989" t="n">
        <v>0</v>
      </c>
      <c r="I989" t="n">
        <v>0</v>
      </c>
      <c r="J989" t="n">
        <v>0</v>
      </c>
      <c r="K989" t="n">
        <v>0</v>
      </c>
      <c r="L989" t="n">
        <v>0</v>
      </c>
      <c r="M989" t="n">
        <v>0</v>
      </c>
      <c r="N989" t="n">
        <v>0</v>
      </c>
      <c r="O989" t="n">
        <v>0</v>
      </c>
      <c r="P989" t="n">
        <v>0</v>
      </c>
      <c r="Q989" t="n">
        <v>0</v>
      </c>
      <c r="R989" s="2" t="inlineStr"/>
    </row>
    <row r="990" ht="15" customHeight="1">
      <c r="A990" t="inlineStr">
        <is>
          <t>A 5722-2023</t>
        </is>
      </c>
      <c r="B990" s="1" t="n">
        <v>44961</v>
      </c>
      <c r="C990" s="1" t="n">
        <v>45900</v>
      </c>
      <c r="D990" t="inlineStr">
        <is>
          <t>JÄMTLANDS LÄN</t>
        </is>
      </c>
      <c r="E990" t="inlineStr">
        <is>
          <t>KROKOM</t>
        </is>
      </c>
      <c r="G990" t="n">
        <v>12.3</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45900</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36567-2021</t>
        </is>
      </c>
      <c r="B992" s="1" t="n">
        <v>44391</v>
      </c>
      <c r="C992" s="1" t="n">
        <v>45900</v>
      </c>
      <c r="D992" t="inlineStr">
        <is>
          <t>JÄMTLANDS LÄN</t>
        </is>
      </c>
      <c r="E992" t="inlineStr">
        <is>
          <t>KROKOM</t>
        </is>
      </c>
      <c r="G992" t="n">
        <v>3.5</v>
      </c>
      <c r="H992" t="n">
        <v>0</v>
      </c>
      <c r="I992" t="n">
        <v>0</v>
      </c>
      <c r="J992" t="n">
        <v>0</v>
      </c>
      <c r="K992" t="n">
        <v>0</v>
      </c>
      <c r="L992" t="n">
        <v>0</v>
      </c>
      <c r="M992" t="n">
        <v>0</v>
      </c>
      <c r="N992" t="n">
        <v>0</v>
      </c>
      <c r="O992" t="n">
        <v>0</v>
      </c>
      <c r="P992" t="n">
        <v>0</v>
      </c>
      <c r="Q992" t="n">
        <v>0</v>
      </c>
      <c r="R992" s="2" t="inlineStr"/>
    </row>
    <row r="993" ht="15" customHeight="1">
      <c r="A993" t="inlineStr">
        <is>
          <t>A 61767-2024</t>
        </is>
      </c>
      <c r="B993" s="1" t="n">
        <v>45649.45143518518</v>
      </c>
      <c r="C993" s="1" t="n">
        <v>45900</v>
      </c>
      <c r="D993" t="inlineStr">
        <is>
          <t>JÄMTLANDS LÄN</t>
        </is>
      </c>
      <c r="E993" t="inlineStr">
        <is>
          <t>KROKOM</t>
        </is>
      </c>
      <c r="G993" t="n">
        <v>3.1</v>
      </c>
      <c r="H993" t="n">
        <v>0</v>
      </c>
      <c r="I993" t="n">
        <v>0</v>
      </c>
      <c r="J993" t="n">
        <v>0</v>
      </c>
      <c r="K993" t="n">
        <v>0</v>
      </c>
      <c r="L993" t="n">
        <v>0</v>
      </c>
      <c r="M993" t="n">
        <v>0</v>
      </c>
      <c r="N993" t="n">
        <v>0</v>
      </c>
      <c r="O993" t="n">
        <v>0</v>
      </c>
      <c r="P993" t="n">
        <v>0</v>
      </c>
      <c r="Q993" t="n">
        <v>0</v>
      </c>
      <c r="R993" s="2" t="inlineStr"/>
    </row>
    <row r="994" ht="15" customHeight="1">
      <c r="A994" t="inlineStr">
        <is>
          <t>A 23214-2024</t>
        </is>
      </c>
      <c r="B994" s="1" t="n">
        <v>45452.55271990741</v>
      </c>
      <c r="C994" s="1" t="n">
        <v>45900</v>
      </c>
      <c r="D994" t="inlineStr">
        <is>
          <t>JÄMTLANDS LÄN</t>
        </is>
      </c>
      <c r="E994" t="inlineStr">
        <is>
          <t>KROKOM</t>
        </is>
      </c>
      <c r="F994" t="inlineStr">
        <is>
          <t>Övriga Aktiebolag</t>
        </is>
      </c>
      <c r="G994" t="n">
        <v>0.4</v>
      </c>
      <c r="H994" t="n">
        <v>0</v>
      </c>
      <c r="I994" t="n">
        <v>0</v>
      </c>
      <c r="J994" t="n">
        <v>0</v>
      </c>
      <c r="K994" t="n">
        <v>0</v>
      </c>
      <c r="L994" t="n">
        <v>0</v>
      </c>
      <c r="M994" t="n">
        <v>0</v>
      </c>
      <c r="N994" t="n">
        <v>0</v>
      </c>
      <c r="O994" t="n">
        <v>0</v>
      </c>
      <c r="P994" t="n">
        <v>0</v>
      </c>
      <c r="Q994" t="n">
        <v>0</v>
      </c>
      <c r="R994" s="2" t="inlineStr"/>
    </row>
    <row r="995" ht="15" customHeight="1">
      <c r="A995" t="inlineStr">
        <is>
          <t>A 50177-2021</t>
        </is>
      </c>
      <c r="B995" s="1" t="n">
        <v>44456</v>
      </c>
      <c r="C995" s="1" t="n">
        <v>45900</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15209-2025</t>
        </is>
      </c>
      <c r="B996" s="1" t="n">
        <v>45744</v>
      </c>
      <c r="C996" s="1" t="n">
        <v>45900</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14234-2025</t>
        </is>
      </c>
      <c r="B997" s="1" t="n">
        <v>45740.60405092593</v>
      </c>
      <c r="C997" s="1" t="n">
        <v>45900</v>
      </c>
      <c r="D997" t="inlineStr">
        <is>
          <t>JÄMTLANDS LÄN</t>
        </is>
      </c>
      <c r="E997" t="inlineStr">
        <is>
          <t>KROKOM</t>
        </is>
      </c>
      <c r="F997" t="inlineStr">
        <is>
          <t>Övriga statliga verk och myndigheter</t>
        </is>
      </c>
      <c r="G997" t="n">
        <v>1.5</v>
      </c>
      <c r="H997" t="n">
        <v>0</v>
      </c>
      <c r="I997" t="n">
        <v>0</v>
      </c>
      <c r="J997" t="n">
        <v>0</v>
      </c>
      <c r="K997" t="n">
        <v>0</v>
      </c>
      <c r="L997" t="n">
        <v>0</v>
      </c>
      <c r="M997" t="n">
        <v>0</v>
      </c>
      <c r="N997" t="n">
        <v>0</v>
      </c>
      <c r="O997" t="n">
        <v>0</v>
      </c>
      <c r="P997" t="n">
        <v>0</v>
      </c>
      <c r="Q997" t="n">
        <v>0</v>
      </c>
      <c r="R997" s="2" t="inlineStr"/>
    </row>
    <row r="998" ht="15" customHeight="1">
      <c r="A998" t="inlineStr">
        <is>
          <t>A 29936-2023</t>
        </is>
      </c>
      <c r="B998" s="1" t="n">
        <v>45107</v>
      </c>
      <c r="C998" s="1" t="n">
        <v>45900</v>
      </c>
      <c r="D998" t="inlineStr">
        <is>
          <t>JÄMTLANDS LÄN</t>
        </is>
      </c>
      <c r="E998" t="inlineStr">
        <is>
          <t>KROKOM</t>
        </is>
      </c>
      <c r="G998" t="n">
        <v>77.40000000000001</v>
      </c>
      <c r="H998" t="n">
        <v>0</v>
      </c>
      <c r="I998" t="n">
        <v>0</v>
      </c>
      <c r="J998" t="n">
        <v>0</v>
      </c>
      <c r="K998" t="n">
        <v>0</v>
      </c>
      <c r="L998" t="n">
        <v>0</v>
      </c>
      <c r="M998" t="n">
        <v>0</v>
      </c>
      <c r="N998" t="n">
        <v>0</v>
      </c>
      <c r="O998" t="n">
        <v>0</v>
      </c>
      <c r="P998" t="n">
        <v>0</v>
      </c>
      <c r="Q998" t="n">
        <v>0</v>
      </c>
      <c r="R998" s="2" t="inlineStr"/>
    </row>
    <row r="999" ht="15" customHeight="1">
      <c r="A999" t="inlineStr">
        <is>
          <t>A 16548-2025</t>
        </is>
      </c>
      <c r="B999" s="1" t="n">
        <v>45751.6877662037</v>
      </c>
      <c r="C999" s="1" t="n">
        <v>45900</v>
      </c>
      <c r="D999" t="inlineStr">
        <is>
          <t>JÄMTLANDS LÄN</t>
        </is>
      </c>
      <c r="E999" t="inlineStr">
        <is>
          <t>KROKOM</t>
        </is>
      </c>
      <c r="F999" t="inlineStr">
        <is>
          <t>Övriga Aktiebolag</t>
        </is>
      </c>
      <c r="G999" t="n">
        <v>10.9</v>
      </c>
      <c r="H999" t="n">
        <v>0</v>
      </c>
      <c r="I999" t="n">
        <v>0</v>
      </c>
      <c r="J999" t="n">
        <v>0</v>
      </c>
      <c r="K999" t="n">
        <v>0</v>
      </c>
      <c r="L999" t="n">
        <v>0</v>
      </c>
      <c r="M999" t="n">
        <v>0</v>
      </c>
      <c r="N999" t="n">
        <v>0</v>
      </c>
      <c r="O999" t="n">
        <v>0</v>
      </c>
      <c r="P999" t="n">
        <v>0</v>
      </c>
      <c r="Q999" t="n">
        <v>0</v>
      </c>
      <c r="R999" s="2" t="inlineStr"/>
    </row>
    <row r="1000" ht="15" customHeight="1">
      <c r="A1000" t="inlineStr">
        <is>
          <t>A 16278-2025</t>
        </is>
      </c>
      <c r="B1000" s="1" t="n">
        <v>45751.28243055556</v>
      </c>
      <c r="C1000" s="1" t="n">
        <v>45900</v>
      </c>
      <c r="D1000" t="inlineStr">
        <is>
          <t>JÄMTLANDS LÄN</t>
        </is>
      </c>
      <c r="E1000" t="inlineStr">
        <is>
          <t>KROKOM</t>
        </is>
      </c>
      <c r="F1000" t="inlineStr">
        <is>
          <t>Övriga Aktiebolag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55043-2024</t>
        </is>
      </c>
      <c r="B1001" s="1" t="n">
        <v>45621</v>
      </c>
      <c r="C1001" s="1" t="n">
        <v>45900</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14233-2025</t>
        </is>
      </c>
      <c r="B1002" s="1" t="n">
        <v>45740.60347222222</v>
      </c>
      <c r="C1002" s="1" t="n">
        <v>45900</v>
      </c>
      <c r="D1002" t="inlineStr">
        <is>
          <t>JÄMTLANDS LÄN</t>
        </is>
      </c>
      <c r="E1002" t="inlineStr">
        <is>
          <t>KROKOM</t>
        </is>
      </c>
      <c r="F1002" t="inlineStr">
        <is>
          <t>Övriga statliga verk och myndigheter</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60173-2024</t>
        </is>
      </c>
      <c r="B1003" s="1" t="n">
        <v>45642.63666666667</v>
      </c>
      <c r="C1003" s="1" t="n">
        <v>45900</v>
      </c>
      <c r="D1003" t="inlineStr">
        <is>
          <t>JÄMTLANDS LÄN</t>
        </is>
      </c>
      <c r="E1003" t="inlineStr">
        <is>
          <t>KROKOM</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12188-2024</t>
        </is>
      </c>
      <c r="B1004" s="1" t="n">
        <v>45377</v>
      </c>
      <c r="C1004" s="1" t="n">
        <v>45900</v>
      </c>
      <c r="D1004" t="inlineStr">
        <is>
          <t>JÄMTLANDS LÄN</t>
        </is>
      </c>
      <c r="E1004" t="inlineStr">
        <is>
          <t>KROKOM</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41497-2024</t>
        </is>
      </c>
      <c r="B1005" s="1" t="n">
        <v>45560.45841435185</v>
      </c>
      <c r="C1005" s="1" t="n">
        <v>45900</v>
      </c>
      <c r="D1005" t="inlineStr">
        <is>
          <t>JÄMTLANDS LÄN</t>
        </is>
      </c>
      <c r="E1005" t="inlineStr">
        <is>
          <t>KROKOM</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42439-2023</t>
        </is>
      </c>
      <c r="B1006" s="1" t="n">
        <v>45180.6391087963</v>
      </c>
      <c r="C1006" s="1" t="n">
        <v>45900</v>
      </c>
      <c r="D1006" t="inlineStr">
        <is>
          <t>JÄMTLANDS LÄN</t>
        </is>
      </c>
      <c r="E1006" t="inlineStr">
        <is>
          <t>KROKOM</t>
        </is>
      </c>
      <c r="F1006" t="inlineStr">
        <is>
          <t>Övriga Aktiebolag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60680-2023</t>
        </is>
      </c>
      <c r="B1007" s="1" t="n">
        <v>45260</v>
      </c>
      <c r="C1007" s="1" t="n">
        <v>45900</v>
      </c>
      <c r="D1007" t="inlineStr">
        <is>
          <t>JÄMTLANDS LÄN</t>
        </is>
      </c>
      <c r="E1007" t="inlineStr">
        <is>
          <t>KROKOM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71572-2021</t>
        </is>
      </c>
      <c r="B1008" s="1" t="n">
        <v>44540</v>
      </c>
      <c r="C1008" s="1" t="n">
        <v>45900</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51939-2024</t>
        </is>
      </c>
      <c r="B1009" s="1" t="n">
        <v>45607.63211805555</v>
      </c>
      <c r="C1009" s="1" t="n">
        <v>45900</v>
      </c>
      <c r="D1009" t="inlineStr">
        <is>
          <t>JÄMTLANDS LÄN</t>
        </is>
      </c>
      <c r="E1009" t="inlineStr">
        <is>
          <t>KROKOM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4369-2025</t>
        </is>
      </c>
      <c r="B1010" s="1" t="n">
        <v>45686.35247685185</v>
      </c>
      <c r="C1010" s="1" t="n">
        <v>45900</v>
      </c>
      <c r="D1010" t="inlineStr">
        <is>
          <t>JÄMTLANDS LÄN</t>
        </is>
      </c>
      <c r="E1010" t="inlineStr">
        <is>
          <t>KROKOM</t>
        </is>
      </c>
      <c r="F1010" t="inlineStr">
        <is>
          <t>SCA</t>
        </is>
      </c>
      <c r="G1010" t="n">
        <v>45.4</v>
      </c>
      <c r="H1010" t="n">
        <v>0</v>
      </c>
      <c r="I1010" t="n">
        <v>0</v>
      </c>
      <c r="J1010" t="n">
        <v>0</v>
      </c>
      <c r="K1010" t="n">
        <v>0</v>
      </c>
      <c r="L1010" t="n">
        <v>0</v>
      </c>
      <c r="M1010" t="n">
        <v>0</v>
      </c>
      <c r="N1010" t="n">
        <v>0</v>
      </c>
      <c r="O1010" t="n">
        <v>0</v>
      </c>
      <c r="P1010" t="n">
        <v>0</v>
      </c>
      <c r="Q1010" t="n">
        <v>0</v>
      </c>
      <c r="R1010" s="2" t="inlineStr"/>
    </row>
    <row r="1011" ht="15" customHeight="1">
      <c r="A1011" t="inlineStr">
        <is>
          <t>A 36491-2021</t>
        </is>
      </c>
      <c r="B1011" s="1" t="n">
        <v>44390</v>
      </c>
      <c r="C1011" s="1" t="n">
        <v>45900</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50881-2024</t>
        </is>
      </c>
      <c r="B1012" s="1" t="n">
        <v>45602.65599537037</v>
      </c>
      <c r="C1012" s="1" t="n">
        <v>45900</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46061-2023</t>
        </is>
      </c>
      <c r="B1013" s="1" t="n">
        <v>45190</v>
      </c>
      <c r="C1013" s="1" t="n">
        <v>45900</v>
      </c>
      <c r="D1013" t="inlineStr">
        <is>
          <t>JÄMTLANDS LÄN</t>
        </is>
      </c>
      <c r="E1013" t="inlineStr">
        <is>
          <t>KROKOM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18826-2023</t>
        </is>
      </c>
      <c r="B1014" s="1" t="n">
        <v>45042</v>
      </c>
      <c r="C1014" s="1" t="n">
        <v>45900</v>
      </c>
      <c r="D1014" t="inlineStr">
        <is>
          <t>JÄMTLANDS LÄN</t>
        </is>
      </c>
      <c r="E1014" t="inlineStr">
        <is>
          <t>KROKOM</t>
        </is>
      </c>
      <c r="G1014" t="n">
        <v>17.1</v>
      </c>
      <c r="H1014" t="n">
        <v>0</v>
      </c>
      <c r="I1014" t="n">
        <v>0</v>
      </c>
      <c r="J1014" t="n">
        <v>0</v>
      </c>
      <c r="K1014" t="n">
        <v>0</v>
      </c>
      <c r="L1014" t="n">
        <v>0</v>
      </c>
      <c r="M1014" t="n">
        <v>0</v>
      </c>
      <c r="N1014" t="n">
        <v>0</v>
      </c>
      <c r="O1014" t="n">
        <v>0</v>
      </c>
      <c r="P1014" t="n">
        <v>0</v>
      </c>
      <c r="Q1014" t="n">
        <v>0</v>
      </c>
      <c r="R1014" s="2" t="inlineStr"/>
    </row>
    <row r="1015" ht="15" customHeight="1">
      <c r="A1015" t="inlineStr">
        <is>
          <t>A 19478-2023</t>
        </is>
      </c>
      <c r="B1015" s="1" t="n">
        <v>45050</v>
      </c>
      <c r="C1015" s="1" t="n">
        <v>45900</v>
      </c>
      <c r="D1015" t="inlineStr">
        <is>
          <t>JÄMTLANDS LÄN</t>
        </is>
      </c>
      <c r="E1015" t="inlineStr">
        <is>
          <t>KROKOM</t>
        </is>
      </c>
      <c r="F1015" t="inlineStr">
        <is>
          <t>Övriga Aktiebolag</t>
        </is>
      </c>
      <c r="G1015" t="n">
        <v>22.2</v>
      </c>
      <c r="H1015" t="n">
        <v>0</v>
      </c>
      <c r="I1015" t="n">
        <v>0</v>
      </c>
      <c r="J1015" t="n">
        <v>0</v>
      </c>
      <c r="K1015" t="n">
        <v>0</v>
      </c>
      <c r="L1015" t="n">
        <v>0</v>
      </c>
      <c r="M1015" t="n">
        <v>0</v>
      </c>
      <c r="N1015" t="n">
        <v>0</v>
      </c>
      <c r="O1015" t="n">
        <v>0</v>
      </c>
      <c r="P1015" t="n">
        <v>0</v>
      </c>
      <c r="Q1015" t="n">
        <v>0</v>
      </c>
      <c r="R1015" s="2" t="inlineStr"/>
    </row>
    <row r="1016" ht="15" customHeight="1">
      <c r="A1016" t="inlineStr">
        <is>
          <t>A 23319-2024</t>
        </is>
      </c>
      <c r="B1016" s="1" t="n">
        <v>45453.45515046296</v>
      </c>
      <c r="C1016" s="1" t="n">
        <v>45900</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20982-2023</t>
        </is>
      </c>
      <c r="B1017" s="1" t="n">
        <v>45056</v>
      </c>
      <c r="C1017" s="1" t="n">
        <v>45900</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12813-2023</t>
        </is>
      </c>
      <c r="B1018" s="1" t="n">
        <v>45000</v>
      </c>
      <c r="C1018" s="1" t="n">
        <v>45900</v>
      </c>
      <c r="D1018" t="inlineStr">
        <is>
          <t>JÄMTLANDS LÄN</t>
        </is>
      </c>
      <c r="E1018" t="inlineStr">
        <is>
          <t>KROKOM</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45900</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45900</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45900</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45900</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45900</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45900</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45900</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45900</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45900</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45900</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45900</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45900</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45900</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45900</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45900</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45900</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45900</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45900</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45900</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45900</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45900</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45900</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45900</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45900</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45900</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45900</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45900</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45900</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45900</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45900</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45900</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45900</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45900</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45900</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45900</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45900</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45900</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45900</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45900</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45900</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45900</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45900</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45900</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45900</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45900</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45900</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15627-2025</t>
        </is>
      </c>
      <c r="B1065" s="1" t="n">
        <v>45748.36445601852</v>
      </c>
      <c r="C1065" s="1" t="n">
        <v>45900</v>
      </c>
      <c r="D1065" t="inlineStr">
        <is>
          <t>JÄMTLANDS LÄN</t>
        </is>
      </c>
      <c r="E1065" t="inlineStr">
        <is>
          <t>KROKOM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15634-2025</t>
        </is>
      </c>
      <c r="B1066" s="1" t="n">
        <v>45748.37173611111</v>
      </c>
      <c r="C1066" s="1" t="n">
        <v>45900</v>
      </c>
      <c r="D1066" t="inlineStr">
        <is>
          <t>JÄMTLANDS LÄN</t>
        </is>
      </c>
      <c r="E1066" t="inlineStr">
        <is>
          <t>KROKOM</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11193-2024</t>
        </is>
      </c>
      <c r="B1067" s="1" t="n">
        <v>45371</v>
      </c>
      <c r="C1067" s="1" t="n">
        <v>45900</v>
      </c>
      <c r="D1067" t="inlineStr">
        <is>
          <t>JÄMTLANDS LÄN</t>
        </is>
      </c>
      <c r="E1067" t="inlineStr">
        <is>
          <t>KROKOM</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6347-2023</t>
        </is>
      </c>
      <c r="B1068" s="1" t="n">
        <v>44965</v>
      </c>
      <c r="C1068" s="1" t="n">
        <v>45900</v>
      </c>
      <c r="D1068" t="inlineStr">
        <is>
          <t>JÄMTLANDS LÄN</t>
        </is>
      </c>
      <c r="E1068" t="inlineStr">
        <is>
          <t>KROKOM</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62413-2023</t>
        </is>
      </c>
      <c r="B1069" s="1" t="n">
        <v>45266</v>
      </c>
      <c r="C1069" s="1" t="n">
        <v>45900</v>
      </c>
      <c r="D1069" t="inlineStr">
        <is>
          <t>JÄMTLANDS LÄN</t>
        </is>
      </c>
      <c r="E1069" t="inlineStr">
        <is>
          <t>KROKOM</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57259-2023</t>
        </is>
      </c>
      <c r="B1070" s="1" t="n">
        <v>45245</v>
      </c>
      <c r="C1070" s="1" t="n">
        <v>45900</v>
      </c>
      <c r="D1070" t="inlineStr">
        <is>
          <t>JÄMTLANDS LÄN</t>
        </is>
      </c>
      <c r="E1070" t="inlineStr">
        <is>
          <t>KROKOM</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5173-2025</t>
        </is>
      </c>
      <c r="B1071" s="1" t="n">
        <v>45691.61996527778</v>
      </c>
      <c r="C1071" s="1" t="n">
        <v>45900</v>
      </c>
      <c r="D1071" t="inlineStr">
        <is>
          <t>JÄMTLANDS LÄN</t>
        </is>
      </c>
      <c r="E1071" t="inlineStr">
        <is>
          <t>KROKOM</t>
        </is>
      </c>
      <c r="F1071" t="inlineStr">
        <is>
          <t>Kyrkan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10532-2025</t>
        </is>
      </c>
      <c r="B1072" s="1" t="n">
        <v>45721.4546412037</v>
      </c>
      <c r="C1072" s="1" t="n">
        <v>45900</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22258-2024</t>
        </is>
      </c>
      <c r="B1073" s="1" t="n">
        <v>45446.47634259259</v>
      </c>
      <c r="C1073" s="1" t="n">
        <v>45900</v>
      </c>
      <c r="D1073" t="inlineStr">
        <is>
          <t>JÄMTLANDS LÄN</t>
        </is>
      </c>
      <c r="E1073" t="inlineStr">
        <is>
          <t>KROKOM</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29484-2024</t>
        </is>
      </c>
      <c r="B1074" s="1" t="n">
        <v>45484</v>
      </c>
      <c r="C1074" s="1" t="n">
        <v>45900</v>
      </c>
      <c r="D1074" t="inlineStr">
        <is>
          <t>JÄMTLANDS LÄN</t>
        </is>
      </c>
      <c r="E1074" t="inlineStr">
        <is>
          <t>KROKOM</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34902-2024</t>
        </is>
      </c>
      <c r="B1075" s="1" t="n">
        <v>45527.39858796296</v>
      </c>
      <c r="C1075" s="1" t="n">
        <v>45900</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47039-2024</t>
        </is>
      </c>
      <c r="B1076" s="1" t="n">
        <v>45586</v>
      </c>
      <c r="C1076" s="1" t="n">
        <v>45900</v>
      </c>
      <c r="D1076" t="inlineStr">
        <is>
          <t>JÄMTLANDS LÄN</t>
        </is>
      </c>
      <c r="E1076" t="inlineStr">
        <is>
          <t>KROKOM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28780-2024</t>
        </is>
      </c>
      <c r="B1077" s="1" t="n">
        <v>45478.60708333334</v>
      </c>
      <c r="C1077" s="1" t="n">
        <v>45900</v>
      </c>
      <c r="D1077" t="inlineStr">
        <is>
          <t>JÄMTLANDS LÄN</t>
        </is>
      </c>
      <c r="E1077" t="inlineStr">
        <is>
          <t>KROKOM</t>
        </is>
      </c>
      <c r="G1077" t="n">
        <v>3.7</v>
      </c>
      <c r="H1077" t="n">
        <v>0</v>
      </c>
      <c r="I1077" t="n">
        <v>0</v>
      </c>
      <c r="J1077" t="n">
        <v>0</v>
      </c>
      <c r="K1077" t="n">
        <v>0</v>
      </c>
      <c r="L1077" t="n">
        <v>0</v>
      </c>
      <c r="M1077" t="n">
        <v>0</v>
      </c>
      <c r="N1077" t="n">
        <v>0</v>
      </c>
      <c r="O1077" t="n">
        <v>0</v>
      </c>
      <c r="P1077" t="n">
        <v>0</v>
      </c>
      <c r="Q1077" t="n">
        <v>0</v>
      </c>
      <c r="R1077" s="2" t="inlineStr"/>
    </row>
    <row r="1078">
      <c r="A1078" t="inlineStr">
        <is>
          <t>A 26693-2023</t>
        </is>
      </c>
      <c r="B1078" s="1" t="n">
        <v>45090</v>
      </c>
      <c r="C1078" s="1" t="n">
        <v>45900</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2025-08-31T08:32:48Z</dcterms:created>
  <dcterms:modified xmlns:dcterms="http://purl.org/dc/terms/" xmlns:xsi="http://www.w3.org/2001/XMLSchema-instance" xsi:type="dcterms:W3CDTF">2025-08-31T08:32:49Z</dcterms:modified>
</cp:coreProperties>
</file>