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45582</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45582</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45582</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45582</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45582</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45582</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45582</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45582</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45582</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45582</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45582</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45582</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45582</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45582</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45582</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45582</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45582</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45582</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45582</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45582</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68077-2019</t>
        </is>
      </c>
      <c r="B23" s="1" t="n">
        <v>43816</v>
      </c>
      <c r="C23" s="1" t="n">
        <v>45582</v>
      </c>
      <c r="D23" t="inlineStr">
        <is>
          <t>JÄMTLANDS LÄN</t>
        </is>
      </c>
      <c r="E23" t="inlineStr">
        <is>
          <t>KROKOM</t>
        </is>
      </c>
      <c r="F23" t="inlineStr">
        <is>
          <t>SCA</t>
        </is>
      </c>
      <c r="G23" t="n">
        <v>3.8</v>
      </c>
      <c r="H23" t="n">
        <v>2</v>
      </c>
      <c r="I23" t="n">
        <v>7</v>
      </c>
      <c r="J23" t="n">
        <v>6</v>
      </c>
      <c r="K23" t="n">
        <v>1</v>
      </c>
      <c r="L23" t="n">
        <v>0</v>
      </c>
      <c r="M23" t="n">
        <v>0</v>
      </c>
      <c r="N23" t="n">
        <v>0</v>
      </c>
      <c r="O23" t="n">
        <v>7</v>
      </c>
      <c r="P23" t="n">
        <v>1</v>
      </c>
      <c r="Q23" t="n">
        <v>15</v>
      </c>
      <c r="R23" s="2" t="inlineStr">
        <is>
          <t>Doftticka
Garnlav
Kolflarnlav
Lunglav
Skrovellav
Vedflamlav
Vedskivlav
Bårdlav
Dvärgtufs
Gulnål
Gytterlav
Korallblylav
Slanklav
Stuplav
Revlummer</t>
        </is>
      </c>
      <c r="S23">
        <f>HYPERLINK("https://klasma.github.io/Logging_2309/artfynd/A 68077-2019 artfynd.xlsx", "A 68077-2019")</f>
        <v/>
      </c>
      <c r="T23">
        <f>HYPERLINK("https://klasma.github.io/Logging_2309/kartor/A 68077-2019 karta.png", "A 68077-2019")</f>
        <v/>
      </c>
      <c r="V23">
        <f>HYPERLINK("https://klasma.github.io/Logging_2309/klagomål/A 68077-2019 FSC-klagomål.docx", "A 68077-2019")</f>
        <v/>
      </c>
      <c r="W23">
        <f>HYPERLINK("https://klasma.github.io/Logging_2309/klagomålsmail/A 68077-2019 FSC-klagomål mail.docx", "A 68077-2019")</f>
        <v/>
      </c>
      <c r="X23">
        <f>HYPERLINK("https://klasma.github.io/Logging_2309/tillsyn/A 68077-2019 tillsynsbegäran.docx", "A 68077-2019")</f>
        <v/>
      </c>
      <c r="Y23">
        <f>HYPERLINK("https://klasma.github.io/Logging_2309/tillsynsmail/A 68077-2019 tillsynsbegäran mail.docx", "A 68077-2019")</f>
        <v/>
      </c>
    </row>
    <row r="24" ht="15" customHeight="1">
      <c r="A24" t="inlineStr">
        <is>
          <t>A 24413-2023</t>
        </is>
      </c>
      <c r="B24" s="1" t="n">
        <v>45082</v>
      </c>
      <c r="C24" s="1" t="n">
        <v>45582</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45582</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45582</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45582</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45582</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45582</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45582</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45582</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45582</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45582</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45582</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45582</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45582</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45582</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45582</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45582</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45582</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45582</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45582</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45582</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45582</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45582</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45582</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45582</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45582</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45582</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45582</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45582</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45582</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45582</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45582</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45582</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45582</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45582</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45582</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45582</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45582</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45582</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45582</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45582</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45582</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45582</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45582</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45582</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45582</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45582</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45582</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45582</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45582</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45582</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45582</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45582</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45582</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45582</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45582</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45582</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45582</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45582</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45582</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45582</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45582</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45582</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45582</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45582</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45582</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45582</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45582</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45582</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45582</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45582</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45582</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45582</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45582</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45582</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45582</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45582</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45582</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45582</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45582</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45582</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45582</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45582</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45582</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45582</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45582</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45582</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45582</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45582</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45582</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45582</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45582</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45582</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45582</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45582</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45582</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45582</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45582</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45582</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45582</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45582</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45582</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45582</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45582</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45582</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45582</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45582</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45582</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45582</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45582</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45582</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45582</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45582</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39487-2024</t>
        </is>
      </c>
      <c r="B136" s="1" t="n">
        <v>45551</v>
      </c>
      <c r="C136" s="1" t="n">
        <v>45582</v>
      </c>
      <c r="D136" t="inlineStr">
        <is>
          <t>JÄMTLANDS LÄN</t>
        </is>
      </c>
      <c r="E136" t="inlineStr">
        <is>
          <t>KROKOM</t>
        </is>
      </c>
      <c r="G136" t="n">
        <v>8</v>
      </c>
      <c r="H136" t="n">
        <v>1</v>
      </c>
      <c r="I136" t="n">
        <v>0</v>
      </c>
      <c r="J136" t="n">
        <v>4</v>
      </c>
      <c r="K136" t="n">
        <v>0</v>
      </c>
      <c r="L136" t="n">
        <v>0</v>
      </c>
      <c r="M136" t="n">
        <v>0</v>
      </c>
      <c r="N136" t="n">
        <v>0</v>
      </c>
      <c r="O136" t="n">
        <v>4</v>
      </c>
      <c r="P136" t="n">
        <v>0</v>
      </c>
      <c r="Q136" t="n">
        <v>4</v>
      </c>
      <c r="R136" s="2" t="inlineStr">
        <is>
          <t>Granticka
Harticka
Tretåig hackspett
Ullticka</t>
        </is>
      </c>
      <c r="S136">
        <f>HYPERLINK("https://klasma.github.io/Logging_2309/artfynd/A 39487-2024 artfynd.xlsx", "A 39487-2024")</f>
        <v/>
      </c>
      <c r="T136">
        <f>HYPERLINK("https://klasma.github.io/Logging_2309/kartor/A 39487-2024 karta.png",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45683-2019</t>
        </is>
      </c>
      <c r="B137" s="1" t="n">
        <v>43717</v>
      </c>
      <c r="C137" s="1" t="n">
        <v>45582</v>
      </c>
      <c r="D137" t="inlineStr">
        <is>
          <t>JÄMTLANDS LÄN</t>
        </is>
      </c>
      <c r="E137" t="inlineStr">
        <is>
          <t>KROKOM</t>
        </is>
      </c>
      <c r="G137" t="n">
        <v>4.6</v>
      </c>
      <c r="H137" t="n">
        <v>2</v>
      </c>
      <c r="I137" t="n">
        <v>0</v>
      </c>
      <c r="J137" t="n">
        <v>2</v>
      </c>
      <c r="K137" t="n">
        <v>1</v>
      </c>
      <c r="L137" t="n">
        <v>0</v>
      </c>
      <c r="M137" t="n">
        <v>0</v>
      </c>
      <c r="N137" t="n">
        <v>0</v>
      </c>
      <c r="O137" t="n">
        <v>3</v>
      </c>
      <c r="P137" t="n">
        <v>1</v>
      </c>
      <c r="Q137" t="n">
        <v>3</v>
      </c>
      <c r="R137" s="2" t="inlineStr">
        <is>
          <t>Knärot
Gränsticka
Tretåig hackspett</t>
        </is>
      </c>
      <c r="S137">
        <f>HYPERLINK("https://klasma.github.io/Logging_2309/artfynd/A 45683-2019 artfynd.xlsx", "A 45683-2019")</f>
        <v/>
      </c>
      <c r="T137">
        <f>HYPERLINK("https://klasma.github.io/Logging_2309/kartor/A 45683-2019 karta.png", "A 45683-2019")</f>
        <v/>
      </c>
      <c r="U137">
        <f>HYPERLINK("https://klasma.github.io/Logging_2309/knärot/A 45683-2019 karta knärot.png", "A 45683-2019")</f>
        <v/>
      </c>
      <c r="V137">
        <f>HYPERLINK("https://klasma.github.io/Logging_2309/klagomål/A 45683-2019 FSC-klagomål.docx", "A 45683-2019")</f>
        <v/>
      </c>
      <c r="W137">
        <f>HYPERLINK("https://klasma.github.io/Logging_2309/klagomålsmail/A 45683-2019 FSC-klagomål mail.docx", "A 45683-2019")</f>
        <v/>
      </c>
      <c r="X137">
        <f>HYPERLINK("https://klasma.github.io/Logging_2309/tillsyn/A 45683-2019 tillsynsbegäran.docx", "A 45683-2019")</f>
        <v/>
      </c>
      <c r="Y137">
        <f>HYPERLINK("https://klasma.github.io/Logging_2309/tillsynsmail/A 45683-2019 tillsynsbegäran mail.docx", "A 45683-2019")</f>
        <v/>
      </c>
      <c r="Z137">
        <f>HYPERLINK("https://klasma.github.io/Logging_2309/fåglar/A 45683-2019 prioriterade fågelarter.docx", "A 45683-2019")</f>
        <v/>
      </c>
    </row>
    <row r="138" ht="15" customHeight="1">
      <c r="A138" t="inlineStr">
        <is>
          <t>A 57028-2019</t>
        </is>
      </c>
      <c r="B138" s="1" t="n">
        <v>43766</v>
      </c>
      <c r="C138" s="1" t="n">
        <v>45582</v>
      </c>
      <c r="D138" t="inlineStr">
        <is>
          <t>JÄMTLANDS LÄN</t>
        </is>
      </c>
      <c r="E138" t="inlineStr">
        <is>
          <t>KROKOM</t>
        </is>
      </c>
      <c r="G138" t="n">
        <v>13.6</v>
      </c>
      <c r="H138" t="n">
        <v>0</v>
      </c>
      <c r="I138" t="n">
        <v>1</v>
      </c>
      <c r="J138" t="n">
        <v>1</v>
      </c>
      <c r="K138" t="n">
        <v>1</v>
      </c>
      <c r="L138" t="n">
        <v>0</v>
      </c>
      <c r="M138" t="n">
        <v>0</v>
      </c>
      <c r="N138" t="n">
        <v>0</v>
      </c>
      <c r="O138" t="n">
        <v>2</v>
      </c>
      <c r="P138" t="n">
        <v>1</v>
      </c>
      <c r="Q138" t="n">
        <v>3</v>
      </c>
      <c r="R138" s="2" t="inlineStr">
        <is>
          <t>Liten sotlav
Rödbrun blekspik
Rostfläck</t>
        </is>
      </c>
      <c r="S138">
        <f>HYPERLINK("https://klasma.github.io/Logging_2309/artfynd/A 57028-2019 artfynd.xlsx", "A 57028-2019")</f>
        <v/>
      </c>
      <c r="T138">
        <f>HYPERLINK("https://klasma.github.io/Logging_2309/kartor/A 57028-2019 karta.png", "A 57028-2019")</f>
        <v/>
      </c>
      <c r="V138">
        <f>HYPERLINK("https://klasma.github.io/Logging_2309/klagomål/A 57028-2019 FSC-klagomål.docx", "A 57028-2019")</f>
        <v/>
      </c>
      <c r="W138">
        <f>HYPERLINK("https://klasma.github.io/Logging_2309/klagomålsmail/A 57028-2019 FSC-klagomål mail.docx", "A 57028-2019")</f>
        <v/>
      </c>
      <c r="X138">
        <f>HYPERLINK("https://klasma.github.io/Logging_2309/tillsyn/A 57028-2019 tillsynsbegäran.docx", "A 57028-2019")</f>
        <v/>
      </c>
      <c r="Y138">
        <f>HYPERLINK("https://klasma.github.io/Logging_2309/tillsynsmail/A 57028-2019 tillsynsbegäran mail.docx", "A 57028-2019")</f>
        <v/>
      </c>
    </row>
    <row r="139" ht="15" customHeight="1">
      <c r="A139" t="inlineStr">
        <is>
          <t>A 9091-2020</t>
        </is>
      </c>
      <c r="B139" s="1" t="n">
        <v>43879</v>
      </c>
      <c r="C139" s="1" t="n">
        <v>45582</v>
      </c>
      <c r="D139" t="inlineStr">
        <is>
          <t>JÄMTLANDS LÄN</t>
        </is>
      </c>
      <c r="E139" t="inlineStr">
        <is>
          <t>KROKOM</t>
        </is>
      </c>
      <c r="G139" t="n">
        <v>13.4</v>
      </c>
      <c r="H139" t="n">
        <v>1</v>
      </c>
      <c r="I139" t="n">
        <v>0</v>
      </c>
      <c r="J139" t="n">
        <v>3</v>
      </c>
      <c r="K139" t="n">
        <v>0</v>
      </c>
      <c r="L139" t="n">
        <v>0</v>
      </c>
      <c r="M139" t="n">
        <v>0</v>
      </c>
      <c r="N139" t="n">
        <v>0</v>
      </c>
      <c r="O139" t="n">
        <v>3</v>
      </c>
      <c r="P139" t="n">
        <v>0</v>
      </c>
      <c r="Q139" t="n">
        <v>3</v>
      </c>
      <c r="R139" s="2" t="inlineStr">
        <is>
          <t>Garnlav
Tretåig hackspett
Ullticka</t>
        </is>
      </c>
      <c r="S139">
        <f>HYPERLINK("https://klasma.github.io/Logging_2309/artfynd/A 9091-2020 artfynd.xlsx", "A 9091-2020")</f>
        <v/>
      </c>
      <c r="T139">
        <f>HYPERLINK("https://klasma.github.io/Logging_2309/kartor/A 9091-2020 karta.png", "A 9091-2020")</f>
        <v/>
      </c>
      <c r="V139">
        <f>HYPERLINK("https://klasma.github.io/Logging_2309/klagomål/A 9091-2020 FSC-klagomål.docx", "A 9091-2020")</f>
        <v/>
      </c>
      <c r="W139">
        <f>HYPERLINK("https://klasma.github.io/Logging_2309/klagomålsmail/A 9091-2020 FSC-klagomål mail.docx", "A 9091-2020")</f>
        <v/>
      </c>
      <c r="X139">
        <f>HYPERLINK("https://klasma.github.io/Logging_2309/tillsyn/A 9091-2020 tillsynsbegäran.docx", "A 9091-2020")</f>
        <v/>
      </c>
      <c r="Y139">
        <f>HYPERLINK("https://klasma.github.io/Logging_2309/tillsynsmail/A 9091-2020 tillsynsbegäran mail.docx", "A 9091-2020")</f>
        <v/>
      </c>
      <c r="Z139">
        <f>HYPERLINK("https://klasma.github.io/Logging_2309/fåglar/A 9091-2020 prioriterade fågelarter.docx", "A 9091-2020")</f>
        <v/>
      </c>
    </row>
    <row r="140" ht="15" customHeight="1">
      <c r="A140" t="inlineStr">
        <is>
          <t>A 53354-2021</t>
        </is>
      </c>
      <c r="B140" s="1" t="n">
        <v>44468</v>
      </c>
      <c r="C140" s="1" t="n">
        <v>45582</v>
      </c>
      <c r="D140" t="inlineStr">
        <is>
          <t>JÄMTLANDS LÄN</t>
        </is>
      </c>
      <c r="E140" t="inlineStr">
        <is>
          <t>KROKOM</t>
        </is>
      </c>
      <c r="F140" t="inlineStr">
        <is>
          <t>Kyrkan</t>
        </is>
      </c>
      <c r="G140" t="n">
        <v>7.8</v>
      </c>
      <c r="H140" t="n">
        <v>0</v>
      </c>
      <c r="I140" t="n">
        <v>1</v>
      </c>
      <c r="J140" t="n">
        <v>2</v>
      </c>
      <c r="K140" t="n">
        <v>0</v>
      </c>
      <c r="L140" t="n">
        <v>0</v>
      </c>
      <c r="M140" t="n">
        <v>0</v>
      </c>
      <c r="N140" t="n">
        <v>0</v>
      </c>
      <c r="O140" t="n">
        <v>2</v>
      </c>
      <c r="P140" t="n">
        <v>0</v>
      </c>
      <c r="Q140" t="n">
        <v>3</v>
      </c>
      <c r="R140" s="2" t="inlineStr">
        <is>
          <t>Granticka
Lunglav
Stuplav</t>
        </is>
      </c>
      <c r="S140">
        <f>HYPERLINK("https://klasma.github.io/Logging_2309/artfynd/A 53354-2021 artfynd.xlsx", "A 53354-2021")</f>
        <v/>
      </c>
      <c r="T140">
        <f>HYPERLINK("https://klasma.github.io/Logging_2309/kartor/A 53354-2021 karta.png", "A 53354-2021")</f>
        <v/>
      </c>
      <c r="V140">
        <f>HYPERLINK("https://klasma.github.io/Logging_2309/klagomål/A 53354-2021 FSC-klagomål.docx", "A 53354-2021")</f>
        <v/>
      </c>
      <c r="W140">
        <f>HYPERLINK("https://klasma.github.io/Logging_2309/klagomålsmail/A 53354-2021 FSC-klagomål mail.docx", "A 53354-2021")</f>
        <v/>
      </c>
      <c r="X140">
        <f>HYPERLINK("https://klasma.github.io/Logging_2309/tillsyn/A 53354-2021 tillsynsbegäran.docx", "A 53354-2021")</f>
        <v/>
      </c>
      <c r="Y140">
        <f>HYPERLINK("https://klasma.github.io/Logging_2309/tillsynsmail/A 53354-2021 tillsynsbegäran mail.docx", "A 53354-2021")</f>
        <v/>
      </c>
    </row>
    <row r="141" ht="15" customHeight="1">
      <c r="A141" t="inlineStr">
        <is>
          <t>A 64300-2021</t>
        </is>
      </c>
      <c r="B141" s="1" t="n">
        <v>44510</v>
      </c>
      <c r="C141" s="1" t="n">
        <v>45582</v>
      </c>
      <c r="D141" t="inlineStr">
        <is>
          <t>JÄMTLANDS LÄN</t>
        </is>
      </c>
      <c r="E141" t="inlineStr">
        <is>
          <t>KROKOM</t>
        </is>
      </c>
      <c r="G141" t="n">
        <v>8.6</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HYPERLINK("https://klasma.github.io/Logging_2309/artfynd/A 64300-2021 artfynd.xlsx", "A 64300-2021")</f>
        <v/>
      </c>
      <c r="T141">
        <f>HYPERLINK("https://klasma.github.io/Logging_2309/kartor/A 64300-2021 karta.png", "A 64300-2021")</f>
        <v/>
      </c>
      <c r="V141">
        <f>HYPERLINK("https://klasma.github.io/Logging_2309/klagomål/A 64300-2021 FSC-klagomål.docx", "A 64300-2021")</f>
        <v/>
      </c>
      <c r="W141">
        <f>HYPERLINK("https://klasma.github.io/Logging_2309/klagomålsmail/A 64300-2021 FSC-klagomål mail.docx", "A 64300-2021")</f>
        <v/>
      </c>
      <c r="X141">
        <f>HYPERLINK("https://klasma.github.io/Logging_2309/tillsyn/A 64300-2021 tillsynsbegäran.docx", "A 64300-2021")</f>
        <v/>
      </c>
      <c r="Y141">
        <f>HYPERLINK("https://klasma.github.io/Logging_2309/tillsynsmail/A 64300-2021 tillsynsbegäran mail.docx", "A 64300-2021")</f>
        <v/>
      </c>
    </row>
    <row r="142" ht="15" customHeight="1">
      <c r="A142" t="inlineStr">
        <is>
          <t>A 71573-2021</t>
        </is>
      </c>
      <c r="B142" s="1" t="n">
        <v>44540</v>
      </c>
      <c r="C142" s="1" t="n">
        <v>45582</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30068-2022</t>
        </is>
      </c>
      <c r="B143" s="1" t="n">
        <v>44757</v>
      </c>
      <c r="C143" s="1" t="n">
        <v>45582</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30069-2022</t>
        </is>
      </c>
      <c r="B144" s="1" t="n">
        <v>44757</v>
      </c>
      <c r="C144" s="1" t="n">
        <v>45582</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44869-2022</t>
        </is>
      </c>
      <c r="B145" s="1" t="n">
        <v>44841</v>
      </c>
      <c r="C145" s="1" t="n">
        <v>45582</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51663-2022</t>
        </is>
      </c>
      <c r="B146" s="1" t="n">
        <v>44867</v>
      </c>
      <c r="C146" s="1" t="n">
        <v>45582</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52264-2022</t>
        </is>
      </c>
      <c r="B147" s="1" t="n">
        <v>44873</v>
      </c>
      <c r="C147" s="1" t="n">
        <v>45582</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41404-2023</t>
        </is>
      </c>
      <c r="B148" s="1" t="n">
        <v>45174</v>
      </c>
      <c r="C148" s="1" t="n">
        <v>45582</v>
      </c>
      <c r="D148" t="inlineStr">
        <is>
          <t>JÄMTLANDS LÄN</t>
        </is>
      </c>
      <c r="E148" t="inlineStr">
        <is>
          <t>KROKOM</t>
        </is>
      </c>
      <c r="G148" t="n">
        <v>17.2</v>
      </c>
      <c r="H148" t="n">
        <v>2</v>
      </c>
      <c r="I148" t="n">
        <v>0</v>
      </c>
      <c r="J148" t="n">
        <v>2</v>
      </c>
      <c r="K148" t="n">
        <v>0</v>
      </c>
      <c r="L148" t="n">
        <v>0</v>
      </c>
      <c r="M148" t="n">
        <v>0</v>
      </c>
      <c r="N148" t="n">
        <v>0</v>
      </c>
      <c r="O148" t="n">
        <v>2</v>
      </c>
      <c r="P148" t="n">
        <v>0</v>
      </c>
      <c r="Q148" t="n">
        <v>3</v>
      </c>
      <c r="R148" s="2" t="inlineStr">
        <is>
          <t>Lunglav
Tretåig hackspett
Fläcknycklar</t>
        </is>
      </c>
      <c r="S148">
        <f>HYPERLINK("https://klasma.github.io/Logging_2309/artfynd/A 41404-2023 artfynd.xlsx", "A 41404-2023")</f>
        <v/>
      </c>
      <c r="T148">
        <f>HYPERLINK("https://klasma.github.io/Logging_2309/kartor/A 41404-2023 karta.png", "A 41404-2023")</f>
        <v/>
      </c>
      <c r="V148">
        <f>HYPERLINK("https://klasma.github.io/Logging_2309/klagomål/A 41404-2023 FSC-klagomål.docx", "A 41404-2023")</f>
        <v/>
      </c>
      <c r="W148">
        <f>HYPERLINK("https://klasma.github.io/Logging_2309/klagomålsmail/A 41404-2023 FSC-klagomål mail.docx", "A 41404-2023")</f>
        <v/>
      </c>
      <c r="X148">
        <f>HYPERLINK("https://klasma.github.io/Logging_2309/tillsyn/A 41404-2023 tillsynsbegäran.docx", "A 41404-2023")</f>
        <v/>
      </c>
      <c r="Y148">
        <f>HYPERLINK("https://klasma.github.io/Logging_2309/tillsynsmail/A 41404-2023 tillsynsbegäran mail.docx", "A 41404-2023")</f>
        <v/>
      </c>
      <c r="Z148">
        <f>HYPERLINK("https://klasma.github.io/Logging_2309/fåglar/A 41404-2023 prioriterade fågelarter.docx", "A 41404-2023")</f>
        <v/>
      </c>
    </row>
    <row r="149" ht="15" customHeight="1">
      <c r="A149" t="inlineStr">
        <is>
          <t>A 46013-2023</t>
        </is>
      </c>
      <c r="B149" s="1" t="n">
        <v>45196</v>
      </c>
      <c r="C149" s="1" t="n">
        <v>45582</v>
      </c>
      <c r="D149" t="inlineStr">
        <is>
          <t>JÄMTLANDS LÄN</t>
        </is>
      </c>
      <c r="E149" t="inlineStr">
        <is>
          <t>KROKOM</t>
        </is>
      </c>
      <c r="G149" t="n">
        <v>8.1</v>
      </c>
      <c r="H149" t="n">
        <v>1</v>
      </c>
      <c r="I149" t="n">
        <v>2</v>
      </c>
      <c r="J149" t="n">
        <v>0</v>
      </c>
      <c r="K149" t="n">
        <v>0</v>
      </c>
      <c r="L149" t="n">
        <v>0</v>
      </c>
      <c r="M149" t="n">
        <v>0</v>
      </c>
      <c r="N149" t="n">
        <v>0</v>
      </c>
      <c r="O149" t="n">
        <v>0</v>
      </c>
      <c r="P149" t="n">
        <v>0</v>
      </c>
      <c r="Q149" t="n">
        <v>3</v>
      </c>
      <c r="R149" s="2" t="inlineStr">
        <is>
          <t>Svavelriska
Underviol
Blåsippa</t>
        </is>
      </c>
      <c r="S149">
        <f>HYPERLINK("https://klasma.github.io/Logging_2309/artfynd/A 46013-2023 artfynd.xlsx", "A 46013-2023")</f>
        <v/>
      </c>
      <c r="T149">
        <f>HYPERLINK("https://klasma.github.io/Logging_2309/kartor/A 46013-2023 karta.png", "A 46013-2023")</f>
        <v/>
      </c>
      <c r="V149">
        <f>HYPERLINK("https://klasma.github.io/Logging_2309/klagomål/A 46013-2023 FSC-klagomål.docx", "A 46013-2023")</f>
        <v/>
      </c>
      <c r="W149">
        <f>HYPERLINK("https://klasma.github.io/Logging_2309/klagomålsmail/A 46013-2023 FSC-klagomål mail.docx", "A 46013-2023")</f>
        <v/>
      </c>
      <c r="X149">
        <f>HYPERLINK("https://klasma.github.io/Logging_2309/tillsyn/A 46013-2023 tillsynsbegäran.docx", "A 46013-2023")</f>
        <v/>
      </c>
      <c r="Y149">
        <f>HYPERLINK("https://klasma.github.io/Logging_2309/tillsynsmail/A 46013-2023 tillsynsbegäran mail.docx", "A 46013-2023")</f>
        <v/>
      </c>
    </row>
    <row r="150" ht="15" customHeight="1">
      <c r="A150" t="inlineStr">
        <is>
          <t>A 50431-2023</t>
        </is>
      </c>
      <c r="B150" s="1" t="n">
        <v>45216</v>
      </c>
      <c r="C150" s="1" t="n">
        <v>45582</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50345-2023</t>
        </is>
      </c>
      <c r="B151" s="1" t="n">
        <v>45216</v>
      </c>
      <c r="C151" s="1" t="n">
        <v>45582</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54494-2023</t>
        </is>
      </c>
      <c r="B152" s="1" t="n">
        <v>45233</v>
      </c>
      <c r="C152" s="1" t="n">
        <v>45582</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57727-2023</t>
        </is>
      </c>
      <c r="B153" s="1" t="n">
        <v>45243</v>
      </c>
      <c r="C153" s="1" t="n">
        <v>45582</v>
      </c>
      <c r="D153" t="inlineStr">
        <is>
          <t>JÄMTLANDS LÄN</t>
        </is>
      </c>
      <c r="E153" t="inlineStr">
        <is>
          <t>KROKOM</t>
        </is>
      </c>
      <c r="G153" t="n">
        <v>32.9</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57727-2023 artfynd.xlsx", "A 57727-2023")</f>
        <v/>
      </c>
      <c r="T153">
        <f>HYPERLINK("https://klasma.github.io/Logging_2309/kartor/A 57727-2023 karta.png", "A 57727-2023")</f>
        <v/>
      </c>
      <c r="V153">
        <f>HYPERLINK("https://klasma.github.io/Logging_2309/klagomål/A 57727-2023 FSC-klagomål.docx", "A 57727-2023")</f>
        <v/>
      </c>
      <c r="W153">
        <f>HYPERLINK("https://klasma.github.io/Logging_2309/klagomålsmail/A 57727-2023 FSC-klagomål mail.docx", "A 57727-2023")</f>
        <v/>
      </c>
      <c r="X153">
        <f>HYPERLINK("https://klasma.github.io/Logging_2309/tillsyn/A 57727-2023 tillsynsbegäran.docx", "A 57727-2023")</f>
        <v/>
      </c>
      <c r="Y153">
        <f>HYPERLINK("https://klasma.github.io/Logging_2309/tillsynsmail/A 57727-2023 tillsynsbegäran mail.docx", "A 57727-2023")</f>
        <v/>
      </c>
      <c r="Z153">
        <f>HYPERLINK("https://klasma.github.io/Logging_2309/fåglar/A 57727-2023 prioriterade fågelarter.docx", "A 57727-2023")</f>
        <v/>
      </c>
    </row>
    <row r="154" ht="15" customHeight="1">
      <c r="A154" t="inlineStr">
        <is>
          <t>A 62731-2023</t>
        </is>
      </c>
      <c r="B154" s="1" t="n">
        <v>45271</v>
      </c>
      <c r="C154" s="1" t="n">
        <v>45582</v>
      </c>
      <c r="D154" t="inlineStr">
        <is>
          <t>JÄMTLANDS LÄN</t>
        </is>
      </c>
      <c r="E154" t="inlineStr">
        <is>
          <t>KROKOM</t>
        </is>
      </c>
      <c r="F154" t="inlineStr">
        <is>
          <t>Övriga Aktiebolag</t>
        </is>
      </c>
      <c r="G154" t="n">
        <v>12.1</v>
      </c>
      <c r="H154" t="n">
        <v>1</v>
      </c>
      <c r="I154" t="n">
        <v>0</v>
      </c>
      <c r="J154" t="n">
        <v>3</v>
      </c>
      <c r="K154" t="n">
        <v>0</v>
      </c>
      <c r="L154" t="n">
        <v>0</v>
      </c>
      <c r="M154" t="n">
        <v>0</v>
      </c>
      <c r="N154" t="n">
        <v>0</v>
      </c>
      <c r="O154" t="n">
        <v>3</v>
      </c>
      <c r="P154" t="n">
        <v>0</v>
      </c>
      <c r="Q154" t="n">
        <v>3</v>
      </c>
      <c r="R154" s="2" t="inlineStr">
        <is>
          <t>Granticka
Harticka
Tretåig hackspett</t>
        </is>
      </c>
      <c r="S154">
        <f>HYPERLINK("https://klasma.github.io/Logging_2309/artfynd/A 62731-2023 artfynd.xlsx", "A 62731-2023")</f>
        <v/>
      </c>
      <c r="T154">
        <f>HYPERLINK("https://klasma.github.io/Logging_2309/kartor/A 62731-2023 karta.png", "A 62731-2023")</f>
        <v/>
      </c>
      <c r="V154">
        <f>HYPERLINK("https://klasma.github.io/Logging_2309/klagomål/A 62731-2023 FSC-klagomål.docx", "A 62731-2023")</f>
        <v/>
      </c>
      <c r="W154">
        <f>HYPERLINK("https://klasma.github.io/Logging_2309/klagomålsmail/A 62731-2023 FSC-klagomål mail.docx", "A 62731-2023")</f>
        <v/>
      </c>
      <c r="X154">
        <f>HYPERLINK("https://klasma.github.io/Logging_2309/tillsyn/A 62731-2023 tillsynsbegäran.docx", "A 62731-2023")</f>
        <v/>
      </c>
      <c r="Y154">
        <f>HYPERLINK("https://klasma.github.io/Logging_2309/tillsynsmail/A 62731-2023 tillsynsbegäran mail.docx", "A 62731-2023")</f>
        <v/>
      </c>
      <c r="Z154">
        <f>HYPERLINK("https://klasma.github.io/Logging_2309/fåglar/A 62731-2023 prioriterade fågelarter.docx", "A 62731-2023")</f>
        <v/>
      </c>
    </row>
    <row r="155" ht="15" customHeight="1">
      <c r="A155" t="inlineStr">
        <is>
          <t>A 2592-2024</t>
        </is>
      </c>
      <c r="B155" s="1" t="n">
        <v>45313</v>
      </c>
      <c r="C155" s="1" t="n">
        <v>45582</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13344-2024</t>
        </is>
      </c>
      <c r="B156" s="1" t="n">
        <v>45386</v>
      </c>
      <c r="C156" s="1" t="n">
        <v>45582</v>
      </c>
      <c r="D156" t="inlineStr">
        <is>
          <t>JÄMTLANDS LÄN</t>
        </is>
      </c>
      <c r="E156" t="inlineStr">
        <is>
          <t>KROKOM</t>
        </is>
      </c>
      <c r="G156" t="n">
        <v>10.6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13344-2024 artfynd.xlsx", "A 13344-2024")</f>
        <v/>
      </c>
      <c r="T156">
        <f>HYPERLINK("https://klasma.github.io/Logging_2309/kartor/A 13344-2024 karta.png", "A 13344-2024")</f>
        <v/>
      </c>
      <c r="V156">
        <f>HYPERLINK("https://klasma.github.io/Logging_2309/klagomål/A 13344-2024 FSC-klagomål.docx", "A 13344-2024")</f>
        <v/>
      </c>
      <c r="W156">
        <f>HYPERLINK("https://klasma.github.io/Logging_2309/klagomålsmail/A 13344-2024 FSC-klagomål mail.docx", "A 13344-2024")</f>
        <v/>
      </c>
      <c r="X156">
        <f>HYPERLINK("https://klasma.github.io/Logging_2309/tillsyn/A 13344-2024 tillsynsbegäran.docx", "A 13344-2024")</f>
        <v/>
      </c>
      <c r="Y156">
        <f>HYPERLINK("https://klasma.github.io/Logging_2309/tillsynsmail/A 13344-2024 tillsynsbegäran mail.docx", "A 13344-2024")</f>
        <v/>
      </c>
      <c r="Z156">
        <f>HYPERLINK("https://klasma.github.io/Logging_2309/fåglar/A 13344-2024 prioriterade fågelarter.docx", "A 13344-2024")</f>
        <v/>
      </c>
    </row>
    <row r="157" ht="15" customHeight="1">
      <c r="A157" t="inlineStr">
        <is>
          <t>A 18238-2024</t>
        </is>
      </c>
      <c r="B157" s="1" t="n">
        <v>45421</v>
      </c>
      <c r="C157" s="1" t="n">
        <v>45582</v>
      </c>
      <c r="D157" t="inlineStr">
        <is>
          <t>JÄMTLANDS LÄN</t>
        </is>
      </c>
      <c r="E157" t="inlineStr">
        <is>
          <t>KROKOM</t>
        </is>
      </c>
      <c r="G157" t="n">
        <v>5</v>
      </c>
      <c r="H157" t="n">
        <v>0</v>
      </c>
      <c r="I157" t="n">
        <v>0</v>
      </c>
      <c r="J157" t="n">
        <v>2</v>
      </c>
      <c r="K157" t="n">
        <v>1</v>
      </c>
      <c r="L157" t="n">
        <v>0</v>
      </c>
      <c r="M157" t="n">
        <v>0</v>
      </c>
      <c r="N157" t="n">
        <v>0</v>
      </c>
      <c r="O157" t="n">
        <v>3</v>
      </c>
      <c r="P157" t="n">
        <v>1</v>
      </c>
      <c r="Q157" t="n">
        <v>3</v>
      </c>
      <c r="R157" s="2" t="inlineStr">
        <is>
          <t>Borsttagging
Garnlav
Gränsticka</t>
        </is>
      </c>
      <c r="S157">
        <f>HYPERLINK("https://klasma.github.io/Logging_2309/artfynd/A 18238-2024 artfynd.xlsx", "A 18238-2024")</f>
        <v/>
      </c>
      <c r="T157">
        <f>HYPERLINK("https://klasma.github.io/Logging_2309/kartor/A 18238-2024 karta.png", "A 18238-2024")</f>
        <v/>
      </c>
      <c r="V157">
        <f>HYPERLINK("https://klasma.github.io/Logging_2309/klagomål/A 18238-2024 FSC-klagomål.docx", "A 18238-2024")</f>
        <v/>
      </c>
      <c r="W157">
        <f>HYPERLINK("https://klasma.github.io/Logging_2309/klagomålsmail/A 18238-2024 FSC-klagomål mail.docx", "A 18238-2024")</f>
        <v/>
      </c>
      <c r="X157">
        <f>HYPERLINK("https://klasma.github.io/Logging_2309/tillsyn/A 18238-2024 tillsynsbegäran.docx", "A 18238-2024")</f>
        <v/>
      </c>
      <c r="Y157">
        <f>HYPERLINK("https://klasma.github.io/Logging_2309/tillsynsmail/A 18238-2024 tillsynsbegäran mail.docx", "A 18238-2024")</f>
        <v/>
      </c>
    </row>
    <row r="158" ht="15" customHeight="1">
      <c r="A158" t="inlineStr">
        <is>
          <t>A 20732-2024</t>
        </is>
      </c>
      <c r="B158" s="1" t="n">
        <v>45436</v>
      </c>
      <c r="C158" s="1" t="n">
        <v>45582</v>
      </c>
      <c r="D158" t="inlineStr">
        <is>
          <t>JÄMTLANDS LÄN</t>
        </is>
      </c>
      <c r="E158" t="inlineStr">
        <is>
          <t>KROKOM</t>
        </is>
      </c>
      <c r="G158" t="n">
        <v>27.2</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20732-2024 artfynd.xlsx", "A 20732-2024")</f>
        <v/>
      </c>
      <c r="T158">
        <f>HYPERLINK("https://klasma.github.io/Logging_2309/kartor/A 20732-2024 karta.png", "A 20732-2024")</f>
        <v/>
      </c>
      <c r="V158">
        <f>HYPERLINK("https://klasma.github.io/Logging_2309/klagomål/A 20732-2024 FSC-klagomål.docx", "A 20732-2024")</f>
        <v/>
      </c>
      <c r="W158">
        <f>HYPERLINK("https://klasma.github.io/Logging_2309/klagomålsmail/A 20732-2024 FSC-klagomål mail.docx", "A 20732-2024")</f>
        <v/>
      </c>
      <c r="X158">
        <f>HYPERLINK("https://klasma.github.io/Logging_2309/tillsyn/A 20732-2024 tillsynsbegäran.docx", "A 20732-2024")</f>
        <v/>
      </c>
      <c r="Y158">
        <f>HYPERLINK("https://klasma.github.io/Logging_2309/tillsynsmail/A 20732-2024 tillsynsbegäran mail.docx", "A 20732-2024")</f>
        <v/>
      </c>
    </row>
    <row r="159" ht="15" customHeight="1">
      <c r="A159" t="inlineStr">
        <is>
          <t>A 23439-2024</t>
        </is>
      </c>
      <c r="B159" s="1" t="n">
        <v>45453</v>
      </c>
      <c r="C159" s="1" t="n">
        <v>45582</v>
      </c>
      <c r="D159" t="inlineStr">
        <is>
          <t>JÄMTLANDS LÄN</t>
        </is>
      </c>
      <c r="E159" t="inlineStr">
        <is>
          <t>KROKOM</t>
        </is>
      </c>
      <c r="G159" t="n">
        <v>15.7</v>
      </c>
      <c r="H159" t="n">
        <v>2</v>
      </c>
      <c r="I159" t="n">
        <v>0</v>
      </c>
      <c r="J159" t="n">
        <v>2</v>
      </c>
      <c r="K159" t="n">
        <v>0</v>
      </c>
      <c r="L159" t="n">
        <v>0</v>
      </c>
      <c r="M159" t="n">
        <v>0</v>
      </c>
      <c r="N159" t="n">
        <v>0</v>
      </c>
      <c r="O159" t="n">
        <v>2</v>
      </c>
      <c r="P159" t="n">
        <v>0</v>
      </c>
      <c r="Q159" t="n">
        <v>3</v>
      </c>
      <c r="R159" s="2" t="inlineStr">
        <is>
          <t>Granticka
Tretåig hackspett
Lavskrika</t>
        </is>
      </c>
      <c r="S159">
        <f>HYPERLINK("https://klasma.github.io/Logging_2309/artfynd/A 23439-2024 artfynd.xlsx", "A 23439-2024")</f>
        <v/>
      </c>
      <c r="T159">
        <f>HYPERLINK("https://klasma.github.io/Logging_2309/kartor/A 23439-2024 karta.png", "A 23439-2024")</f>
        <v/>
      </c>
      <c r="V159">
        <f>HYPERLINK("https://klasma.github.io/Logging_2309/klagomål/A 23439-2024 FSC-klagomål.docx", "A 23439-2024")</f>
        <v/>
      </c>
      <c r="W159">
        <f>HYPERLINK("https://klasma.github.io/Logging_2309/klagomålsmail/A 23439-2024 FSC-klagomål mail.docx", "A 23439-2024")</f>
        <v/>
      </c>
      <c r="X159">
        <f>HYPERLINK("https://klasma.github.io/Logging_2309/tillsyn/A 23439-2024 tillsynsbegäran.docx", "A 23439-2024")</f>
        <v/>
      </c>
      <c r="Y159">
        <f>HYPERLINK("https://klasma.github.io/Logging_2309/tillsynsmail/A 23439-2024 tillsynsbegäran mail.docx", "A 23439-2024")</f>
        <v/>
      </c>
      <c r="Z159">
        <f>HYPERLINK("https://klasma.github.io/Logging_2309/fåglar/A 23439-2024 prioriterade fågelarter.docx", "A 23439-2024")</f>
        <v/>
      </c>
    </row>
    <row r="160" ht="15" customHeight="1">
      <c r="A160" t="inlineStr">
        <is>
          <t>A 27598-2024</t>
        </is>
      </c>
      <c r="B160" s="1" t="n">
        <v>45474</v>
      </c>
      <c r="C160" s="1" t="n">
        <v>45582</v>
      </c>
      <c r="D160" t="inlineStr">
        <is>
          <t>JÄMTLANDS LÄN</t>
        </is>
      </c>
      <c r="E160" t="inlineStr">
        <is>
          <t>KROKOM</t>
        </is>
      </c>
      <c r="G160" t="n">
        <v>7</v>
      </c>
      <c r="H160" t="n">
        <v>2</v>
      </c>
      <c r="I160" t="n">
        <v>1</v>
      </c>
      <c r="J160" t="n">
        <v>1</v>
      </c>
      <c r="K160" t="n">
        <v>0</v>
      </c>
      <c r="L160" t="n">
        <v>0</v>
      </c>
      <c r="M160" t="n">
        <v>0</v>
      </c>
      <c r="N160" t="n">
        <v>0</v>
      </c>
      <c r="O160" t="n">
        <v>1</v>
      </c>
      <c r="P160" t="n">
        <v>0</v>
      </c>
      <c r="Q160" t="n">
        <v>3</v>
      </c>
      <c r="R160" s="2" t="inlineStr">
        <is>
          <t>Garnlav
Spindelblomster
Tjäder</t>
        </is>
      </c>
      <c r="S160">
        <f>HYPERLINK("https://klasma.github.io/Logging_2309/artfynd/A 27598-2024 artfynd.xlsx", "A 27598-2024")</f>
        <v/>
      </c>
      <c r="T160">
        <f>HYPERLINK("https://klasma.github.io/Logging_2309/kartor/A 27598-2024 karta.png", "A 27598-2024")</f>
        <v/>
      </c>
      <c r="V160">
        <f>HYPERLINK("https://klasma.github.io/Logging_2309/klagomål/A 27598-2024 FSC-klagomål.docx", "A 27598-2024")</f>
        <v/>
      </c>
      <c r="W160">
        <f>HYPERLINK("https://klasma.github.io/Logging_2309/klagomålsmail/A 27598-2024 FSC-klagomål mail.docx", "A 27598-2024")</f>
        <v/>
      </c>
      <c r="X160">
        <f>HYPERLINK("https://klasma.github.io/Logging_2309/tillsyn/A 27598-2024 tillsynsbegäran.docx", "A 27598-2024")</f>
        <v/>
      </c>
      <c r="Y160">
        <f>HYPERLINK("https://klasma.github.io/Logging_2309/tillsynsmail/A 27598-2024 tillsynsbegäran mail.docx", "A 27598-2024")</f>
        <v/>
      </c>
      <c r="Z160">
        <f>HYPERLINK("https://klasma.github.io/Logging_2309/fåglar/A 27598-2024 prioriterade fågelarter.docx", "A 27598-2024")</f>
        <v/>
      </c>
    </row>
    <row r="161" ht="15" customHeight="1">
      <c r="A161" t="inlineStr">
        <is>
          <t>A 32148-2024</t>
        </is>
      </c>
      <c r="B161" s="1" t="n">
        <v>45511</v>
      </c>
      <c r="C161" s="1" t="n">
        <v>45582</v>
      </c>
      <c r="D161" t="inlineStr">
        <is>
          <t>JÄMTLANDS LÄN</t>
        </is>
      </c>
      <c r="E161" t="inlineStr">
        <is>
          <t>KROKOM</t>
        </is>
      </c>
      <c r="G161" t="n">
        <v>3.1</v>
      </c>
      <c r="H161" t="n">
        <v>1</v>
      </c>
      <c r="I161" t="n">
        <v>2</v>
      </c>
      <c r="J161" t="n">
        <v>0</v>
      </c>
      <c r="K161" t="n">
        <v>0</v>
      </c>
      <c r="L161" t="n">
        <v>0</v>
      </c>
      <c r="M161" t="n">
        <v>0</v>
      </c>
      <c r="N161" t="n">
        <v>0</v>
      </c>
      <c r="O161" t="n">
        <v>0</v>
      </c>
      <c r="P161" t="n">
        <v>0</v>
      </c>
      <c r="Q161" t="n">
        <v>3</v>
      </c>
      <c r="R161" s="2" t="inlineStr">
        <is>
          <t>Kransrams
Tibast
Blåsippa</t>
        </is>
      </c>
      <c r="S161">
        <f>HYPERLINK("https://klasma.github.io/Logging_2309/artfynd/A 32148-2024 artfynd.xlsx", "A 32148-2024")</f>
        <v/>
      </c>
      <c r="T161">
        <f>HYPERLINK("https://klasma.github.io/Logging_2309/kartor/A 32148-2024 karta.png", "A 32148-2024")</f>
        <v/>
      </c>
      <c r="V161">
        <f>HYPERLINK("https://klasma.github.io/Logging_2309/klagomål/A 32148-2024 FSC-klagomål.docx", "A 32148-2024")</f>
        <v/>
      </c>
      <c r="W161">
        <f>HYPERLINK("https://klasma.github.io/Logging_2309/klagomålsmail/A 32148-2024 FSC-klagomål mail.docx", "A 32148-2024")</f>
        <v/>
      </c>
      <c r="X161">
        <f>HYPERLINK("https://klasma.github.io/Logging_2309/tillsyn/A 32148-2024 tillsynsbegäran.docx", "A 32148-2024")</f>
        <v/>
      </c>
      <c r="Y161">
        <f>HYPERLINK("https://klasma.github.io/Logging_2309/tillsynsmail/A 32148-2024 tillsynsbegäran mail.docx", "A 32148-2024")</f>
        <v/>
      </c>
    </row>
    <row r="162" ht="15" customHeight="1">
      <c r="A162" t="inlineStr">
        <is>
          <t>A 34582-2024</t>
        </is>
      </c>
      <c r="B162" s="1" t="n">
        <v>45526</v>
      </c>
      <c r="C162" s="1" t="n">
        <v>45582</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39503-2024</t>
        </is>
      </c>
      <c r="B163" s="1" t="n">
        <v>45551</v>
      </c>
      <c r="C163" s="1" t="n">
        <v>45582</v>
      </c>
      <c r="D163" t="inlineStr">
        <is>
          <t>JÄMTLANDS LÄN</t>
        </is>
      </c>
      <c r="E163" t="inlineStr">
        <is>
          <t>KROKOM</t>
        </is>
      </c>
      <c r="G163" t="n">
        <v>2.9</v>
      </c>
      <c r="H163" t="n">
        <v>1</v>
      </c>
      <c r="I163" t="n">
        <v>0</v>
      </c>
      <c r="J163" t="n">
        <v>3</v>
      </c>
      <c r="K163" t="n">
        <v>0</v>
      </c>
      <c r="L163" t="n">
        <v>0</v>
      </c>
      <c r="M163" t="n">
        <v>0</v>
      </c>
      <c r="N163" t="n">
        <v>0</v>
      </c>
      <c r="O163" t="n">
        <v>3</v>
      </c>
      <c r="P163" t="n">
        <v>0</v>
      </c>
      <c r="Q163" t="n">
        <v>3</v>
      </c>
      <c r="R163" s="2" t="inlineStr">
        <is>
          <t>Lunglav
Orange taggsvamp
Tretåig hackspett</t>
        </is>
      </c>
      <c r="S163">
        <f>HYPERLINK("https://klasma.github.io/Logging_2309/artfynd/A 39503-2024 artfynd.xlsx", "A 39503-2024")</f>
        <v/>
      </c>
      <c r="T163">
        <f>HYPERLINK("https://klasma.github.io/Logging_2309/kartor/A 39503-2024 karta.png", "A 39503-2024")</f>
        <v/>
      </c>
      <c r="V163">
        <f>HYPERLINK("https://klasma.github.io/Logging_2309/klagomål/A 39503-2024 FSC-klagomål.docx", "A 39503-2024")</f>
        <v/>
      </c>
      <c r="W163">
        <f>HYPERLINK("https://klasma.github.io/Logging_2309/klagomålsmail/A 39503-2024 FSC-klagomål mail.docx", "A 39503-2024")</f>
        <v/>
      </c>
      <c r="X163">
        <f>HYPERLINK("https://klasma.github.io/Logging_2309/tillsyn/A 39503-2024 tillsynsbegäran.docx", "A 39503-2024")</f>
        <v/>
      </c>
      <c r="Y163">
        <f>HYPERLINK("https://klasma.github.io/Logging_2309/tillsynsmail/A 39503-2024 tillsynsbegäran mail.docx", "A 39503-2024")</f>
        <v/>
      </c>
      <c r="Z163">
        <f>HYPERLINK("https://klasma.github.io/Logging_2309/fåglar/A 39503-2024 prioriterade fågelarter.docx", "A 39503-2024")</f>
        <v/>
      </c>
    </row>
    <row r="164" ht="15" customHeight="1">
      <c r="A164" t="inlineStr">
        <is>
          <t>A 46038-2024</t>
        </is>
      </c>
      <c r="B164" s="1" t="n">
        <v>45580</v>
      </c>
      <c r="C164" s="1" t="n">
        <v>45582</v>
      </c>
      <c r="D164" t="inlineStr">
        <is>
          <t>JÄMTLANDS LÄN</t>
        </is>
      </c>
      <c r="E164" t="inlineStr">
        <is>
          <t>KROKOM</t>
        </is>
      </c>
      <c r="G164" t="n">
        <v>16.7</v>
      </c>
      <c r="H164" t="n">
        <v>1</v>
      </c>
      <c r="I164" t="n">
        <v>1</v>
      </c>
      <c r="J164" t="n">
        <v>2</v>
      </c>
      <c r="K164" t="n">
        <v>0</v>
      </c>
      <c r="L164" t="n">
        <v>0</v>
      </c>
      <c r="M164" t="n">
        <v>0</v>
      </c>
      <c r="N164" t="n">
        <v>0</v>
      </c>
      <c r="O164" t="n">
        <v>2</v>
      </c>
      <c r="P164" t="n">
        <v>0</v>
      </c>
      <c r="Q164" t="n">
        <v>3</v>
      </c>
      <c r="R164" s="2" t="inlineStr">
        <is>
          <t>Garnlav
Tretåig hackspett
Trådticka</t>
        </is>
      </c>
      <c r="S164">
        <f>HYPERLINK("https://klasma.github.io/Logging_2309/artfynd/A 46038-2024 artfynd.xlsx", "A 46038-2024")</f>
        <v/>
      </c>
      <c r="T164">
        <f>HYPERLINK("https://klasma.github.io/Logging_2309/kartor/A 46038-2024 karta.png", "A 46038-2024")</f>
        <v/>
      </c>
      <c r="V164">
        <f>HYPERLINK("https://klasma.github.io/Logging_2309/klagomål/A 46038-2024 FSC-klagomål.docx", "A 46038-2024")</f>
        <v/>
      </c>
      <c r="W164">
        <f>HYPERLINK("https://klasma.github.io/Logging_2309/klagomålsmail/A 46038-2024 FSC-klagomål mail.docx", "A 46038-2024")</f>
        <v/>
      </c>
      <c r="X164">
        <f>HYPERLINK("https://klasma.github.io/Logging_2309/tillsyn/A 46038-2024 tillsynsbegäran.docx", "A 46038-2024")</f>
        <v/>
      </c>
      <c r="Y164">
        <f>HYPERLINK("https://klasma.github.io/Logging_2309/tillsynsmail/A 46038-2024 tillsynsbegäran mail.docx", "A 46038-2024")</f>
        <v/>
      </c>
      <c r="Z164">
        <f>HYPERLINK("https://klasma.github.io/Logging_2309/fåglar/A 46038-2024 prioriterade fågelarter.docx", "A 46038-2024")</f>
        <v/>
      </c>
    </row>
    <row r="165" ht="15" customHeight="1">
      <c r="A165" t="inlineStr">
        <is>
          <t>A 25930-2019</t>
        </is>
      </c>
      <c r="B165" s="1" t="n">
        <v>43608</v>
      </c>
      <c r="C165" s="1" t="n">
        <v>45582</v>
      </c>
      <c r="D165" t="inlineStr">
        <is>
          <t>JÄMTLANDS LÄN</t>
        </is>
      </c>
      <c r="E165" t="inlineStr">
        <is>
          <t>KROKOM</t>
        </is>
      </c>
      <c r="F165" t="inlineStr">
        <is>
          <t>Övriga Aktiebolag</t>
        </is>
      </c>
      <c r="G165" t="n">
        <v>34.6</v>
      </c>
      <c r="H165" t="n">
        <v>0</v>
      </c>
      <c r="I165" t="n">
        <v>2</v>
      </c>
      <c r="J165" t="n">
        <v>0</v>
      </c>
      <c r="K165" t="n">
        <v>0</v>
      </c>
      <c r="L165" t="n">
        <v>0</v>
      </c>
      <c r="M165" t="n">
        <v>0</v>
      </c>
      <c r="N165" t="n">
        <v>0</v>
      </c>
      <c r="O165" t="n">
        <v>0</v>
      </c>
      <c r="P165" t="n">
        <v>0</v>
      </c>
      <c r="Q165" t="n">
        <v>2</v>
      </c>
      <c r="R165" s="2" t="inlineStr">
        <is>
          <t>Finbräken
Kransrams</t>
        </is>
      </c>
      <c r="S165">
        <f>HYPERLINK("https://klasma.github.io/Logging_2309/artfynd/A 25930-2019 artfynd.xlsx", "A 25930-2019")</f>
        <v/>
      </c>
      <c r="T165">
        <f>HYPERLINK("https://klasma.github.io/Logging_2309/kartor/A 25930-2019 karta.png", "A 25930-2019")</f>
        <v/>
      </c>
      <c r="V165">
        <f>HYPERLINK("https://klasma.github.io/Logging_2309/klagomål/A 25930-2019 FSC-klagomål.docx", "A 25930-2019")</f>
        <v/>
      </c>
      <c r="W165">
        <f>HYPERLINK("https://klasma.github.io/Logging_2309/klagomålsmail/A 25930-2019 FSC-klagomål mail.docx", "A 25930-2019")</f>
        <v/>
      </c>
      <c r="X165">
        <f>HYPERLINK("https://klasma.github.io/Logging_2309/tillsyn/A 25930-2019 tillsynsbegäran.docx", "A 25930-2019")</f>
        <v/>
      </c>
      <c r="Y165">
        <f>HYPERLINK("https://klasma.github.io/Logging_2309/tillsynsmail/A 25930-2019 tillsynsbegäran mail.docx", "A 25930-2019")</f>
        <v/>
      </c>
    </row>
    <row r="166" ht="15" customHeight="1">
      <c r="A166" t="inlineStr">
        <is>
          <t>A 37877-2019</t>
        </is>
      </c>
      <c r="B166" s="1" t="n">
        <v>43682</v>
      </c>
      <c r="C166" s="1" t="n">
        <v>45582</v>
      </c>
      <c r="D166" t="inlineStr">
        <is>
          <t>JÄMTLANDS LÄN</t>
        </is>
      </c>
      <c r="E166" t="inlineStr">
        <is>
          <t>KROKOM</t>
        </is>
      </c>
      <c r="F166" t="inlineStr">
        <is>
          <t>SCA</t>
        </is>
      </c>
      <c r="G166" t="n">
        <v>4.1</v>
      </c>
      <c r="H166" t="n">
        <v>0</v>
      </c>
      <c r="I166" t="n">
        <v>1</v>
      </c>
      <c r="J166" t="n">
        <v>1</v>
      </c>
      <c r="K166" t="n">
        <v>0</v>
      </c>
      <c r="L166" t="n">
        <v>0</v>
      </c>
      <c r="M166" t="n">
        <v>0</v>
      </c>
      <c r="N166" t="n">
        <v>0</v>
      </c>
      <c r="O166" t="n">
        <v>1</v>
      </c>
      <c r="P166" t="n">
        <v>0</v>
      </c>
      <c r="Q166" t="n">
        <v>2</v>
      </c>
      <c r="R166" s="2" t="inlineStr">
        <is>
          <t>Skrovellav
Luddlav</t>
        </is>
      </c>
      <c r="S166">
        <f>HYPERLINK("https://klasma.github.io/Logging_2309/artfynd/A 37877-2019 artfynd.xlsx", "A 37877-2019")</f>
        <v/>
      </c>
      <c r="T166">
        <f>HYPERLINK("https://klasma.github.io/Logging_2309/kartor/A 37877-2019 karta.png", "A 37877-2019")</f>
        <v/>
      </c>
      <c r="V166">
        <f>HYPERLINK("https://klasma.github.io/Logging_2309/klagomål/A 37877-2019 FSC-klagomål.docx", "A 37877-2019")</f>
        <v/>
      </c>
      <c r="W166">
        <f>HYPERLINK("https://klasma.github.io/Logging_2309/klagomålsmail/A 37877-2019 FSC-klagomål mail.docx", "A 37877-2019")</f>
        <v/>
      </c>
      <c r="X166">
        <f>HYPERLINK("https://klasma.github.io/Logging_2309/tillsyn/A 37877-2019 tillsynsbegäran.docx", "A 37877-2019")</f>
        <v/>
      </c>
      <c r="Y166">
        <f>HYPERLINK("https://klasma.github.io/Logging_2309/tillsynsmail/A 37877-2019 tillsynsbegäran mail.docx", "A 37877-2019")</f>
        <v/>
      </c>
    </row>
    <row r="167" ht="15" customHeight="1">
      <c r="A167" t="inlineStr">
        <is>
          <t>A 68075-2019</t>
        </is>
      </c>
      <c r="B167" s="1" t="n">
        <v>43816</v>
      </c>
      <c r="C167" s="1" t="n">
        <v>45582</v>
      </c>
      <c r="D167" t="inlineStr">
        <is>
          <t>JÄMTLANDS LÄN</t>
        </is>
      </c>
      <c r="E167" t="inlineStr">
        <is>
          <t>KROKOM</t>
        </is>
      </c>
      <c r="F167" t="inlineStr">
        <is>
          <t>SCA</t>
        </is>
      </c>
      <c r="G167" t="n">
        <v>11.3</v>
      </c>
      <c r="H167" t="n">
        <v>0</v>
      </c>
      <c r="I167" t="n">
        <v>0</v>
      </c>
      <c r="J167" t="n">
        <v>2</v>
      </c>
      <c r="K167" t="n">
        <v>0</v>
      </c>
      <c r="L167" t="n">
        <v>0</v>
      </c>
      <c r="M167" t="n">
        <v>0</v>
      </c>
      <c r="N167" t="n">
        <v>0</v>
      </c>
      <c r="O167" t="n">
        <v>2</v>
      </c>
      <c r="P167" t="n">
        <v>0</v>
      </c>
      <c r="Q167" t="n">
        <v>2</v>
      </c>
      <c r="R167" s="2" t="inlineStr">
        <is>
          <t>Garnlav
Lunglav</t>
        </is>
      </c>
      <c r="S167">
        <f>HYPERLINK("https://klasma.github.io/Logging_2309/artfynd/A 68075-2019 artfynd.xlsx", "A 68075-2019")</f>
        <v/>
      </c>
      <c r="T167">
        <f>HYPERLINK("https://klasma.github.io/Logging_2309/kartor/A 68075-2019 karta.png", "A 68075-2019")</f>
        <v/>
      </c>
      <c r="V167">
        <f>HYPERLINK("https://klasma.github.io/Logging_2309/klagomål/A 68075-2019 FSC-klagomål.docx", "A 68075-2019")</f>
        <v/>
      </c>
      <c r="W167">
        <f>HYPERLINK("https://klasma.github.io/Logging_2309/klagomålsmail/A 68075-2019 FSC-klagomål mail.docx", "A 68075-2019")</f>
        <v/>
      </c>
      <c r="X167">
        <f>HYPERLINK("https://klasma.github.io/Logging_2309/tillsyn/A 68075-2019 tillsynsbegäran.docx", "A 68075-2019")</f>
        <v/>
      </c>
      <c r="Y167">
        <f>HYPERLINK("https://klasma.github.io/Logging_2309/tillsynsmail/A 68075-2019 tillsynsbegäran mail.docx", "A 68075-2019")</f>
        <v/>
      </c>
    </row>
    <row r="168" ht="15" customHeight="1">
      <c r="A168" t="inlineStr">
        <is>
          <t>A 54387-2020</t>
        </is>
      </c>
      <c r="B168" s="1" t="n">
        <v>44123</v>
      </c>
      <c r="C168" s="1" t="n">
        <v>45582</v>
      </c>
      <c r="D168" t="inlineStr">
        <is>
          <t>JÄMTLANDS LÄN</t>
        </is>
      </c>
      <c r="E168" t="inlineStr">
        <is>
          <t>KROKOM</t>
        </is>
      </c>
      <c r="G168" t="n">
        <v>4.3</v>
      </c>
      <c r="H168" t="n">
        <v>1</v>
      </c>
      <c r="I168" t="n">
        <v>1</v>
      </c>
      <c r="J168" t="n">
        <v>0</v>
      </c>
      <c r="K168" t="n">
        <v>0</v>
      </c>
      <c r="L168" t="n">
        <v>1</v>
      </c>
      <c r="M168" t="n">
        <v>0</v>
      </c>
      <c r="N168" t="n">
        <v>0</v>
      </c>
      <c r="O168" t="n">
        <v>1</v>
      </c>
      <c r="P168" t="n">
        <v>1</v>
      </c>
      <c r="Q168" t="n">
        <v>2</v>
      </c>
      <c r="R168" s="2" t="inlineStr">
        <is>
          <t>Violett guldvinge
Luddlav</t>
        </is>
      </c>
      <c r="S168">
        <f>HYPERLINK("https://klasma.github.io/Logging_2309/artfynd/A 54387-2020 artfynd.xlsx", "A 54387-2020")</f>
        <v/>
      </c>
      <c r="T168">
        <f>HYPERLINK("https://klasma.github.io/Logging_2309/kartor/A 54387-2020 karta.png", "A 54387-2020")</f>
        <v/>
      </c>
      <c r="V168">
        <f>HYPERLINK("https://klasma.github.io/Logging_2309/klagomål/A 54387-2020 FSC-klagomål.docx", "A 54387-2020")</f>
        <v/>
      </c>
      <c r="W168">
        <f>HYPERLINK("https://klasma.github.io/Logging_2309/klagomålsmail/A 54387-2020 FSC-klagomål mail.docx", "A 54387-2020")</f>
        <v/>
      </c>
      <c r="X168">
        <f>HYPERLINK("https://klasma.github.io/Logging_2309/tillsyn/A 54387-2020 tillsynsbegäran.docx", "A 54387-2020")</f>
        <v/>
      </c>
      <c r="Y168">
        <f>HYPERLINK("https://klasma.github.io/Logging_2309/tillsynsmail/A 54387-2020 tillsynsbegäran mail.docx", "A 54387-2020")</f>
        <v/>
      </c>
    </row>
    <row r="169" ht="15" customHeight="1">
      <c r="A169" t="inlineStr">
        <is>
          <t>A 62641-2020</t>
        </is>
      </c>
      <c r="B169" s="1" t="n">
        <v>44161</v>
      </c>
      <c r="C169" s="1" t="n">
        <v>45582</v>
      </c>
      <c r="D169" t="inlineStr">
        <is>
          <t>JÄMTLANDS LÄN</t>
        </is>
      </c>
      <c r="E169" t="inlineStr">
        <is>
          <t>KROKOM</t>
        </is>
      </c>
      <c r="G169" t="n">
        <v>5.3</v>
      </c>
      <c r="H169" t="n">
        <v>1</v>
      </c>
      <c r="I169" t="n">
        <v>1</v>
      </c>
      <c r="J169" t="n">
        <v>0</v>
      </c>
      <c r="K169" t="n">
        <v>0</v>
      </c>
      <c r="L169" t="n">
        <v>0</v>
      </c>
      <c r="M169" t="n">
        <v>0</v>
      </c>
      <c r="N169" t="n">
        <v>0</v>
      </c>
      <c r="O169" t="n">
        <v>0</v>
      </c>
      <c r="P169" t="n">
        <v>0</v>
      </c>
      <c r="Q169" t="n">
        <v>2</v>
      </c>
      <c r="R169" s="2" t="inlineStr">
        <is>
          <t>Svavelriska
Blåsippa</t>
        </is>
      </c>
      <c r="S169">
        <f>HYPERLINK("https://klasma.github.io/Logging_2309/artfynd/A 62641-2020 artfynd.xlsx", "A 62641-2020")</f>
        <v/>
      </c>
      <c r="T169">
        <f>HYPERLINK("https://klasma.github.io/Logging_2309/kartor/A 62641-2020 karta.png", "A 62641-2020")</f>
        <v/>
      </c>
      <c r="V169">
        <f>HYPERLINK("https://klasma.github.io/Logging_2309/klagomål/A 62641-2020 FSC-klagomål.docx", "A 62641-2020")</f>
        <v/>
      </c>
      <c r="W169">
        <f>HYPERLINK("https://klasma.github.io/Logging_2309/klagomålsmail/A 62641-2020 FSC-klagomål mail.docx", "A 62641-2020")</f>
        <v/>
      </c>
      <c r="X169">
        <f>HYPERLINK("https://klasma.github.io/Logging_2309/tillsyn/A 62641-2020 tillsynsbegäran.docx", "A 62641-2020")</f>
        <v/>
      </c>
      <c r="Y169">
        <f>HYPERLINK("https://klasma.github.io/Logging_2309/tillsynsmail/A 62641-2020 tillsynsbegäran mail.docx", "A 62641-2020")</f>
        <v/>
      </c>
    </row>
    <row r="170" ht="15" customHeight="1">
      <c r="A170" t="inlineStr">
        <is>
          <t>A 1698-2021</t>
        </is>
      </c>
      <c r="B170" s="1" t="n">
        <v>44209</v>
      </c>
      <c r="C170" s="1" t="n">
        <v>45582</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5527-2021</t>
        </is>
      </c>
      <c r="B171" s="1" t="n">
        <v>44230</v>
      </c>
      <c r="C171" s="1" t="n">
        <v>45582</v>
      </c>
      <c r="D171" t="inlineStr">
        <is>
          <t>JÄMTLANDS LÄN</t>
        </is>
      </c>
      <c r="E171" t="inlineStr">
        <is>
          <t>KROKOM</t>
        </is>
      </c>
      <c r="G171" t="n">
        <v>17.8</v>
      </c>
      <c r="H171" t="n">
        <v>2</v>
      </c>
      <c r="I171" t="n">
        <v>1</v>
      </c>
      <c r="J171" t="n">
        <v>0</v>
      </c>
      <c r="K171" t="n">
        <v>0</v>
      </c>
      <c r="L171" t="n">
        <v>0</v>
      </c>
      <c r="M171" t="n">
        <v>0</v>
      </c>
      <c r="N171" t="n">
        <v>0</v>
      </c>
      <c r="O171" t="n">
        <v>0</v>
      </c>
      <c r="P171" t="n">
        <v>0</v>
      </c>
      <c r="Q171" t="n">
        <v>2</v>
      </c>
      <c r="R171" s="2" t="inlineStr">
        <is>
          <t>Guckusko
Hökuggla</t>
        </is>
      </c>
      <c r="S171">
        <f>HYPERLINK("https://klasma.github.io/Logging_2309/artfynd/A 5527-2021 artfynd.xlsx", "A 5527-2021")</f>
        <v/>
      </c>
      <c r="T171">
        <f>HYPERLINK("https://klasma.github.io/Logging_2309/kartor/A 5527-2021 karta.png", "A 5527-2021")</f>
        <v/>
      </c>
      <c r="V171">
        <f>HYPERLINK("https://klasma.github.io/Logging_2309/klagomål/A 5527-2021 FSC-klagomål.docx", "A 5527-2021")</f>
        <v/>
      </c>
      <c r="W171">
        <f>HYPERLINK("https://klasma.github.io/Logging_2309/klagomålsmail/A 5527-2021 FSC-klagomål mail.docx", "A 5527-2021")</f>
        <v/>
      </c>
      <c r="X171">
        <f>HYPERLINK("https://klasma.github.io/Logging_2309/tillsyn/A 5527-2021 tillsynsbegäran.docx", "A 5527-2021")</f>
        <v/>
      </c>
      <c r="Y171">
        <f>HYPERLINK("https://klasma.github.io/Logging_2309/tillsynsmail/A 5527-2021 tillsynsbegäran mail.docx", "A 5527-2021")</f>
        <v/>
      </c>
      <c r="Z171">
        <f>HYPERLINK("https://klasma.github.io/Logging_2309/fåglar/A 5527-2021 prioriterade fågelarter.docx", "A 5527-2021")</f>
        <v/>
      </c>
    </row>
    <row r="172" ht="15" customHeight="1">
      <c r="A172" t="inlineStr">
        <is>
          <t>A 14589-2021</t>
        </is>
      </c>
      <c r="B172" s="1" t="n">
        <v>44279</v>
      </c>
      <c r="C172" s="1" t="n">
        <v>45582</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20981-2021</t>
        </is>
      </c>
      <c r="B173" s="1" t="n">
        <v>44316</v>
      </c>
      <c r="C173" s="1" t="n">
        <v>45582</v>
      </c>
      <c r="D173" t="inlineStr">
        <is>
          <t>JÄMTLANDS LÄN</t>
        </is>
      </c>
      <c r="E173" t="inlineStr">
        <is>
          <t>KROKOM</t>
        </is>
      </c>
      <c r="G173" t="n">
        <v>27.4</v>
      </c>
      <c r="H173" t="n">
        <v>0</v>
      </c>
      <c r="I173" t="n">
        <v>1</v>
      </c>
      <c r="J173" t="n">
        <v>1</v>
      </c>
      <c r="K173" t="n">
        <v>0</v>
      </c>
      <c r="L173" t="n">
        <v>0</v>
      </c>
      <c r="M173" t="n">
        <v>0</v>
      </c>
      <c r="N173" t="n">
        <v>0</v>
      </c>
      <c r="O173" t="n">
        <v>1</v>
      </c>
      <c r="P173" t="n">
        <v>0</v>
      </c>
      <c r="Q173" t="n">
        <v>2</v>
      </c>
      <c r="R173" s="2" t="inlineStr">
        <is>
          <t>Harticka
Trådticka</t>
        </is>
      </c>
      <c r="S173">
        <f>HYPERLINK("https://klasma.github.io/Logging_2309/artfynd/A 20981-2021 artfynd.xlsx", "A 20981-2021")</f>
        <v/>
      </c>
      <c r="T173">
        <f>HYPERLINK("https://klasma.github.io/Logging_2309/kartor/A 20981-2021 karta.png", "A 20981-2021")</f>
        <v/>
      </c>
      <c r="V173">
        <f>HYPERLINK("https://klasma.github.io/Logging_2309/klagomål/A 20981-2021 FSC-klagomål.docx", "A 20981-2021")</f>
        <v/>
      </c>
      <c r="W173">
        <f>HYPERLINK("https://klasma.github.io/Logging_2309/klagomålsmail/A 20981-2021 FSC-klagomål mail.docx", "A 20981-2021")</f>
        <v/>
      </c>
      <c r="X173">
        <f>HYPERLINK("https://klasma.github.io/Logging_2309/tillsyn/A 20981-2021 tillsynsbegäran.docx", "A 20981-2021")</f>
        <v/>
      </c>
      <c r="Y173">
        <f>HYPERLINK("https://klasma.github.io/Logging_2309/tillsynsmail/A 20981-2021 tillsynsbegäran mail.docx", "A 20981-2021")</f>
        <v/>
      </c>
    </row>
    <row r="174" ht="15" customHeight="1">
      <c r="A174" t="inlineStr">
        <is>
          <t>A 28151-2021</t>
        </is>
      </c>
      <c r="B174" s="1" t="n">
        <v>44355</v>
      </c>
      <c r="C174" s="1" t="n">
        <v>45582</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45582</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54547-2021</t>
        </is>
      </c>
      <c r="B176" s="1" t="n">
        <v>44473</v>
      </c>
      <c r="C176" s="1" t="n">
        <v>45582</v>
      </c>
      <c r="D176" t="inlineStr">
        <is>
          <t>JÄMTLANDS LÄN</t>
        </is>
      </c>
      <c r="E176" t="inlineStr">
        <is>
          <t>KROKOM</t>
        </is>
      </c>
      <c r="G176" t="n">
        <v>8</v>
      </c>
      <c r="H176" t="n">
        <v>1</v>
      </c>
      <c r="I176" t="n">
        <v>1</v>
      </c>
      <c r="J176" t="n">
        <v>1</v>
      </c>
      <c r="K176" t="n">
        <v>0</v>
      </c>
      <c r="L176" t="n">
        <v>0</v>
      </c>
      <c r="M176" t="n">
        <v>0</v>
      </c>
      <c r="N176" t="n">
        <v>0</v>
      </c>
      <c r="O176" t="n">
        <v>1</v>
      </c>
      <c r="P176" t="n">
        <v>0</v>
      </c>
      <c r="Q176" t="n">
        <v>2</v>
      </c>
      <c r="R176" s="2" t="inlineStr">
        <is>
          <t>Luddfingersvamp
Korallrot</t>
        </is>
      </c>
      <c r="S176">
        <f>HYPERLINK("https://klasma.github.io/Logging_2309/artfynd/A 54547-2021 artfynd.xlsx", "A 54547-2021")</f>
        <v/>
      </c>
      <c r="T176">
        <f>HYPERLINK("https://klasma.github.io/Logging_2309/kartor/A 54547-2021 karta.png", "A 54547-2021")</f>
        <v/>
      </c>
      <c r="V176">
        <f>HYPERLINK("https://klasma.github.io/Logging_2309/klagomål/A 54547-2021 FSC-klagomål.docx", "A 54547-2021")</f>
        <v/>
      </c>
      <c r="W176">
        <f>HYPERLINK("https://klasma.github.io/Logging_2309/klagomålsmail/A 54547-2021 FSC-klagomål mail.docx", "A 54547-2021")</f>
        <v/>
      </c>
      <c r="X176">
        <f>HYPERLINK("https://klasma.github.io/Logging_2309/tillsyn/A 54547-2021 tillsynsbegäran.docx", "A 54547-2021")</f>
        <v/>
      </c>
      <c r="Y176">
        <f>HYPERLINK("https://klasma.github.io/Logging_2309/tillsynsmail/A 54547-2021 tillsynsbegäran mail.docx", "A 54547-2021")</f>
        <v/>
      </c>
    </row>
    <row r="177" ht="15" customHeight="1">
      <c r="A177" t="inlineStr">
        <is>
          <t>A 67700-2021</t>
        </is>
      </c>
      <c r="B177" s="1" t="n">
        <v>44524</v>
      </c>
      <c r="C177" s="1" t="n">
        <v>45582</v>
      </c>
      <c r="D177" t="inlineStr">
        <is>
          <t>JÄMTLANDS LÄN</t>
        </is>
      </c>
      <c r="E177" t="inlineStr">
        <is>
          <t>KROKOM</t>
        </is>
      </c>
      <c r="F177" t="inlineStr">
        <is>
          <t>SCA</t>
        </is>
      </c>
      <c r="G177" t="n">
        <v>1.3</v>
      </c>
      <c r="H177" t="n">
        <v>1</v>
      </c>
      <c r="I177" t="n">
        <v>0</v>
      </c>
      <c r="J177" t="n">
        <v>1</v>
      </c>
      <c r="K177" t="n">
        <v>0</v>
      </c>
      <c r="L177" t="n">
        <v>0</v>
      </c>
      <c r="M177" t="n">
        <v>0</v>
      </c>
      <c r="N177" t="n">
        <v>0</v>
      </c>
      <c r="O177" t="n">
        <v>1</v>
      </c>
      <c r="P177" t="n">
        <v>0</v>
      </c>
      <c r="Q177" t="n">
        <v>2</v>
      </c>
      <c r="R177" s="2" t="inlineStr">
        <is>
          <t>Lunglav
Blåsippa</t>
        </is>
      </c>
      <c r="S177">
        <f>HYPERLINK("https://klasma.github.io/Logging_2309/artfynd/A 67700-2021 artfynd.xlsx", "A 67700-2021")</f>
        <v/>
      </c>
      <c r="T177">
        <f>HYPERLINK("https://klasma.github.io/Logging_2309/kartor/A 67700-2021 karta.png", "A 67700-2021")</f>
        <v/>
      </c>
      <c r="V177">
        <f>HYPERLINK("https://klasma.github.io/Logging_2309/klagomål/A 67700-2021 FSC-klagomål.docx", "A 67700-2021")</f>
        <v/>
      </c>
      <c r="W177">
        <f>HYPERLINK("https://klasma.github.io/Logging_2309/klagomålsmail/A 67700-2021 FSC-klagomål mail.docx", "A 67700-2021")</f>
        <v/>
      </c>
      <c r="X177">
        <f>HYPERLINK("https://klasma.github.io/Logging_2309/tillsyn/A 67700-2021 tillsynsbegäran.docx", "A 67700-2021")</f>
        <v/>
      </c>
      <c r="Y177">
        <f>HYPERLINK("https://klasma.github.io/Logging_2309/tillsynsmail/A 67700-2021 tillsynsbegäran mail.docx", "A 67700-2021")</f>
        <v/>
      </c>
    </row>
    <row r="178" ht="15" customHeight="1">
      <c r="A178" t="inlineStr">
        <is>
          <t>A 67738-2021</t>
        </is>
      </c>
      <c r="B178" s="1" t="n">
        <v>44524</v>
      </c>
      <c r="C178" s="1" t="n">
        <v>45582</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71571-2021</t>
        </is>
      </c>
      <c r="B179" s="1" t="n">
        <v>44540</v>
      </c>
      <c r="C179" s="1" t="n">
        <v>45582</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30060-2022</t>
        </is>
      </c>
      <c r="B180" s="1" t="n">
        <v>44757</v>
      </c>
      <c r="C180" s="1" t="n">
        <v>45582</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33507-2022</t>
        </is>
      </c>
      <c r="B181" s="1" t="n">
        <v>44788</v>
      </c>
      <c r="C181" s="1" t="n">
        <v>45582</v>
      </c>
      <c r="D181" t="inlineStr">
        <is>
          <t>JÄMTLANDS LÄN</t>
        </is>
      </c>
      <c r="E181" t="inlineStr">
        <is>
          <t>KROKOM</t>
        </is>
      </c>
      <c r="F181" t="inlineStr">
        <is>
          <t>SCA</t>
        </is>
      </c>
      <c r="G181" t="n">
        <v>4.2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33507-2022 artfynd.xlsx", "A 33507-2022")</f>
        <v/>
      </c>
      <c r="T181">
        <f>HYPERLINK("https://klasma.github.io/Logging_2309/kartor/A 33507-2022 karta.png", "A 33507-2022")</f>
        <v/>
      </c>
      <c r="V181">
        <f>HYPERLINK("https://klasma.github.io/Logging_2309/klagomål/A 33507-2022 FSC-klagomål.docx", "A 33507-2022")</f>
        <v/>
      </c>
      <c r="W181">
        <f>HYPERLINK("https://klasma.github.io/Logging_2309/klagomålsmail/A 33507-2022 FSC-klagomål mail.docx", "A 33507-2022")</f>
        <v/>
      </c>
      <c r="X181">
        <f>HYPERLINK("https://klasma.github.io/Logging_2309/tillsyn/A 33507-2022 tillsynsbegäran.docx", "A 33507-2022")</f>
        <v/>
      </c>
      <c r="Y181">
        <f>HYPERLINK("https://klasma.github.io/Logging_2309/tillsynsmail/A 33507-2022 tillsynsbegäran mail.docx", "A 33507-2022")</f>
        <v/>
      </c>
      <c r="Z181">
        <f>HYPERLINK("https://klasma.github.io/Logging_2309/fåglar/A 33507-2022 prioriterade fågelarter.docx", "A 33507-2022")</f>
        <v/>
      </c>
    </row>
    <row r="182" ht="15" customHeight="1">
      <c r="A182" t="inlineStr">
        <is>
          <t>A 54189-2022</t>
        </is>
      </c>
      <c r="B182" s="1" t="n">
        <v>44879</v>
      </c>
      <c r="C182" s="1" t="n">
        <v>45582</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45582</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56476-2023</t>
        </is>
      </c>
      <c r="B184" s="1" t="n">
        <v>45243</v>
      </c>
      <c r="C184" s="1" t="n">
        <v>45582</v>
      </c>
      <c r="D184" t="inlineStr">
        <is>
          <t>JÄMTLANDS LÄN</t>
        </is>
      </c>
      <c r="E184" t="inlineStr">
        <is>
          <t>KROKOM</t>
        </is>
      </c>
      <c r="G184" t="n">
        <v>19.8</v>
      </c>
      <c r="H184" t="n">
        <v>0</v>
      </c>
      <c r="I184" t="n">
        <v>0</v>
      </c>
      <c r="J184" t="n">
        <v>2</v>
      </c>
      <c r="K184" t="n">
        <v>0</v>
      </c>
      <c r="L184" t="n">
        <v>0</v>
      </c>
      <c r="M184" t="n">
        <v>0</v>
      </c>
      <c r="N184" t="n">
        <v>0</v>
      </c>
      <c r="O184" t="n">
        <v>2</v>
      </c>
      <c r="P184" t="n">
        <v>0</v>
      </c>
      <c r="Q184" t="n">
        <v>2</v>
      </c>
      <c r="R184" s="2" t="inlineStr">
        <is>
          <t>Gammelgransskål
Gränsticka</t>
        </is>
      </c>
      <c r="S184">
        <f>HYPERLINK("https://klasma.github.io/Logging_2309/artfynd/A 56476-2023 artfynd.xlsx", "A 56476-2023")</f>
        <v/>
      </c>
      <c r="T184">
        <f>HYPERLINK("https://klasma.github.io/Logging_2309/kartor/A 56476-2023 karta.png", "A 56476-2023")</f>
        <v/>
      </c>
      <c r="V184">
        <f>HYPERLINK("https://klasma.github.io/Logging_2309/klagomål/A 56476-2023 FSC-klagomål.docx", "A 56476-2023")</f>
        <v/>
      </c>
      <c r="W184">
        <f>HYPERLINK("https://klasma.github.io/Logging_2309/klagomålsmail/A 56476-2023 FSC-klagomål mail.docx", "A 56476-2023")</f>
        <v/>
      </c>
      <c r="X184">
        <f>HYPERLINK("https://klasma.github.io/Logging_2309/tillsyn/A 56476-2023 tillsynsbegäran.docx", "A 56476-2023")</f>
        <v/>
      </c>
      <c r="Y184">
        <f>HYPERLINK("https://klasma.github.io/Logging_2309/tillsynsmail/A 56476-2023 tillsynsbegäran mail.docx", "A 56476-2023")</f>
        <v/>
      </c>
    </row>
    <row r="185" ht="15" customHeight="1">
      <c r="A185" t="inlineStr">
        <is>
          <t>A 62453-2023</t>
        </is>
      </c>
      <c r="B185" s="1" t="n">
        <v>45268</v>
      </c>
      <c r="C185" s="1" t="n">
        <v>45582</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45582</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11439-2024</t>
        </is>
      </c>
      <c r="B187" s="1" t="n">
        <v>45372</v>
      </c>
      <c r="C187" s="1" t="n">
        <v>45582</v>
      </c>
      <c r="D187" t="inlineStr">
        <is>
          <t>JÄMTLANDS LÄN</t>
        </is>
      </c>
      <c r="E187" t="inlineStr">
        <is>
          <t>KROKOM</t>
        </is>
      </c>
      <c r="G187" t="n">
        <v>33</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HYPERLINK("https://klasma.github.io/Logging_2309/artfynd/A 11439-2024 artfynd.xlsx", "A 11439-2024")</f>
        <v/>
      </c>
      <c r="T187">
        <f>HYPERLINK("https://klasma.github.io/Logging_2309/kartor/A 11439-2024 karta.png", "A 11439-2024")</f>
        <v/>
      </c>
      <c r="V187">
        <f>HYPERLINK("https://klasma.github.io/Logging_2309/klagomål/A 11439-2024 FSC-klagomål.docx", "A 11439-2024")</f>
        <v/>
      </c>
      <c r="W187">
        <f>HYPERLINK("https://klasma.github.io/Logging_2309/klagomålsmail/A 11439-2024 FSC-klagomål mail.docx", "A 11439-2024")</f>
        <v/>
      </c>
      <c r="X187">
        <f>HYPERLINK("https://klasma.github.io/Logging_2309/tillsyn/A 11439-2024 tillsynsbegäran.docx", "A 11439-2024")</f>
        <v/>
      </c>
      <c r="Y187">
        <f>HYPERLINK("https://klasma.github.io/Logging_2309/tillsynsmail/A 11439-2024 tillsynsbegäran mail.docx", "A 11439-2024")</f>
        <v/>
      </c>
      <c r="Z187">
        <f>HYPERLINK("https://klasma.github.io/Logging_2309/fåglar/A 11439-2024 prioriterade fågelarter.docx", "A 11439-2024")</f>
        <v/>
      </c>
    </row>
    <row r="188" ht="15" customHeight="1">
      <c r="A188" t="inlineStr">
        <is>
          <t>A 11984-2024</t>
        </is>
      </c>
      <c r="B188" s="1" t="n">
        <v>45376</v>
      </c>
      <c r="C188" s="1" t="n">
        <v>45582</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23020-2024</t>
        </is>
      </c>
      <c r="B189" s="1" t="n">
        <v>45450</v>
      </c>
      <c r="C189" s="1" t="n">
        <v>45582</v>
      </c>
      <c r="D189" t="inlineStr">
        <is>
          <t>JÄMTLANDS LÄN</t>
        </is>
      </c>
      <c r="E189" t="inlineStr">
        <is>
          <t>KROKOM</t>
        </is>
      </c>
      <c r="G189" t="n">
        <v>6.5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23020-2024 artfynd.xlsx", "A 23020-2024")</f>
        <v/>
      </c>
      <c r="T189">
        <f>HYPERLINK("https://klasma.github.io/Logging_2309/kartor/A 23020-2024 karta.png", "A 23020-2024")</f>
        <v/>
      </c>
      <c r="V189">
        <f>HYPERLINK("https://klasma.github.io/Logging_2309/klagomål/A 23020-2024 FSC-klagomål.docx", "A 23020-2024")</f>
        <v/>
      </c>
      <c r="W189">
        <f>HYPERLINK("https://klasma.github.io/Logging_2309/klagomålsmail/A 23020-2024 FSC-klagomål mail.docx", "A 23020-2024")</f>
        <v/>
      </c>
      <c r="X189">
        <f>HYPERLINK("https://klasma.github.io/Logging_2309/tillsyn/A 23020-2024 tillsynsbegäran.docx", "A 23020-2024")</f>
        <v/>
      </c>
      <c r="Y189">
        <f>HYPERLINK("https://klasma.github.io/Logging_2309/tillsynsmail/A 23020-2024 tillsynsbegäran mail.docx", "A 23020-2024")</f>
        <v/>
      </c>
      <c r="Z189">
        <f>HYPERLINK("https://klasma.github.io/Logging_2309/fåglar/A 23020-2024 prioriterade fågelarter.docx", "A 23020-2024")</f>
        <v/>
      </c>
    </row>
    <row r="190" ht="15" customHeight="1">
      <c r="A190" t="inlineStr">
        <is>
          <t>A 27594-2024</t>
        </is>
      </c>
      <c r="B190" s="1" t="n">
        <v>45474</v>
      </c>
      <c r="C190" s="1" t="n">
        <v>45582</v>
      </c>
      <c r="D190" t="inlineStr">
        <is>
          <t>JÄMTLANDS LÄN</t>
        </is>
      </c>
      <c r="E190" t="inlineStr">
        <is>
          <t>KROKOM</t>
        </is>
      </c>
      <c r="G190" t="n">
        <v>4.9</v>
      </c>
      <c r="H190" t="n">
        <v>0</v>
      </c>
      <c r="I190" t="n">
        <v>0</v>
      </c>
      <c r="J190" t="n">
        <v>1</v>
      </c>
      <c r="K190" t="n">
        <v>1</v>
      </c>
      <c r="L190" t="n">
        <v>0</v>
      </c>
      <c r="M190" t="n">
        <v>0</v>
      </c>
      <c r="N190" t="n">
        <v>0</v>
      </c>
      <c r="O190" t="n">
        <v>2</v>
      </c>
      <c r="P190" t="n">
        <v>1</v>
      </c>
      <c r="Q190" t="n">
        <v>2</v>
      </c>
      <c r="R190" s="2" t="inlineStr">
        <is>
          <t>Siljansspindling
Persiljespindling</t>
        </is>
      </c>
      <c r="S190">
        <f>HYPERLINK("https://klasma.github.io/Logging_2309/artfynd/A 27594-2024 artfynd.xlsx", "A 27594-2024")</f>
        <v/>
      </c>
      <c r="T190">
        <f>HYPERLINK("https://klasma.github.io/Logging_2309/kartor/A 27594-2024 karta.png", "A 27594-2024")</f>
        <v/>
      </c>
      <c r="V190">
        <f>HYPERLINK("https://klasma.github.io/Logging_2309/klagomål/A 27594-2024 FSC-klagomål.docx", "A 27594-2024")</f>
        <v/>
      </c>
      <c r="W190">
        <f>HYPERLINK("https://klasma.github.io/Logging_2309/klagomålsmail/A 27594-2024 FSC-klagomål mail.docx", "A 27594-2024")</f>
        <v/>
      </c>
      <c r="X190">
        <f>HYPERLINK("https://klasma.github.io/Logging_2309/tillsyn/A 27594-2024 tillsynsbegäran.docx", "A 27594-2024")</f>
        <v/>
      </c>
      <c r="Y190">
        <f>HYPERLINK("https://klasma.github.io/Logging_2309/tillsynsmail/A 27594-2024 tillsynsbegäran mail.docx", "A 27594-2024")</f>
        <v/>
      </c>
    </row>
    <row r="191" ht="15" customHeight="1">
      <c r="A191" t="inlineStr">
        <is>
          <t>A 40236-2024</t>
        </is>
      </c>
      <c r="B191" s="1" t="n">
        <v>45554</v>
      </c>
      <c r="C191" s="1" t="n">
        <v>45582</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30819-2019</t>
        </is>
      </c>
      <c r="B192" s="1" t="n">
        <v>43636</v>
      </c>
      <c r="C192" s="1" t="n">
        <v>45582</v>
      </c>
      <c r="D192" t="inlineStr">
        <is>
          <t>JÄMTLANDS LÄN</t>
        </is>
      </c>
      <c r="E192" t="inlineStr">
        <is>
          <t>KROKOM</t>
        </is>
      </c>
      <c r="G192" t="n">
        <v>18.8</v>
      </c>
      <c r="H192" t="n">
        <v>0</v>
      </c>
      <c r="I192" t="n">
        <v>1</v>
      </c>
      <c r="J192" t="n">
        <v>0</v>
      </c>
      <c r="K192" t="n">
        <v>0</v>
      </c>
      <c r="L192" t="n">
        <v>0</v>
      </c>
      <c r="M192" t="n">
        <v>0</v>
      </c>
      <c r="N192" t="n">
        <v>0</v>
      </c>
      <c r="O192" t="n">
        <v>0</v>
      </c>
      <c r="P192" t="n">
        <v>0</v>
      </c>
      <c r="Q192" t="n">
        <v>1</v>
      </c>
      <c r="R192" s="2" t="inlineStr">
        <is>
          <t>Ögonpyrola</t>
        </is>
      </c>
      <c r="S192">
        <f>HYPERLINK("https://klasma.github.io/Logging_2309/artfynd/A 30819-2019 artfynd.xlsx", "A 30819-2019")</f>
        <v/>
      </c>
      <c r="T192">
        <f>HYPERLINK("https://klasma.github.io/Logging_2309/kartor/A 30819-2019 karta.png", "A 30819-2019")</f>
        <v/>
      </c>
      <c r="V192">
        <f>HYPERLINK("https://klasma.github.io/Logging_2309/klagomål/A 30819-2019 FSC-klagomål.docx", "A 30819-2019")</f>
        <v/>
      </c>
      <c r="W192">
        <f>HYPERLINK("https://klasma.github.io/Logging_2309/klagomålsmail/A 30819-2019 FSC-klagomål mail.docx", "A 30819-2019")</f>
        <v/>
      </c>
      <c r="X192">
        <f>HYPERLINK("https://klasma.github.io/Logging_2309/tillsyn/A 30819-2019 tillsynsbegäran.docx", "A 30819-2019")</f>
        <v/>
      </c>
      <c r="Y192">
        <f>HYPERLINK("https://klasma.github.io/Logging_2309/tillsynsmail/A 30819-2019 tillsynsbegäran mail.docx", "A 30819-2019")</f>
        <v/>
      </c>
    </row>
    <row r="193" ht="15" customHeight="1">
      <c r="A193" t="inlineStr">
        <is>
          <t>A 31910-2019</t>
        </is>
      </c>
      <c r="B193" s="1" t="n">
        <v>43642</v>
      </c>
      <c r="C193" s="1" t="n">
        <v>45582</v>
      </c>
      <c r="D193" t="inlineStr">
        <is>
          <t>JÄMTLANDS LÄN</t>
        </is>
      </c>
      <c r="E193" t="inlineStr">
        <is>
          <t>KROKOM</t>
        </is>
      </c>
      <c r="G193" t="n">
        <v>5</v>
      </c>
      <c r="H193" t="n">
        <v>0</v>
      </c>
      <c r="I193" t="n">
        <v>0</v>
      </c>
      <c r="J193" t="n">
        <v>1</v>
      </c>
      <c r="K193" t="n">
        <v>0</v>
      </c>
      <c r="L193" t="n">
        <v>0</v>
      </c>
      <c r="M193" t="n">
        <v>0</v>
      </c>
      <c r="N193" t="n">
        <v>0</v>
      </c>
      <c r="O193" t="n">
        <v>1</v>
      </c>
      <c r="P193" t="n">
        <v>0</v>
      </c>
      <c r="Q193" t="n">
        <v>1</v>
      </c>
      <c r="R193" s="2" t="inlineStr">
        <is>
          <t>Lunglav</t>
        </is>
      </c>
      <c r="S193">
        <f>HYPERLINK("https://klasma.github.io/Logging_2309/artfynd/A 31910-2019 artfynd.xlsx", "A 31910-2019")</f>
        <v/>
      </c>
      <c r="T193">
        <f>HYPERLINK("https://klasma.github.io/Logging_2309/kartor/A 31910-2019 karta.png", "A 31910-2019")</f>
        <v/>
      </c>
      <c r="V193">
        <f>HYPERLINK("https://klasma.github.io/Logging_2309/klagomål/A 31910-2019 FSC-klagomål.docx", "A 31910-2019")</f>
        <v/>
      </c>
      <c r="W193">
        <f>HYPERLINK("https://klasma.github.io/Logging_2309/klagomålsmail/A 31910-2019 FSC-klagomål mail.docx", "A 31910-2019")</f>
        <v/>
      </c>
      <c r="X193">
        <f>HYPERLINK("https://klasma.github.io/Logging_2309/tillsyn/A 31910-2019 tillsynsbegäran.docx", "A 31910-2019")</f>
        <v/>
      </c>
      <c r="Y193">
        <f>HYPERLINK("https://klasma.github.io/Logging_2309/tillsynsmail/A 31910-2019 tillsynsbegäran mail.docx", "A 31910-2019")</f>
        <v/>
      </c>
    </row>
    <row r="194" ht="15" customHeight="1">
      <c r="A194" t="inlineStr">
        <is>
          <t>A 42629-2019</t>
        </is>
      </c>
      <c r="B194" s="1" t="n">
        <v>43704</v>
      </c>
      <c r="C194" s="1" t="n">
        <v>45582</v>
      </c>
      <c r="D194" t="inlineStr">
        <is>
          <t>JÄMTLANDS LÄN</t>
        </is>
      </c>
      <c r="E194" t="inlineStr">
        <is>
          <t>KROKOM</t>
        </is>
      </c>
      <c r="G194" t="n">
        <v>7.5</v>
      </c>
      <c r="H194" t="n">
        <v>0</v>
      </c>
      <c r="I194" t="n">
        <v>0</v>
      </c>
      <c r="J194" t="n">
        <v>1</v>
      </c>
      <c r="K194" t="n">
        <v>0</v>
      </c>
      <c r="L194" t="n">
        <v>0</v>
      </c>
      <c r="M194" t="n">
        <v>0</v>
      </c>
      <c r="N194" t="n">
        <v>0</v>
      </c>
      <c r="O194" t="n">
        <v>1</v>
      </c>
      <c r="P194" t="n">
        <v>0</v>
      </c>
      <c r="Q194" t="n">
        <v>1</v>
      </c>
      <c r="R194" s="2" t="inlineStr">
        <is>
          <t>Brunklöver</t>
        </is>
      </c>
      <c r="S194">
        <f>HYPERLINK("https://klasma.github.io/Logging_2309/artfynd/A 42629-2019 artfynd.xlsx", "A 42629-2019")</f>
        <v/>
      </c>
      <c r="T194">
        <f>HYPERLINK("https://klasma.github.io/Logging_2309/kartor/A 42629-2019 karta.png", "A 42629-2019")</f>
        <v/>
      </c>
      <c r="V194">
        <f>HYPERLINK("https://klasma.github.io/Logging_2309/klagomål/A 42629-2019 FSC-klagomål.docx", "A 42629-2019")</f>
        <v/>
      </c>
      <c r="W194">
        <f>HYPERLINK("https://klasma.github.io/Logging_2309/klagomålsmail/A 42629-2019 FSC-klagomål mail.docx", "A 42629-2019")</f>
        <v/>
      </c>
      <c r="X194">
        <f>HYPERLINK("https://klasma.github.io/Logging_2309/tillsyn/A 42629-2019 tillsynsbegäran.docx", "A 42629-2019")</f>
        <v/>
      </c>
      <c r="Y194">
        <f>HYPERLINK("https://klasma.github.io/Logging_2309/tillsynsmail/A 42629-2019 tillsynsbegäran mail.docx", "A 42629-2019")</f>
        <v/>
      </c>
    </row>
    <row r="195" ht="15" customHeight="1">
      <c r="A195" t="inlineStr">
        <is>
          <t>A 50132-2019</t>
        </is>
      </c>
      <c r="B195" s="1" t="n">
        <v>43734</v>
      </c>
      <c r="C195" s="1" t="n">
        <v>45582</v>
      </c>
      <c r="D195" t="inlineStr">
        <is>
          <t>JÄMTLANDS LÄN</t>
        </is>
      </c>
      <c r="E195" t="inlineStr">
        <is>
          <t>KROKOM</t>
        </is>
      </c>
      <c r="G195" t="n">
        <v>1.8</v>
      </c>
      <c r="H195" t="n">
        <v>0</v>
      </c>
      <c r="I195" t="n">
        <v>0</v>
      </c>
      <c r="J195" t="n">
        <v>1</v>
      </c>
      <c r="K195" t="n">
        <v>0</v>
      </c>
      <c r="L195" t="n">
        <v>0</v>
      </c>
      <c r="M195" t="n">
        <v>0</v>
      </c>
      <c r="N195" t="n">
        <v>0</v>
      </c>
      <c r="O195" t="n">
        <v>1</v>
      </c>
      <c r="P195" t="n">
        <v>0</v>
      </c>
      <c r="Q195" t="n">
        <v>1</v>
      </c>
      <c r="R195" s="2" t="inlineStr">
        <is>
          <t>Vitgrynig nållav</t>
        </is>
      </c>
      <c r="S195">
        <f>HYPERLINK("https://klasma.github.io/Logging_2309/artfynd/A 50132-2019 artfynd.xlsx", "A 50132-2019")</f>
        <v/>
      </c>
      <c r="T195">
        <f>HYPERLINK("https://klasma.github.io/Logging_2309/kartor/A 50132-2019 karta.png", "A 50132-2019")</f>
        <v/>
      </c>
      <c r="V195">
        <f>HYPERLINK("https://klasma.github.io/Logging_2309/klagomål/A 50132-2019 FSC-klagomål.docx", "A 50132-2019")</f>
        <v/>
      </c>
      <c r="W195">
        <f>HYPERLINK("https://klasma.github.io/Logging_2309/klagomålsmail/A 50132-2019 FSC-klagomål mail.docx", "A 50132-2019")</f>
        <v/>
      </c>
      <c r="X195">
        <f>HYPERLINK("https://klasma.github.io/Logging_2309/tillsyn/A 50132-2019 tillsynsbegäran.docx", "A 50132-2019")</f>
        <v/>
      </c>
      <c r="Y195">
        <f>HYPERLINK("https://klasma.github.io/Logging_2309/tillsynsmail/A 50132-2019 tillsynsbegäran mail.docx", "A 50132-2019")</f>
        <v/>
      </c>
    </row>
    <row r="196" ht="15" customHeight="1">
      <c r="A196" t="inlineStr">
        <is>
          <t>A 61347-2019</t>
        </is>
      </c>
      <c r="B196" s="1" t="n">
        <v>43783</v>
      </c>
      <c r="C196" s="1" t="n">
        <v>45582</v>
      </c>
      <c r="D196" t="inlineStr">
        <is>
          <t>JÄMTLANDS LÄN</t>
        </is>
      </c>
      <c r="E196" t="inlineStr">
        <is>
          <t>KROKOM</t>
        </is>
      </c>
      <c r="F196" t="inlineStr">
        <is>
          <t>Allmännings- och besparingsskogar</t>
        </is>
      </c>
      <c r="G196" t="n">
        <v>20.7</v>
      </c>
      <c r="H196" t="n">
        <v>1</v>
      </c>
      <c r="I196" t="n">
        <v>0</v>
      </c>
      <c r="J196" t="n">
        <v>0</v>
      </c>
      <c r="K196" t="n">
        <v>1</v>
      </c>
      <c r="L196" t="n">
        <v>0</v>
      </c>
      <c r="M196" t="n">
        <v>0</v>
      </c>
      <c r="N196" t="n">
        <v>0</v>
      </c>
      <c r="O196" t="n">
        <v>1</v>
      </c>
      <c r="P196" t="n">
        <v>1</v>
      </c>
      <c r="Q196" t="n">
        <v>1</v>
      </c>
      <c r="R196" s="2" t="inlineStr">
        <is>
          <t>Knärot</t>
        </is>
      </c>
      <c r="S196">
        <f>HYPERLINK("https://klasma.github.io/Logging_2309/artfynd/A 61347-2019 artfynd.xlsx", "A 61347-2019")</f>
        <v/>
      </c>
      <c r="T196">
        <f>HYPERLINK("https://klasma.github.io/Logging_2309/kartor/A 61347-2019 karta.png", "A 61347-2019")</f>
        <v/>
      </c>
      <c r="U196">
        <f>HYPERLINK("https://klasma.github.io/Logging_2309/knärot/A 61347-2019 karta knärot.png", "A 61347-2019")</f>
        <v/>
      </c>
      <c r="V196">
        <f>HYPERLINK("https://klasma.github.io/Logging_2309/klagomål/A 61347-2019 FSC-klagomål.docx", "A 61347-2019")</f>
        <v/>
      </c>
      <c r="W196">
        <f>HYPERLINK("https://klasma.github.io/Logging_2309/klagomålsmail/A 61347-2019 FSC-klagomål mail.docx", "A 61347-2019")</f>
        <v/>
      </c>
      <c r="X196">
        <f>HYPERLINK("https://klasma.github.io/Logging_2309/tillsyn/A 61347-2019 tillsynsbegäran.docx", "A 61347-2019")</f>
        <v/>
      </c>
      <c r="Y196">
        <f>HYPERLINK("https://klasma.github.io/Logging_2309/tillsynsmail/A 61347-2019 tillsynsbegäran mail.docx", "A 61347-2019")</f>
        <v/>
      </c>
    </row>
    <row r="197" ht="15" customHeight="1">
      <c r="A197" t="inlineStr">
        <is>
          <t>A 67827-2019</t>
        </is>
      </c>
      <c r="B197" s="1" t="n">
        <v>43815</v>
      </c>
      <c r="C197" s="1" t="n">
        <v>45582</v>
      </c>
      <c r="D197" t="inlineStr">
        <is>
          <t>JÄMTLANDS LÄN</t>
        </is>
      </c>
      <c r="E197" t="inlineStr">
        <is>
          <t>KROKOM</t>
        </is>
      </c>
      <c r="F197" t="inlineStr">
        <is>
          <t>SCA</t>
        </is>
      </c>
      <c r="G197" t="n">
        <v>2.9</v>
      </c>
      <c r="H197" t="n">
        <v>0</v>
      </c>
      <c r="I197" t="n">
        <v>0</v>
      </c>
      <c r="J197" t="n">
        <v>1</v>
      </c>
      <c r="K197" t="n">
        <v>0</v>
      </c>
      <c r="L197" t="n">
        <v>0</v>
      </c>
      <c r="M197" t="n">
        <v>0</v>
      </c>
      <c r="N197" t="n">
        <v>0</v>
      </c>
      <c r="O197" t="n">
        <v>1</v>
      </c>
      <c r="P197" t="n">
        <v>0</v>
      </c>
      <c r="Q197" t="n">
        <v>1</v>
      </c>
      <c r="R197" s="2" t="inlineStr">
        <is>
          <t>Garnlav</t>
        </is>
      </c>
      <c r="S197">
        <f>HYPERLINK("https://klasma.github.io/Logging_2309/artfynd/A 67827-2019 artfynd.xlsx", "A 67827-2019")</f>
        <v/>
      </c>
      <c r="T197">
        <f>HYPERLINK("https://klasma.github.io/Logging_2309/kartor/A 67827-2019 karta.png", "A 67827-2019")</f>
        <v/>
      </c>
      <c r="V197">
        <f>HYPERLINK("https://klasma.github.io/Logging_2309/klagomål/A 67827-2019 FSC-klagomål.docx", "A 67827-2019")</f>
        <v/>
      </c>
      <c r="W197">
        <f>HYPERLINK("https://klasma.github.io/Logging_2309/klagomålsmail/A 67827-2019 FSC-klagomål mail.docx", "A 67827-2019")</f>
        <v/>
      </c>
      <c r="X197">
        <f>HYPERLINK("https://klasma.github.io/Logging_2309/tillsyn/A 67827-2019 tillsynsbegäran.docx", "A 67827-2019")</f>
        <v/>
      </c>
      <c r="Y197">
        <f>HYPERLINK("https://klasma.github.io/Logging_2309/tillsynsmail/A 67827-2019 tillsynsbegäran mail.docx", "A 67827-2019")</f>
        <v/>
      </c>
    </row>
    <row r="198" ht="15" customHeight="1">
      <c r="A198" t="inlineStr">
        <is>
          <t>A 4626-2020</t>
        </is>
      </c>
      <c r="B198" s="1" t="n">
        <v>43858</v>
      </c>
      <c r="C198" s="1" t="n">
        <v>45582</v>
      </c>
      <c r="D198" t="inlineStr">
        <is>
          <t>JÄMTLANDS LÄN</t>
        </is>
      </c>
      <c r="E198" t="inlineStr">
        <is>
          <t>KROKOM</t>
        </is>
      </c>
      <c r="G198" t="n">
        <v>12.2</v>
      </c>
      <c r="H198" t="n">
        <v>0</v>
      </c>
      <c r="I198" t="n">
        <v>0</v>
      </c>
      <c r="J198" t="n">
        <v>1</v>
      </c>
      <c r="K198" t="n">
        <v>0</v>
      </c>
      <c r="L198" t="n">
        <v>0</v>
      </c>
      <c r="M198" t="n">
        <v>0</v>
      </c>
      <c r="N198" t="n">
        <v>0</v>
      </c>
      <c r="O198" t="n">
        <v>1</v>
      </c>
      <c r="P198" t="n">
        <v>0</v>
      </c>
      <c r="Q198" t="n">
        <v>1</v>
      </c>
      <c r="R198" s="2" t="inlineStr">
        <is>
          <t>Gränsticka</t>
        </is>
      </c>
      <c r="S198">
        <f>HYPERLINK("https://klasma.github.io/Logging_2309/artfynd/A 4626-2020 artfynd.xlsx", "A 4626-2020")</f>
        <v/>
      </c>
      <c r="T198">
        <f>HYPERLINK("https://klasma.github.io/Logging_2309/kartor/A 4626-2020 karta.png", "A 4626-2020")</f>
        <v/>
      </c>
      <c r="V198">
        <f>HYPERLINK("https://klasma.github.io/Logging_2309/klagomål/A 4626-2020 FSC-klagomål.docx", "A 4626-2020")</f>
        <v/>
      </c>
      <c r="W198">
        <f>HYPERLINK("https://klasma.github.io/Logging_2309/klagomålsmail/A 4626-2020 FSC-klagomål mail.docx", "A 4626-2020")</f>
        <v/>
      </c>
      <c r="X198">
        <f>HYPERLINK("https://klasma.github.io/Logging_2309/tillsyn/A 4626-2020 tillsynsbegäran.docx", "A 4626-2020")</f>
        <v/>
      </c>
      <c r="Y198">
        <f>HYPERLINK("https://klasma.github.io/Logging_2309/tillsynsmail/A 4626-2020 tillsynsbegäran mail.docx", "A 4626-2020")</f>
        <v/>
      </c>
    </row>
    <row r="199" ht="15" customHeight="1">
      <c r="A199" t="inlineStr">
        <is>
          <t>A 7950-2020</t>
        </is>
      </c>
      <c r="B199" s="1" t="n">
        <v>43873</v>
      </c>
      <c r="C199" s="1" t="n">
        <v>45582</v>
      </c>
      <c r="D199" t="inlineStr">
        <is>
          <t>JÄMTLANDS LÄN</t>
        </is>
      </c>
      <c r="E199" t="inlineStr">
        <is>
          <t>KROKOM</t>
        </is>
      </c>
      <c r="G199" t="n">
        <v>0.2</v>
      </c>
      <c r="H199" t="n">
        <v>0</v>
      </c>
      <c r="I199" t="n">
        <v>0</v>
      </c>
      <c r="J199" t="n">
        <v>1</v>
      </c>
      <c r="K199" t="n">
        <v>0</v>
      </c>
      <c r="L199" t="n">
        <v>0</v>
      </c>
      <c r="M199" t="n">
        <v>0</v>
      </c>
      <c r="N199" t="n">
        <v>0</v>
      </c>
      <c r="O199" t="n">
        <v>1</v>
      </c>
      <c r="P199" t="n">
        <v>0</v>
      </c>
      <c r="Q199" t="n">
        <v>1</v>
      </c>
      <c r="R199" s="2" t="inlineStr">
        <is>
          <t>Månlåsbräken</t>
        </is>
      </c>
      <c r="S199">
        <f>HYPERLINK("https://klasma.github.io/Logging_2309/artfynd/A 7950-2020 artfynd.xlsx", "A 7950-2020")</f>
        <v/>
      </c>
      <c r="T199">
        <f>HYPERLINK("https://klasma.github.io/Logging_2309/kartor/A 7950-2020 karta.png", "A 7950-2020")</f>
        <v/>
      </c>
      <c r="V199">
        <f>HYPERLINK("https://klasma.github.io/Logging_2309/klagomål/A 7950-2020 FSC-klagomål.docx", "A 7950-2020")</f>
        <v/>
      </c>
      <c r="W199">
        <f>HYPERLINK("https://klasma.github.io/Logging_2309/klagomålsmail/A 7950-2020 FSC-klagomål mail.docx", "A 7950-2020")</f>
        <v/>
      </c>
      <c r="X199">
        <f>HYPERLINK("https://klasma.github.io/Logging_2309/tillsyn/A 7950-2020 tillsynsbegäran.docx", "A 7950-2020")</f>
        <v/>
      </c>
      <c r="Y199">
        <f>HYPERLINK("https://klasma.github.io/Logging_2309/tillsynsmail/A 7950-2020 tillsynsbegäran mail.docx", "A 7950-2020")</f>
        <v/>
      </c>
    </row>
    <row r="200" ht="15" customHeight="1">
      <c r="A200" t="inlineStr">
        <is>
          <t>A 8934-2020</t>
        </is>
      </c>
      <c r="B200" s="1" t="n">
        <v>43878</v>
      </c>
      <c r="C200" s="1" t="n">
        <v>45582</v>
      </c>
      <c r="D200" t="inlineStr">
        <is>
          <t>JÄMTLANDS LÄN</t>
        </is>
      </c>
      <c r="E200" t="inlineStr">
        <is>
          <t>KROKOM</t>
        </is>
      </c>
      <c r="F200" t="inlineStr">
        <is>
          <t>SCA</t>
        </is>
      </c>
      <c r="G200" t="n">
        <v>2.5</v>
      </c>
      <c r="H200" t="n">
        <v>0</v>
      </c>
      <c r="I200" t="n">
        <v>0</v>
      </c>
      <c r="J200" t="n">
        <v>1</v>
      </c>
      <c r="K200" t="n">
        <v>0</v>
      </c>
      <c r="L200" t="n">
        <v>0</v>
      </c>
      <c r="M200" t="n">
        <v>0</v>
      </c>
      <c r="N200" t="n">
        <v>0</v>
      </c>
      <c r="O200" t="n">
        <v>1</v>
      </c>
      <c r="P200" t="n">
        <v>0</v>
      </c>
      <c r="Q200" t="n">
        <v>1</v>
      </c>
      <c r="R200" s="2" t="inlineStr">
        <is>
          <t>Doftskinn</t>
        </is>
      </c>
      <c r="S200">
        <f>HYPERLINK("https://klasma.github.io/Logging_2309/artfynd/A 8934-2020 artfynd.xlsx", "A 8934-2020")</f>
        <v/>
      </c>
      <c r="T200">
        <f>HYPERLINK("https://klasma.github.io/Logging_2309/kartor/A 8934-2020 karta.png", "A 8934-2020")</f>
        <v/>
      </c>
      <c r="V200">
        <f>HYPERLINK("https://klasma.github.io/Logging_2309/klagomål/A 8934-2020 FSC-klagomål.docx", "A 8934-2020")</f>
        <v/>
      </c>
      <c r="W200">
        <f>HYPERLINK("https://klasma.github.io/Logging_2309/klagomålsmail/A 8934-2020 FSC-klagomål mail.docx", "A 8934-2020")</f>
        <v/>
      </c>
      <c r="X200">
        <f>HYPERLINK("https://klasma.github.io/Logging_2309/tillsyn/A 8934-2020 tillsynsbegäran.docx", "A 8934-2020")</f>
        <v/>
      </c>
      <c r="Y200">
        <f>HYPERLINK("https://klasma.github.io/Logging_2309/tillsynsmail/A 8934-2020 tillsynsbegäran mail.docx", "A 8934-2020")</f>
        <v/>
      </c>
    </row>
    <row r="201" ht="15" customHeight="1">
      <c r="A201" t="inlineStr">
        <is>
          <t>A 14281-2020</t>
        </is>
      </c>
      <c r="B201" s="1" t="n">
        <v>43907</v>
      </c>
      <c r="C201" s="1" t="n">
        <v>45582</v>
      </c>
      <c r="D201" t="inlineStr">
        <is>
          <t>JÄMTLANDS LÄN</t>
        </is>
      </c>
      <c r="E201" t="inlineStr">
        <is>
          <t>KROKOM</t>
        </is>
      </c>
      <c r="G201" t="n">
        <v>31.3</v>
      </c>
      <c r="H201" t="n">
        <v>1</v>
      </c>
      <c r="I201" t="n">
        <v>1</v>
      </c>
      <c r="J201" t="n">
        <v>0</v>
      </c>
      <c r="K201" t="n">
        <v>0</v>
      </c>
      <c r="L201" t="n">
        <v>0</v>
      </c>
      <c r="M201" t="n">
        <v>0</v>
      </c>
      <c r="N201" t="n">
        <v>0</v>
      </c>
      <c r="O201" t="n">
        <v>0</v>
      </c>
      <c r="P201" t="n">
        <v>0</v>
      </c>
      <c r="Q201" t="n">
        <v>1</v>
      </c>
      <c r="R201" s="2" t="inlineStr">
        <is>
          <t>Tvåblad</t>
        </is>
      </c>
      <c r="S201">
        <f>HYPERLINK("https://klasma.github.io/Logging_2309/artfynd/A 14281-2020 artfynd.xlsx", "A 14281-2020")</f>
        <v/>
      </c>
      <c r="T201">
        <f>HYPERLINK("https://klasma.github.io/Logging_2309/kartor/A 14281-2020 karta.png", "A 14281-2020")</f>
        <v/>
      </c>
      <c r="V201">
        <f>HYPERLINK("https://klasma.github.io/Logging_2309/klagomål/A 14281-2020 FSC-klagomål.docx", "A 14281-2020")</f>
        <v/>
      </c>
      <c r="W201">
        <f>HYPERLINK("https://klasma.github.io/Logging_2309/klagomålsmail/A 14281-2020 FSC-klagomål mail.docx", "A 14281-2020")</f>
        <v/>
      </c>
      <c r="X201">
        <f>HYPERLINK("https://klasma.github.io/Logging_2309/tillsyn/A 14281-2020 tillsynsbegäran.docx", "A 14281-2020")</f>
        <v/>
      </c>
      <c r="Y201">
        <f>HYPERLINK("https://klasma.github.io/Logging_2309/tillsynsmail/A 14281-2020 tillsynsbegäran mail.docx", "A 14281-2020")</f>
        <v/>
      </c>
    </row>
    <row r="202" ht="15" customHeight="1">
      <c r="A202" t="inlineStr">
        <is>
          <t>A 18776-2020</t>
        </is>
      </c>
      <c r="B202" s="1" t="n">
        <v>43930</v>
      </c>
      <c r="C202" s="1" t="n">
        <v>45582</v>
      </c>
      <c r="D202" t="inlineStr">
        <is>
          <t>JÄMTLANDS LÄN</t>
        </is>
      </c>
      <c r="E202" t="inlineStr">
        <is>
          <t>KROKOM</t>
        </is>
      </c>
      <c r="G202" t="n">
        <v>5.3</v>
      </c>
      <c r="H202" t="n">
        <v>1</v>
      </c>
      <c r="I202" t="n">
        <v>0</v>
      </c>
      <c r="J202" t="n">
        <v>0</v>
      </c>
      <c r="K202" t="n">
        <v>0</v>
      </c>
      <c r="L202" t="n">
        <v>1</v>
      </c>
      <c r="M202" t="n">
        <v>0</v>
      </c>
      <c r="N202" t="n">
        <v>0</v>
      </c>
      <c r="O202" t="n">
        <v>1</v>
      </c>
      <c r="P202" t="n">
        <v>1</v>
      </c>
      <c r="Q202" t="n">
        <v>1</v>
      </c>
      <c r="R202" s="2" t="inlineStr">
        <is>
          <t>Bredgentiana</t>
        </is>
      </c>
      <c r="S202">
        <f>HYPERLINK("https://klasma.github.io/Logging_2309/artfynd/A 18776-2020 artfynd.xlsx", "A 18776-2020")</f>
        <v/>
      </c>
      <c r="T202">
        <f>HYPERLINK("https://klasma.github.io/Logging_2309/kartor/A 18776-2020 karta.png", "A 18776-2020")</f>
        <v/>
      </c>
      <c r="V202">
        <f>HYPERLINK("https://klasma.github.io/Logging_2309/klagomål/A 18776-2020 FSC-klagomål.docx", "A 18776-2020")</f>
        <v/>
      </c>
      <c r="W202">
        <f>HYPERLINK("https://klasma.github.io/Logging_2309/klagomålsmail/A 18776-2020 FSC-klagomål mail.docx", "A 18776-2020")</f>
        <v/>
      </c>
      <c r="X202">
        <f>HYPERLINK("https://klasma.github.io/Logging_2309/tillsyn/A 18776-2020 tillsynsbegäran.docx", "A 18776-2020")</f>
        <v/>
      </c>
      <c r="Y202">
        <f>HYPERLINK("https://klasma.github.io/Logging_2309/tillsynsmail/A 18776-2020 tillsynsbegäran mail.docx", "A 18776-2020")</f>
        <v/>
      </c>
    </row>
    <row r="203" ht="15" customHeight="1">
      <c r="A203" t="inlineStr">
        <is>
          <t>A 19777-2020</t>
        </is>
      </c>
      <c r="B203" s="1" t="n">
        <v>43942</v>
      </c>
      <c r="C203" s="1" t="n">
        <v>45582</v>
      </c>
      <c r="D203" t="inlineStr">
        <is>
          <t>JÄMTLANDS LÄN</t>
        </is>
      </c>
      <c r="E203" t="inlineStr">
        <is>
          <t>KROKOM</t>
        </is>
      </c>
      <c r="F203" t="inlineStr">
        <is>
          <t>Kyrkan</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19777-2020 artfynd.xlsx", "A 19777-2020")</f>
        <v/>
      </c>
      <c r="T203">
        <f>HYPERLINK("https://klasma.github.io/Logging_2309/kartor/A 19777-2020 karta.png", "A 19777-2020")</f>
        <v/>
      </c>
      <c r="V203">
        <f>HYPERLINK("https://klasma.github.io/Logging_2309/klagomål/A 19777-2020 FSC-klagomål.docx", "A 19777-2020")</f>
        <v/>
      </c>
      <c r="W203">
        <f>HYPERLINK("https://klasma.github.io/Logging_2309/klagomålsmail/A 19777-2020 FSC-klagomål mail.docx", "A 19777-2020")</f>
        <v/>
      </c>
      <c r="X203">
        <f>HYPERLINK("https://klasma.github.io/Logging_2309/tillsyn/A 19777-2020 tillsynsbegäran.docx", "A 19777-2020")</f>
        <v/>
      </c>
      <c r="Y203">
        <f>HYPERLINK("https://klasma.github.io/Logging_2309/tillsynsmail/A 19777-2020 tillsynsbegäran mail.docx", "A 19777-2020")</f>
        <v/>
      </c>
      <c r="Z203">
        <f>HYPERLINK("https://klasma.github.io/Logging_2309/fåglar/A 19777-2020 prioriterade fågelarter.docx", "A 19777-2020")</f>
        <v/>
      </c>
    </row>
    <row r="204" ht="15" customHeight="1">
      <c r="A204" t="inlineStr">
        <is>
          <t>A 21547-2020</t>
        </is>
      </c>
      <c r="B204" s="1" t="n">
        <v>43956</v>
      </c>
      <c r="C204" s="1" t="n">
        <v>45582</v>
      </c>
      <c r="D204" t="inlineStr">
        <is>
          <t>JÄMTLANDS LÄN</t>
        </is>
      </c>
      <c r="E204" t="inlineStr">
        <is>
          <t>KROKOM</t>
        </is>
      </c>
      <c r="G204" t="n">
        <v>18.4</v>
      </c>
      <c r="H204" t="n">
        <v>0</v>
      </c>
      <c r="I204" t="n">
        <v>0</v>
      </c>
      <c r="J204" t="n">
        <v>1</v>
      </c>
      <c r="K204" t="n">
        <v>0</v>
      </c>
      <c r="L204" t="n">
        <v>0</v>
      </c>
      <c r="M204" t="n">
        <v>0</v>
      </c>
      <c r="N204" t="n">
        <v>0</v>
      </c>
      <c r="O204" t="n">
        <v>1</v>
      </c>
      <c r="P204" t="n">
        <v>0</v>
      </c>
      <c r="Q204" t="n">
        <v>1</v>
      </c>
      <c r="R204" s="2" t="inlineStr">
        <is>
          <t>Gränsticka</t>
        </is>
      </c>
      <c r="S204">
        <f>HYPERLINK("https://klasma.github.io/Logging_2309/artfynd/A 21547-2020 artfynd.xlsx", "A 21547-2020")</f>
        <v/>
      </c>
      <c r="T204">
        <f>HYPERLINK("https://klasma.github.io/Logging_2309/kartor/A 21547-2020 karta.png", "A 21547-2020")</f>
        <v/>
      </c>
      <c r="V204">
        <f>HYPERLINK("https://klasma.github.io/Logging_2309/klagomål/A 21547-2020 FSC-klagomål.docx", "A 21547-2020")</f>
        <v/>
      </c>
      <c r="W204">
        <f>HYPERLINK("https://klasma.github.io/Logging_2309/klagomålsmail/A 21547-2020 FSC-klagomål mail.docx", "A 21547-2020")</f>
        <v/>
      </c>
      <c r="X204">
        <f>HYPERLINK("https://klasma.github.io/Logging_2309/tillsyn/A 21547-2020 tillsynsbegäran.docx", "A 21547-2020")</f>
        <v/>
      </c>
      <c r="Y204">
        <f>HYPERLINK("https://klasma.github.io/Logging_2309/tillsynsmail/A 21547-2020 tillsynsbegäran mail.docx", "A 21547-2020")</f>
        <v/>
      </c>
    </row>
    <row r="205" ht="15" customHeight="1">
      <c r="A205" t="inlineStr">
        <is>
          <t>A 39569-2020</t>
        </is>
      </c>
      <c r="B205" s="1" t="n">
        <v>44064</v>
      </c>
      <c r="C205" s="1" t="n">
        <v>45582</v>
      </c>
      <c r="D205" t="inlineStr">
        <is>
          <t>JÄMTLANDS LÄN</t>
        </is>
      </c>
      <c r="E205" t="inlineStr">
        <is>
          <t>KROKOM</t>
        </is>
      </c>
      <c r="G205" t="n">
        <v>1.4</v>
      </c>
      <c r="H205" t="n">
        <v>0</v>
      </c>
      <c r="I205" t="n">
        <v>0</v>
      </c>
      <c r="J205" t="n">
        <v>1</v>
      </c>
      <c r="K205" t="n">
        <v>0</v>
      </c>
      <c r="L205" t="n">
        <v>0</v>
      </c>
      <c r="M205" t="n">
        <v>0</v>
      </c>
      <c r="N205" t="n">
        <v>0</v>
      </c>
      <c r="O205" t="n">
        <v>1</v>
      </c>
      <c r="P205" t="n">
        <v>0</v>
      </c>
      <c r="Q205" t="n">
        <v>1</v>
      </c>
      <c r="R205" s="2" t="inlineStr">
        <is>
          <t>Gränsticka</t>
        </is>
      </c>
      <c r="S205">
        <f>HYPERLINK("https://klasma.github.io/Logging_2309/artfynd/A 39569-2020 artfynd.xlsx", "A 39569-2020")</f>
        <v/>
      </c>
      <c r="T205">
        <f>HYPERLINK("https://klasma.github.io/Logging_2309/kartor/A 39569-2020 karta.png", "A 39569-2020")</f>
        <v/>
      </c>
      <c r="V205">
        <f>HYPERLINK("https://klasma.github.io/Logging_2309/klagomål/A 39569-2020 FSC-klagomål.docx", "A 39569-2020")</f>
        <v/>
      </c>
      <c r="W205">
        <f>HYPERLINK("https://klasma.github.io/Logging_2309/klagomålsmail/A 39569-2020 FSC-klagomål mail.docx", "A 39569-2020")</f>
        <v/>
      </c>
      <c r="X205">
        <f>HYPERLINK("https://klasma.github.io/Logging_2309/tillsyn/A 39569-2020 tillsynsbegäran.docx", "A 39569-2020")</f>
        <v/>
      </c>
      <c r="Y205">
        <f>HYPERLINK("https://klasma.github.io/Logging_2309/tillsynsmail/A 39569-2020 tillsynsbegäran mail.docx", "A 39569-2020")</f>
        <v/>
      </c>
    </row>
    <row r="206" ht="15" customHeight="1">
      <c r="A206" t="inlineStr">
        <is>
          <t>A 42493-2020</t>
        </is>
      </c>
      <c r="B206" s="1" t="n">
        <v>44075</v>
      </c>
      <c r="C206" s="1" t="n">
        <v>45582</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45626-2020</t>
        </is>
      </c>
      <c r="B207" s="1" t="n">
        <v>44090</v>
      </c>
      <c r="C207" s="1" t="n">
        <v>45582</v>
      </c>
      <c r="D207" t="inlineStr">
        <is>
          <t>JÄMTLANDS LÄN</t>
        </is>
      </c>
      <c r="E207" t="inlineStr">
        <is>
          <t>KROKOM</t>
        </is>
      </c>
      <c r="G207" t="n">
        <v>1</v>
      </c>
      <c r="H207" t="n">
        <v>0</v>
      </c>
      <c r="I207" t="n">
        <v>0</v>
      </c>
      <c r="J207" t="n">
        <v>1</v>
      </c>
      <c r="K207" t="n">
        <v>0</v>
      </c>
      <c r="L207" t="n">
        <v>0</v>
      </c>
      <c r="M207" t="n">
        <v>0</v>
      </c>
      <c r="N207" t="n">
        <v>0</v>
      </c>
      <c r="O207" t="n">
        <v>1</v>
      </c>
      <c r="P207" t="n">
        <v>0</v>
      </c>
      <c r="Q207" t="n">
        <v>1</v>
      </c>
      <c r="R207" s="2" t="inlineStr">
        <is>
          <t>Dofttaggsvamp</t>
        </is>
      </c>
      <c r="S207">
        <f>HYPERLINK("https://klasma.github.io/Logging_2309/artfynd/A 45626-2020 artfynd.xlsx", "A 45626-2020")</f>
        <v/>
      </c>
      <c r="T207">
        <f>HYPERLINK("https://klasma.github.io/Logging_2309/kartor/A 45626-2020 karta.png", "A 45626-2020")</f>
        <v/>
      </c>
      <c r="V207">
        <f>HYPERLINK("https://klasma.github.io/Logging_2309/klagomål/A 45626-2020 FSC-klagomål.docx", "A 45626-2020")</f>
        <v/>
      </c>
      <c r="W207">
        <f>HYPERLINK("https://klasma.github.io/Logging_2309/klagomålsmail/A 45626-2020 FSC-klagomål mail.docx", "A 45626-2020")</f>
        <v/>
      </c>
      <c r="X207">
        <f>HYPERLINK("https://klasma.github.io/Logging_2309/tillsyn/A 45626-2020 tillsynsbegäran.docx", "A 45626-2020")</f>
        <v/>
      </c>
      <c r="Y207">
        <f>HYPERLINK("https://klasma.github.io/Logging_2309/tillsynsmail/A 45626-2020 tillsynsbegäran mail.docx", "A 45626-2020")</f>
        <v/>
      </c>
    </row>
    <row r="208" ht="15" customHeight="1">
      <c r="A208" t="inlineStr">
        <is>
          <t>A 47459-2020</t>
        </is>
      </c>
      <c r="B208" s="1" t="n">
        <v>44097</v>
      </c>
      <c r="C208" s="1" t="n">
        <v>45582</v>
      </c>
      <c r="D208" t="inlineStr">
        <is>
          <t>JÄMTLANDS LÄN</t>
        </is>
      </c>
      <c r="E208" t="inlineStr">
        <is>
          <t>KROKOM</t>
        </is>
      </c>
      <c r="F208" t="inlineStr">
        <is>
          <t>SCA</t>
        </is>
      </c>
      <c r="G208" t="n">
        <v>1.7</v>
      </c>
      <c r="H208" t="n">
        <v>0</v>
      </c>
      <c r="I208" t="n">
        <v>0</v>
      </c>
      <c r="J208" t="n">
        <v>1</v>
      </c>
      <c r="K208" t="n">
        <v>0</v>
      </c>
      <c r="L208" t="n">
        <v>0</v>
      </c>
      <c r="M208" t="n">
        <v>0</v>
      </c>
      <c r="N208" t="n">
        <v>0</v>
      </c>
      <c r="O208" t="n">
        <v>1</v>
      </c>
      <c r="P208" t="n">
        <v>0</v>
      </c>
      <c r="Q208" t="n">
        <v>1</v>
      </c>
      <c r="R208" s="2" t="inlineStr">
        <is>
          <t>Skrovellav</t>
        </is>
      </c>
      <c r="S208">
        <f>HYPERLINK("https://klasma.github.io/Logging_2309/artfynd/A 47459-2020 artfynd.xlsx", "A 47459-2020")</f>
        <v/>
      </c>
      <c r="T208">
        <f>HYPERLINK("https://klasma.github.io/Logging_2309/kartor/A 47459-2020 karta.png", "A 47459-2020")</f>
        <v/>
      </c>
      <c r="V208">
        <f>HYPERLINK("https://klasma.github.io/Logging_2309/klagomål/A 47459-2020 FSC-klagomål.docx", "A 47459-2020")</f>
        <v/>
      </c>
      <c r="W208">
        <f>HYPERLINK("https://klasma.github.io/Logging_2309/klagomålsmail/A 47459-2020 FSC-klagomål mail.docx", "A 47459-2020")</f>
        <v/>
      </c>
      <c r="X208">
        <f>HYPERLINK("https://klasma.github.io/Logging_2309/tillsyn/A 47459-2020 tillsynsbegäran.docx", "A 47459-2020")</f>
        <v/>
      </c>
      <c r="Y208">
        <f>HYPERLINK("https://klasma.github.io/Logging_2309/tillsynsmail/A 47459-2020 tillsynsbegäran mail.docx", "A 47459-2020")</f>
        <v/>
      </c>
    </row>
    <row r="209" ht="15" customHeight="1">
      <c r="A209" t="inlineStr">
        <is>
          <t>A 48863-2020</t>
        </is>
      </c>
      <c r="B209" s="1" t="n">
        <v>44099</v>
      </c>
      <c r="C209" s="1" t="n">
        <v>45582</v>
      </c>
      <c r="D209" t="inlineStr">
        <is>
          <t>JÄMTLANDS LÄN</t>
        </is>
      </c>
      <c r="E209" t="inlineStr">
        <is>
          <t>KROKOM</t>
        </is>
      </c>
      <c r="F209" t="inlineStr">
        <is>
          <t>SCA</t>
        </is>
      </c>
      <c r="G209" t="n">
        <v>7.2</v>
      </c>
      <c r="H209" t="n">
        <v>0</v>
      </c>
      <c r="I209" t="n">
        <v>0</v>
      </c>
      <c r="J209" t="n">
        <v>0</v>
      </c>
      <c r="K209" t="n">
        <v>1</v>
      </c>
      <c r="L209" t="n">
        <v>0</v>
      </c>
      <c r="M209" t="n">
        <v>0</v>
      </c>
      <c r="N209" t="n">
        <v>0</v>
      </c>
      <c r="O209" t="n">
        <v>1</v>
      </c>
      <c r="P209" t="n">
        <v>1</v>
      </c>
      <c r="Q209" t="n">
        <v>1</v>
      </c>
      <c r="R209" s="2" t="inlineStr">
        <is>
          <t>Fläckporing</t>
        </is>
      </c>
      <c r="S209">
        <f>HYPERLINK("https://klasma.github.io/Logging_2309/artfynd/A 48863-2020 artfynd.xlsx", "A 48863-2020")</f>
        <v/>
      </c>
      <c r="T209">
        <f>HYPERLINK("https://klasma.github.io/Logging_2309/kartor/A 48863-2020 karta.png", "A 48863-2020")</f>
        <v/>
      </c>
      <c r="V209">
        <f>HYPERLINK("https://klasma.github.io/Logging_2309/klagomål/A 48863-2020 FSC-klagomål.docx", "A 48863-2020")</f>
        <v/>
      </c>
      <c r="W209">
        <f>HYPERLINK("https://klasma.github.io/Logging_2309/klagomålsmail/A 48863-2020 FSC-klagomål mail.docx", "A 48863-2020")</f>
        <v/>
      </c>
      <c r="X209">
        <f>HYPERLINK("https://klasma.github.io/Logging_2309/tillsyn/A 48863-2020 tillsynsbegäran.docx", "A 48863-2020")</f>
        <v/>
      </c>
      <c r="Y209">
        <f>HYPERLINK("https://klasma.github.io/Logging_2309/tillsynsmail/A 48863-2020 tillsynsbegäran mail.docx", "A 48863-2020")</f>
        <v/>
      </c>
    </row>
    <row r="210" ht="15" customHeight="1">
      <c r="A210" t="inlineStr">
        <is>
          <t>A 56202-2020</t>
        </is>
      </c>
      <c r="B210" s="1" t="n">
        <v>44133</v>
      </c>
      <c r="C210" s="1" t="n">
        <v>45582</v>
      </c>
      <c r="D210" t="inlineStr">
        <is>
          <t>JÄMTLANDS LÄN</t>
        </is>
      </c>
      <c r="E210" t="inlineStr">
        <is>
          <t>KROKOM</t>
        </is>
      </c>
      <c r="G210" t="n">
        <v>0.2</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56202-2020 artfynd.xlsx", "A 56202-2020")</f>
        <v/>
      </c>
      <c r="T210">
        <f>HYPERLINK("https://klasma.github.io/Logging_2309/kartor/A 56202-2020 karta.png", "A 56202-2020")</f>
        <v/>
      </c>
      <c r="V210">
        <f>HYPERLINK("https://klasma.github.io/Logging_2309/klagomål/A 56202-2020 FSC-klagomål.docx", "A 56202-2020")</f>
        <v/>
      </c>
      <c r="W210">
        <f>HYPERLINK("https://klasma.github.io/Logging_2309/klagomålsmail/A 56202-2020 FSC-klagomål mail.docx", "A 56202-2020")</f>
        <v/>
      </c>
      <c r="X210">
        <f>HYPERLINK("https://klasma.github.io/Logging_2309/tillsyn/A 56202-2020 tillsynsbegäran.docx", "A 56202-2020")</f>
        <v/>
      </c>
      <c r="Y210">
        <f>HYPERLINK("https://klasma.github.io/Logging_2309/tillsynsmail/A 56202-2020 tillsynsbegäran mail.docx", "A 56202-2020")</f>
        <v/>
      </c>
      <c r="Z210">
        <f>HYPERLINK("https://klasma.github.io/Logging_2309/fåglar/A 56202-2020 prioriterade fågelarter.docx", "A 56202-2020")</f>
        <v/>
      </c>
    </row>
    <row r="211" ht="15" customHeight="1">
      <c r="A211" t="inlineStr">
        <is>
          <t>A 61054-2020</t>
        </is>
      </c>
      <c r="B211" s="1" t="n">
        <v>44154</v>
      </c>
      <c r="C211" s="1" t="n">
        <v>45582</v>
      </c>
      <c r="D211" t="inlineStr">
        <is>
          <t>JÄMTLANDS LÄN</t>
        </is>
      </c>
      <c r="E211" t="inlineStr">
        <is>
          <t>KROKOM</t>
        </is>
      </c>
      <c r="F211" t="inlineStr">
        <is>
          <t>Övriga Aktiebolag</t>
        </is>
      </c>
      <c r="G211" t="n">
        <v>1.2</v>
      </c>
      <c r="H211" t="n">
        <v>1</v>
      </c>
      <c r="I211" t="n">
        <v>1</v>
      </c>
      <c r="J211" t="n">
        <v>0</v>
      </c>
      <c r="K211" t="n">
        <v>0</v>
      </c>
      <c r="L211" t="n">
        <v>0</v>
      </c>
      <c r="M211" t="n">
        <v>0</v>
      </c>
      <c r="N211" t="n">
        <v>0</v>
      </c>
      <c r="O211" t="n">
        <v>0</v>
      </c>
      <c r="P211" t="n">
        <v>0</v>
      </c>
      <c r="Q211" t="n">
        <v>1</v>
      </c>
      <c r="R211" s="2" t="inlineStr">
        <is>
          <t>Korallrot</t>
        </is>
      </c>
      <c r="S211">
        <f>HYPERLINK("https://klasma.github.io/Logging_2309/artfynd/A 61054-2020 artfynd.xlsx", "A 61054-2020")</f>
        <v/>
      </c>
      <c r="T211">
        <f>HYPERLINK("https://klasma.github.io/Logging_2309/kartor/A 61054-2020 karta.png", "A 61054-2020")</f>
        <v/>
      </c>
      <c r="V211">
        <f>HYPERLINK("https://klasma.github.io/Logging_2309/klagomål/A 61054-2020 FSC-klagomål.docx", "A 61054-2020")</f>
        <v/>
      </c>
      <c r="W211">
        <f>HYPERLINK("https://klasma.github.io/Logging_2309/klagomålsmail/A 61054-2020 FSC-klagomål mail.docx", "A 61054-2020")</f>
        <v/>
      </c>
      <c r="X211">
        <f>HYPERLINK("https://klasma.github.io/Logging_2309/tillsyn/A 61054-2020 tillsynsbegäran.docx", "A 61054-2020")</f>
        <v/>
      </c>
      <c r="Y211">
        <f>HYPERLINK("https://klasma.github.io/Logging_2309/tillsynsmail/A 61054-2020 tillsynsbegäran mail.docx", "A 61054-2020")</f>
        <v/>
      </c>
    </row>
    <row r="212" ht="15" customHeight="1">
      <c r="A212" t="inlineStr">
        <is>
          <t>A 1112-2021</t>
        </is>
      </c>
      <c r="B212" s="1" t="n">
        <v>44207</v>
      </c>
      <c r="C212" s="1" t="n">
        <v>45582</v>
      </c>
      <c r="D212" t="inlineStr">
        <is>
          <t>JÄMTLANDS LÄN</t>
        </is>
      </c>
      <c r="E212" t="inlineStr">
        <is>
          <t>KROKOM</t>
        </is>
      </c>
      <c r="F212" t="inlineStr">
        <is>
          <t>Övriga Aktiebolag</t>
        </is>
      </c>
      <c r="G212" t="n">
        <v>90.7</v>
      </c>
      <c r="H212" t="n">
        <v>0</v>
      </c>
      <c r="I212" t="n">
        <v>1</v>
      </c>
      <c r="J212" t="n">
        <v>0</v>
      </c>
      <c r="K212" t="n">
        <v>0</v>
      </c>
      <c r="L212" t="n">
        <v>0</v>
      </c>
      <c r="M212" t="n">
        <v>0</v>
      </c>
      <c r="N212" t="n">
        <v>0</v>
      </c>
      <c r="O212" t="n">
        <v>0</v>
      </c>
      <c r="P212" t="n">
        <v>0</v>
      </c>
      <c r="Q212" t="n">
        <v>1</v>
      </c>
      <c r="R212" s="2" t="inlineStr">
        <is>
          <t>Kambräken</t>
        </is>
      </c>
      <c r="S212">
        <f>HYPERLINK("https://klasma.github.io/Logging_2309/artfynd/A 1112-2021 artfynd.xlsx", "A 1112-2021")</f>
        <v/>
      </c>
      <c r="T212">
        <f>HYPERLINK("https://klasma.github.io/Logging_2309/kartor/A 1112-2021 karta.png", "A 1112-2021")</f>
        <v/>
      </c>
      <c r="V212">
        <f>HYPERLINK("https://klasma.github.io/Logging_2309/klagomål/A 1112-2021 FSC-klagomål.docx", "A 1112-2021")</f>
        <v/>
      </c>
      <c r="W212">
        <f>HYPERLINK("https://klasma.github.io/Logging_2309/klagomålsmail/A 1112-2021 FSC-klagomål mail.docx", "A 1112-2021")</f>
        <v/>
      </c>
      <c r="X212">
        <f>HYPERLINK("https://klasma.github.io/Logging_2309/tillsyn/A 1112-2021 tillsynsbegäran.docx", "A 1112-2021")</f>
        <v/>
      </c>
      <c r="Y212">
        <f>HYPERLINK("https://klasma.github.io/Logging_2309/tillsynsmail/A 1112-2021 tillsynsbegäran mail.docx", "A 1112-2021")</f>
        <v/>
      </c>
    </row>
    <row r="213" ht="15" customHeight="1">
      <c r="A213" t="inlineStr">
        <is>
          <t>A 11780-2021</t>
        </is>
      </c>
      <c r="B213" s="1" t="n">
        <v>44265</v>
      </c>
      <c r="C213" s="1" t="n">
        <v>45582</v>
      </c>
      <c r="D213" t="inlineStr">
        <is>
          <t>JÄMTLANDS LÄN</t>
        </is>
      </c>
      <c r="E213" t="inlineStr">
        <is>
          <t>KROKOM</t>
        </is>
      </c>
      <c r="G213" t="n">
        <v>1.3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11780-2021 artfynd.xlsx", "A 11780-2021")</f>
        <v/>
      </c>
      <c r="T213">
        <f>HYPERLINK("https://klasma.github.io/Logging_2309/kartor/A 11780-2021 karta.png", "A 11780-2021")</f>
        <v/>
      </c>
      <c r="V213">
        <f>HYPERLINK("https://klasma.github.io/Logging_2309/klagomål/A 11780-2021 FSC-klagomål.docx", "A 11780-2021")</f>
        <v/>
      </c>
      <c r="W213">
        <f>HYPERLINK("https://klasma.github.io/Logging_2309/klagomålsmail/A 11780-2021 FSC-klagomål mail.docx", "A 11780-2021")</f>
        <v/>
      </c>
      <c r="X213">
        <f>HYPERLINK("https://klasma.github.io/Logging_2309/tillsyn/A 11780-2021 tillsynsbegäran.docx", "A 11780-2021")</f>
        <v/>
      </c>
      <c r="Y213">
        <f>HYPERLINK("https://klasma.github.io/Logging_2309/tillsynsmail/A 11780-2021 tillsynsbegäran mail.docx", "A 11780-2021")</f>
        <v/>
      </c>
      <c r="Z213">
        <f>HYPERLINK("https://klasma.github.io/Logging_2309/fåglar/A 11780-2021 prioriterade fågelarter.docx", "A 11780-2021")</f>
        <v/>
      </c>
    </row>
    <row r="214" ht="15" customHeight="1">
      <c r="A214" t="inlineStr">
        <is>
          <t>A 19282-2021</t>
        </is>
      </c>
      <c r="B214" s="1" t="n">
        <v>44308</v>
      </c>
      <c r="C214" s="1" t="n">
        <v>45582</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46787-2021</t>
        </is>
      </c>
      <c r="B215" s="1" t="n">
        <v>44445</v>
      </c>
      <c r="C215" s="1" t="n">
        <v>45582</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46785-2021</t>
        </is>
      </c>
      <c r="B216" s="1" t="n">
        <v>44445</v>
      </c>
      <c r="C216" s="1" t="n">
        <v>45582</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60006-2021</t>
        </is>
      </c>
      <c r="B217" s="1" t="n">
        <v>44494</v>
      </c>
      <c r="C217" s="1" t="n">
        <v>45582</v>
      </c>
      <c r="D217" t="inlineStr">
        <is>
          <t>JÄMTLANDS LÄN</t>
        </is>
      </c>
      <c r="E217" t="inlineStr">
        <is>
          <t>KROKOM</t>
        </is>
      </c>
      <c r="F217" t="inlineStr">
        <is>
          <t>SCA</t>
        </is>
      </c>
      <c r="G217" t="n">
        <v>7.5</v>
      </c>
      <c r="H217" t="n">
        <v>0</v>
      </c>
      <c r="I217" t="n">
        <v>0</v>
      </c>
      <c r="J217" t="n">
        <v>1</v>
      </c>
      <c r="K217" t="n">
        <v>0</v>
      </c>
      <c r="L217" t="n">
        <v>0</v>
      </c>
      <c r="M217" t="n">
        <v>0</v>
      </c>
      <c r="N217" t="n">
        <v>0</v>
      </c>
      <c r="O217" t="n">
        <v>1</v>
      </c>
      <c r="P217" t="n">
        <v>0</v>
      </c>
      <c r="Q217" t="n">
        <v>1</v>
      </c>
      <c r="R217" s="2" t="inlineStr">
        <is>
          <t>Flattoppad klubbsvamp</t>
        </is>
      </c>
      <c r="S217">
        <f>HYPERLINK("https://klasma.github.io/Logging_2309/artfynd/A 60006-2021 artfynd.xlsx", "A 60006-2021")</f>
        <v/>
      </c>
      <c r="T217">
        <f>HYPERLINK("https://klasma.github.io/Logging_2309/kartor/A 60006-2021 karta.png", "A 60006-2021")</f>
        <v/>
      </c>
      <c r="V217">
        <f>HYPERLINK("https://klasma.github.io/Logging_2309/klagomål/A 60006-2021 FSC-klagomål.docx", "A 60006-2021")</f>
        <v/>
      </c>
      <c r="W217">
        <f>HYPERLINK("https://klasma.github.io/Logging_2309/klagomålsmail/A 60006-2021 FSC-klagomål mail.docx", "A 60006-2021")</f>
        <v/>
      </c>
      <c r="X217">
        <f>HYPERLINK("https://klasma.github.io/Logging_2309/tillsyn/A 60006-2021 tillsynsbegäran.docx", "A 60006-2021")</f>
        <v/>
      </c>
      <c r="Y217">
        <f>HYPERLINK("https://klasma.github.io/Logging_2309/tillsynsmail/A 60006-2021 tillsynsbegäran mail.docx", "A 60006-2021")</f>
        <v/>
      </c>
    </row>
    <row r="218" ht="15" customHeight="1">
      <c r="A218" t="inlineStr">
        <is>
          <t>A 64301-2021</t>
        </is>
      </c>
      <c r="B218" s="1" t="n">
        <v>44510</v>
      </c>
      <c r="C218" s="1" t="n">
        <v>45582</v>
      </c>
      <c r="D218" t="inlineStr">
        <is>
          <t>JÄMTLANDS LÄN</t>
        </is>
      </c>
      <c r="E218" t="inlineStr">
        <is>
          <t>KROKOM</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64301-2021 artfynd.xlsx", "A 64301-2021")</f>
        <v/>
      </c>
      <c r="T218">
        <f>HYPERLINK("https://klasma.github.io/Logging_2309/kartor/A 64301-2021 karta.png", "A 64301-2021")</f>
        <v/>
      </c>
      <c r="V218">
        <f>HYPERLINK("https://klasma.github.io/Logging_2309/klagomål/A 64301-2021 FSC-klagomål.docx", "A 64301-2021")</f>
        <v/>
      </c>
      <c r="W218">
        <f>HYPERLINK("https://klasma.github.io/Logging_2309/klagomålsmail/A 64301-2021 FSC-klagomål mail.docx", "A 64301-2021")</f>
        <v/>
      </c>
      <c r="X218">
        <f>HYPERLINK("https://klasma.github.io/Logging_2309/tillsyn/A 64301-2021 tillsynsbegäran.docx", "A 64301-2021")</f>
        <v/>
      </c>
      <c r="Y218">
        <f>HYPERLINK("https://klasma.github.io/Logging_2309/tillsynsmail/A 64301-2021 tillsynsbegäran mail.docx", "A 64301-2021")</f>
        <v/>
      </c>
      <c r="Z218">
        <f>HYPERLINK("https://klasma.github.io/Logging_2309/fåglar/A 64301-2021 prioriterade fågelarter.docx", "A 64301-2021")</f>
        <v/>
      </c>
    </row>
    <row r="219" ht="15" customHeight="1">
      <c r="A219" t="inlineStr">
        <is>
          <t>A 64951-2021</t>
        </is>
      </c>
      <c r="B219" s="1" t="n">
        <v>44512</v>
      </c>
      <c r="C219" s="1" t="n">
        <v>45582</v>
      </c>
      <c r="D219" t="inlineStr">
        <is>
          <t>JÄMTLANDS LÄN</t>
        </is>
      </c>
      <c r="E219" t="inlineStr">
        <is>
          <t>KROKOM</t>
        </is>
      </c>
      <c r="F219" t="inlineStr">
        <is>
          <t>SCA</t>
        </is>
      </c>
      <c r="G219" t="n">
        <v>2.5</v>
      </c>
      <c r="H219" t="n">
        <v>0</v>
      </c>
      <c r="I219" t="n">
        <v>1</v>
      </c>
      <c r="J219" t="n">
        <v>0</v>
      </c>
      <c r="K219" t="n">
        <v>0</v>
      </c>
      <c r="L219" t="n">
        <v>0</v>
      </c>
      <c r="M219" t="n">
        <v>0</v>
      </c>
      <c r="N219" t="n">
        <v>0</v>
      </c>
      <c r="O219" t="n">
        <v>0</v>
      </c>
      <c r="P219" t="n">
        <v>0</v>
      </c>
      <c r="Q219" t="n">
        <v>1</v>
      </c>
      <c r="R219" s="2" t="inlineStr">
        <is>
          <t>Kransrams</t>
        </is>
      </c>
      <c r="S219">
        <f>HYPERLINK("https://klasma.github.io/Logging_2309/artfynd/A 64951-2021 artfynd.xlsx", "A 64951-2021")</f>
        <v/>
      </c>
      <c r="T219">
        <f>HYPERLINK("https://klasma.github.io/Logging_2309/kartor/A 64951-2021 karta.png", "A 64951-2021")</f>
        <v/>
      </c>
      <c r="V219">
        <f>HYPERLINK("https://klasma.github.io/Logging_2309/klagomål/A 64951-2021 FSC-klagomål.docx", "A 64951-2021")</f>
        <v/>
      </c>
      <c r="W219">
        <f>HYPERLINK("https://klasma.github.io/Logging_2309/klagomålsmail/A 64951-2021 FSC-klagomål mail.docx", "A 64951-2021")</f>
        <v/>
      </c>
      <c r="X219">
        <f>HYPERLINK("https://klasma.github.io/Logging_2309/tillsyn/A 64951-2021 tillsynsbegäran.docx", "A 64951-2021")</f>
        <v/>
      </c>
      <c r="Y219">
        <f>HYPERLINK("https://klasma.github.io/Logging_2309/tillsynsmail/A 64951-2021 tillsynsbegäran mail.docx", "A 64951-2021")</f>
        <v/>
      </c>
    </row>
    <row r="220" ht="15" customHeight="1">
      <c r="A220" t="inlineStr">
        <is>
          <t>A 64968-2021</t>
        </is>
      </c>
      <c r="B220" s="1" t="n">
        <v>44512</v>
      </c>
      <c r="C220" s="1" t="n">
        <v>45582</v>
      </c>
      <c r="D220" t="inlineStr">
        <is>
          <t>JÄMTLANDS LÄN</t>
        </is>
      </c>
      <c r="E220" t="inlineStr">
        <is>
          <t>KROKOM</t>
        </is>
      </c>
      <c r="F220" t="inlineStr">
        <is>
          <t>SCA</t>
        </is>
      </c>
      <c r="G220" t="n">
        <v>3.2</v>
      </c>
      <c r="H220" t="n">
        <v>0</v>
      </c>
      <c r="I220" t="n">
        <v>0</v>
      </c>
      <c r="J220" t="n">
        <v>1</v>
      </c>
      <c r="K220" t="n">
        <v>0</v>
      </c>
      <c r="L220" t="n">
        <v>0</v>
      </c>
      <c r="M220" t="n">
        <v>0</v>
      </c>
      <c r="N220" t="n">
        <v>0</v>
      </c>
      <c r="O220" t="n">
        <v>1</v>
      </c>
      <c r="P220" t="n">
        <v>0</v>
      </c>
      <c r="Q220" t="n">
        <v>1</v>
      </c>
      <c r="R220" s="2" t="inlineStr">
        <is>
          <t>Skrovellav</t>
        </is>
      </c>
      <c r="S220">
        <f>HYPERLINK("https://klasma.github.io/Logging_2309/artfynd/A 64968-2021 artfynd.xlsx", "A 64968-2021")</f>
        <v/>
      </c>
      <c r="T220">
        <f>HYPERLINK("https://klasma.github.io/Logging_2309/kartor/A 64968-2021 karta.png", "A 64968-2021")</f>
        <v/>
      </c>
      <c r="V220">
        <f>HYPERLINK("https://klasma.github.io/Logging_2309/klagomål/A 64968-2021 FSC-klagomål.docx", "A 64968-2021")</f>
        <v/>
      </c>
      <c r="W220">
        <f>HYPERLINK("https://klasma.github.io/Logging_2309/klagomålsmail/A 64968-2021 FSC-klagomål mail.docx", "A 64968-2021")</f>
        <v/>
      </c>
      <c r="X220">
        <f>HYPERLINK("https://klasma.github.io/Logging_2309/tillsyn/A 64968-2021 tillsynsbegäran.docx", "A 64968-2021")</f>
        <v/>
      </c>
      <c r="Y220">
        <f>HYPERLINK("https://klasma.github.io/Logging_2309/tillsynsmail/A 64968-2021 tillsynsbegäran mail.docx", "A 64968-2021")</f>
        <v/>
      </c>
    </row>
    <row r="221" ht="15" customHeight="1">
      <c r="A221" t="inlineStr">
        <is>
          <t>A 67701-2021</t>
        </is>
      </c>
      <c r="B221" s="1" t="n">
        <v>44524</v>
      </c>
      <c r="C221" s="1" t="n">
        <v>45582</v>
      </c>
      <c r="D221" t="inlineStr">
        <is>
          <t>JÄMTLANDS LÄN</t>
        </is>
      </c>
      <c r="E221" t="inlineStr">
        <is>
          <t>KROKOM</t>
        </is>
      </c>
      <c r="F221" t="inlineStr">
        <is>
          <t>SCA</t>
        </is>
      </c>
      <c r="G221" t="n">
        <v>3.1</v>
      </c>
      <c r="H221" t="n">
        <v>0</v>
      </c>
      <c r="I221" t="n">
        <v>1</v>
      </c>
      <c r="J221" t="n">
        <v>0</v>
      </c>
      <c r="K221" t="n">
        <v>0</v>
      </c>
      <c r="L221" t="n">
        <v>0</v>
      </c>
      <c r="M221" t="n">
        <v>0</v>
      </c>
      <c r="N221" t="n">
        <v>0</v>
      </c>
      <c r="O221" t="n">
        <v>0</v>
      </c>
      <c r="P221" t="n">
        <v>0</v>
      </c>
      <c r="Q221" t="n">
        <v>1</v>
      </c>
      <c r="R221" s="2" t="inlineStr">
        <is>
          <t>Trådticka</t>
        </is>
      </c>
      <c r="S221">
        <f>HYPERLINK("https://klasma.github.io/Logging_2309/artfynd/A 67701-2021 artfynd.xlsx", "A 67701-2021")</f>
        <v/>
      </c>
      <c r="T221">
        <f>HYPERLINK("https://klasma.github.io/Logging_2309/kartor/A 67701-2021 karta.png", "A 67701-2021")</f>
        <v/>
      </c>
      <c r="V221">
        <f>HYPERLINK("https://klasma.github.io/Logging_2309/klagomål/A 67701-2021 FSC-klagomål.docx", "A 67701-2021")</f>
        <v/>
      </c>
      <c r="W221">
        <f>HYPERLINK("https://klasma.github.io/Logging_2309/klagomålsmail/A 67701-2021 FSC-klagomål mail.docx", "A 67701-2021")</f>
        <v/>
      </c>
      <c r="X221">
        <f>HYPERLINK("https://klasma.github.io/Logging_2309/tillsyn/A 67701-2021 tillsynsbegäran.docx", "A 67701-2021")</f>
        <v/>
      </c>
      <c r="Y221">
        <f>HYPERLINK("https://klasma.github.io/Logging_2309/tillsynsmail/A 67701-2021 tillsynsbegäran mail.docx", "A 67701-2021")</f>
        <v/>
      </c>
    </row>
    <row r="222" ht="15" customHeight="1">
      <c r="A222" t="inlineStr">
        <is>
          <t>A 69137-2021</t>
        </is>
      </c>
      <c r="B222" s="1" t="n">
        <v>44530</v>
      </c>
      <c r="C222" s="1" t="n">
        <v>45582</v>
      </c>
      <c r="D222" t="inlineStr">
        <is>
          <t>JÄMTLANDS LÄN</t>
        </is>
      </c>
      <c r="E222" t="inlineStr">
        <is>
          <t>KROKOM</t>
        </is>
      </c>
      <c r="F222" t="inlineStr">
        <is>
          <t>SCA</t>
        </is>
      </c>
      <c r="G222" t="n">
        <v>30.5</v>
      </c>
      <c r="H222" t="n">
        <v>0</v>
      </c>
      <c r="I222" t="n">
        <v>0</v>
      </c>
      <c r="J222" t="n">
        <v>1</v>
      </c>
      <c r="K222" t="n">
        <v>0</v>
      </c>
      <c r="L222" t="n">
        <v>0</v>
      </c>
      <c r="M222" t="n">
        <v>0</v>
      </c>
      <c r="N222" t="n">
        <v>0</v>
      </c>
      <c r="O222" t="n">
        <v>1</v>
      </c>
      <c r="P222" t="n">
        <v>0</v>
      </c>
      <c r="Q222" t="n">
        <v>1</v>
      </c>
      <c r="R222" s="2" t="inlineStr">
        <is>
          <t>Garnlav</t>
        </is>
      </c>
      <c r="S222">
        <f>HYPERLINK("https://klasma.github.io/Logging_2309/artfynd/A 69137-2021 artfynd.xlsx", "A 69137-2021")</f>
        <v/>
      </c>
      <c r="T222">
        <f>HYPERLINK("https://klasma.github.io/Logging_2309/kartor/A 69137-2021 karta.png", "A 69137-2021")</f>
        <v/>
      </c>
      <c r="V222">
        <f>HYPERLINK("https://klasma.github.io/Logging_2309/klagomål/A 69137-2021 FSC-klagomål.docx", "A 69137-2021")</f>
        <v/>
      </c>
      <c r="W222">
        <f>HYPERLINK("https://klasma.github.io/Logging_2309/klagomålsmail/A 69137-2021 FSC-klagomål mail.docx", "A 69137-2021")</f>
        <v/>
      </c>
      <c r="X222">
        <f>HYPERLINK("https://klasma.github.io/Logging_2309/tillsyn/A 69137-2021 tillsynsbegäran.docx", "A 69137-2021")</f>
        <v/>
      </c>
      <c r="Y222">
        <f>HYPERLINK("https://klasma.github.io/Logging_2309/tillsynsmail/A 69137-2021 tillsynsbegäran mail.docx", "A 69137-2021")</f>
        <v/>
      </c>
    </row>
    <row r="223" ht="15" customHeight="1">
      <c r="A223" t="inlineStr">
        <is>
          <t>A 71575-2021</t>
        </is>
      </c>
      <c r="B223" s="1" t="n">
        <v>44540</v>
      </c>
      <c r="C223" s="1" t="n">
        <v>45582</v>
      </c>
      <c r="D223" t="inlineStr">
        <is>
          <t>JÄMTLANDS LÄN</t>
        </is>
      </c>
      <c r="E223" t="inlineStr">
        <is>
          <t>KROKOM</t>
        </is>
      </c>
      <c r="G223" t="n">
        <v>0.9</v>
      </c>
      <c r="H223" t="n">
        <v>0</v>
      </c>
      <c r="I223" t="n">
        <v>0</v>
      </c>
      <c r="J223" t="n">
        <v>1</v>
      </c>
      <c r="K223" t="n">
        <v>0</v>
      </c>
      <c r="L223" t="n">
        <v>0</v>
      </c>
      <c r="M223" t="n">
        <v>0</v>
      </c>
      <c r="N223" t="n">
        <v>0</v>
      </c>
      <c r="O223" t="n">
        <v>1</v>
      </c>
      <c r="P223" t="n">
        <v>0</v>
      </c>
      <c r="Q223" t="n">
        <v>1</v>
      </c>
      <c r="R223" s="2" t="inlineStr">
        <is>
          <t>Gultoppig fingersvamp</t>
        </is>
      </c>
      <c r="S223">
        <f>HYPERLINK("https://klasma.github.io/Logging_2309/artfynd/A 71575-2021 artfynd.xlsx", "A 71575-2021")</f>
        <v/>
      </c>
      <c r="T223">
        <f>HYPERLINK("https://klasma.github.io/Logging_2309/kartor/A 71575-2021 karta.png", "A 71575-2021")</f>
        <v/>
      </c>
      <c r="V223">
        <f>HYPERLINK("https://klasma.github.io/Logging_2309/klagomål/A 71575-2021 FSC-klagomål.docx", "A 71575-2021")</f>
        <v/>
      </c>
      <c r="W223">
        <f>HYPERLINK("https://klasma.github.io/Logging_2309/klagomålsmail/A 71575-2021 FSC-klagomål mail.docx", "A 71575-2021")</f>
        <v/>
      </c>
      <c r="X223">
        <f>HYPERLINK("https://klasma.github.io/Logging_2309/tillsyn/A 71575-2021 tillsynsbegäran.docx", "A 71575-2021")</f>
        <v/>
      </c>
      <c r="Y223">
        <f>HYPERLINK("https://klasma.github.io/Logging_2309/tillsynsmail/A 71575-2021 tillsynsbegäran mail.docx", "A 71575-2021")</f>
        <v/>
      </c>
    </row>
    <row r="224" ht="15" customHeight="1">
      <c r="A224" t="inlineStr">
        <is>
          <t>A 71574-2021</t>
        </is>
      </c>
      <c r="B224" s="1" t="n">
        <v>44540</v>
      </c>
      <c r="C224" s="1" t="n">
        <v>45582</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806-2022</t>
        </is>
      </c>
      <c r="B225" s="1" t="n">
        <v>44568</v>
      </c>
      <c r="C225" s="1" t="n">
        <v>45582</v>
      </c>
      <c r="D225" t="inlineStr">
        <is>
          <t>JÄMTLANDS LÄN</t>
        </is>
      </c>
      <c r="E225" t="inlineStr">
        <is>
          <t>KROKOM</t>
        </is>
      </c>
      <c r="G225" t="n">
        <v>46.8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806-2022 artfynd.xlsx", "A 806-2022")</f>
        <v/>
      </c>
      <c r="T225">
        <f>HYPERLINK("https://klasma.github.io/Logging_2309/kartor/A 806-2022 karta.png", "A 806-2022")</f>
        <v/>
      </c>
      <c r="V225">
        <f>HYPERLINK("https://klasma.github.io/Logging_2309/klagomål/A 806-2022 FSC-klagomål.docx", "A 806-2022")</f>
        <v/>
      </c>
      <c r="W225">
        <f>HYPERLINK("https://klasma.github.io/Logging_2309/klagomålsmail/A 806-2022 FSC-klagomål mail.docx", "A 806-2022")</f>
        <v/>
      </c>
      <c r="X225">
        <f>HYPERLINK("https://klasma.github.io/Logging_2309/tillsyn/A 806-2022 tillsynsbegäran.docx", "A 806-2022")</f>
        <v/>
      </c>
      <c r="Y225">
        <f>HYPERLINK("https://klasma.github.io/Logging_2309/tillsynsmail/A 806-2022 tillsynsbegäran mail.docx", "A 806-2022")</f>
        <v/>
      </c>
      <c r="Z225">
        <f>HYPERLINK("https://klasma.github.io/Logging_2309/fåglar/A 806-2022 prioriterade fågelarter.docx", "A 806-2022")</f>
        <v/>
      </c>
    </row>
    <row r="226" ht="15" customHeight="1">
      <c r="A226" t="inlineStr">
        <is>
          <t>A 814-2022</t>
        </is>
      </c>
      <c r="B226" s="1" t="n">
        <v>44568</v>
      </c>
      <c r="C226" s="1" t="n">
        <v>45582</v>
      </c>
      <c r="D226" t="inlineStr">
        <is>
          <t>JÄMTLANDS LÄN</t>
        </is>
      </c>
      <c r="E226" t="inlineStr">
        <is>
          <t>KROKOM</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814-2022 artfynd.xlsx", "A 814-2022")</f>
        <v/>
      </c>
      <c r="T226">
        <f>HYPERLINK("https://klasma.github.io/Logging_2309/kartor/A 814-2022 karta.png", "A 814-2022")</f>
        <v/>
      </c>
      <c r="V226">
        <f>HYPERLINK("https://klasma.github.io/Logging_2309/klagomål/A 814-2022 FSC-klagomål.docx", "A 814-2022")</f>
        <v/>
      </c>
      <c r="W226">
        <f>HYPERLINK("https://klasma.github.io/Logging_2309/klagomålsmail/A 814-2022 FSC-klagomål mail.docx", "A 814-2022")</f>
        <v/>
      </c>
      <c r="X226">
        <f>HYPERLINK("https://klasma.github.io/Logging_2309/tillsyn/A 814-2022 tillsynsbegäran.docx", "A 814-2022")</f>
        <v/>
      </c>
      <c r="Y226">
        <f>HYPERLINK("https://klasma.github.io/Logging_2309/tillsynsmail/A 814-2022 tillsynsbegäran mail.docx", "A 814-2022")</f>
        <v/>
      </c>
      <c r="Z226">
        <f>HYPERLINK("https://klasma.github.io/Logging_2309/fåglar/A 814-2022 prioriterade fågelarter.docx", "A 814-2022")</f>
        <v/>
      </c>
    </row>
    <row r="227" ht="15" customHeight="1">
      <c r="A227" t="inlineStr">
        <is>
          <t>A 7005-2022</t>
        </is>
      </c>
      <c r="B227" s="1" t="n">
        <v>44603</v>
      </c>
      <c r="C227" s="1" t="n">
        <v>45582</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18032-2022</t>
        </is>
      </c>
      <c r="B228" s="1" t="n">
        <v>44683</v>
      </c>
      <c r="C228" s="1" t="n">
        <v>45582</v>
      </c>
      <c r="D228" t="inlineStr">
        <is>
          <t>JÄMTLANDS LÄN</t>
        </is>
      </c>
      <c r="E228" t="inlineStr">
        <is>
          <t>KROKOM</t>
        </is>
      </c>
      <c r="G228" t="n">
        <v>15.8</v>
      </c>
      <c r="H228" t="n">
        <v>0</v>
      </c>
      <c r="I228" t="n">
        <v>0</v>
      </c>
      <c r="J228" t="n">
        <v>1</v>
      </c>
      <c r="K228" t="n">
        <v>0</v>
      </c>
      <c r="L228" t="n">
        <v>0</v>
      </c>
      <c r="M228" t="n">
        <v>0</v>
      </c>
      <c r="N228" t="n">
        <v>0</v>
      </c>
      <c r="O228" t="n">
        <v>1</v>
      </c>
      <c r="P228" t="n">
        <v>0</v>
      </c>
      <c r="Q228" t="n">
        <v>1</v>
      </c>
      <c r="R228" s="2" t="inlineStr">
        <is>
          <t>Brunklöver</t>
        </is>
      </c>
      <c r="S228">
        <f>HYPERLINK("https://klasma.github.io/Logging_2309/artfynd/A 18032-2022 artfynd.xlsx", "A 18032-2022")</f>
        <v/>
      </c>
      <c r="T228">
        <f>HYPERLINK("https://klasma.github.io/Logging_2309/kartor/A 18032-2022 karta.png", "A 18032-2022")</f>
        <v/>
      </c>
      <c r="V228">
        <f>HYPERLINK("https://klasma.github.io/Logging_2309/klagomål/A 18032-2022 FSC-klagomål.docx", "A 18032-2022")</f>
        <v/>
      </c>
      <c r="W228">
        <f>HYPERLINK("https://klasma.github.io/Logging_2309/klagomålsmail/A 18032-2022 FSC-klagomål mail.docx", "A 18032-2022")</f>
        <v/>
      </c>
      <c r="X228">
        <f>HYPERLINK("https://klasma.github.io/Logging_2309/tillsyn/A 18032-2022 tillsynsbegäran.docx", "A 18032-2022")</f>
        <v/>
      </c>
      <c r="Y228">
        <f>HYPERLINK("https://klasma.github.io/Logging_2309/tillsynsmail/A 18032-2022 tillsynsbegäran mail.docx", "A 18032-2022")</f>
        <v/>
      </c>
    </row>
    <row r="229" ht="15" customHeight="1">
      <c r="A229" t="inlineStr">
        <is>
          <t>A 25041-2022</t>
        </is>
      </c>
      <c r="B229" s="1" t="n">
        <v>44728</v>
      </c>
      <c r="C229" s="1" t="n">
        <v>45582</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27579-2022</t>
        </is>
      </c>
      <c r="B230" s="1" t="n">
        <v>44742</v>
      </c>
      <c r="C230" s="1" t="n">
        <v>45582</v>
      </c>
      <c r="D230" t="inlineStr">
        <is>
          <t>JÄMTLANDS LÄN</t>
        </is>
      </c>
      <c r="E230" t="inlineStr">
        <is>
          <t>KROKOM</t>
        </is>
      </c>
      <c r="F230" t="inlineStr">
        <is>
          <t>SCA</t>
        </is>
      </c>
      <c r="G230" t="n">
        <v>1.5</v>
      </c>
      <c r="H230" t="n">
        <v>0</v>
      </c>
      <c r="I230" t="n">
        <v>0</v>
      </c>
      <c r="J230" t="n">
        <v>1</v>
      </c>
      <c r="K230" t="n">
        <v>0</v>
      </c>
      <c r="L230" t="n">
        <v>0</v>
      </c>
      <c r="M230" t="n">
        <v>0</v>
      </c>
      <c r="N230" t="n">
        <v>0</v>
      </c>
      <c r="O230" t="n">
        <v>1</v>
      </c>
      <c r="P230" t="n">
        <v>0</v>
      </c>
      <c r="Q230" t="n">
        <v>1</v>
      </c>
      <c r="R230" s="2" t="inlineStr">
        <is>
          <t>Lunglav</t>
        </is>
      </c>
      <c r="S230">
        <f>HYPERLINK("https://klasma.github.io/Logging_2309/artfynd/A 27579-2022 artfynd.xlsx", "A 27579-2022")</f>
        <v/>
      </c>
      <c r="T230">
        <f>HYPERLINK("https://klasma.github.io/Logging_2309/kartor/A 27579-2022 karta.png", "A 27579-2022")</f>
        <v/>
      </c>
      <c r="V230">
        <f>HYPERLINK("https://klasma.github.io/Logging_2309/klagomål/A 27579-2022 FSC-klagomål.docx", "A 27579-2022")</f>
        <v/>
      </c>
      <c r="W230">
        <f>HYPERLINK("https://klasma.github.io/Logging_2309/klagomålsmail/A 27579-2022 FSC-klagomål mail.docx", "A 27579-2022")</f>
        <v/>
      </c>
      <c r="X230">
        <f>HYPERLINK("https://klasma.github.io/Logging_2309/tillsyn/A 27579-2022 tillsynsbegäran.docx", "A 27579-2022")</f>
        <v/>
      </c>
      <c r="Y230">
        <f>HYPERLINK("https://klasma.github.io/Logging_2309/tillsynsmail/A 27579-2022 tillsynsbegäran mail.docx", "A 27579-2022")</f>
        <v/>
      </c>
    </row>
    <row r="231" ht="15" customHeight="1">
      <c r="A231" t="inlineStr">
        <is>
          <t>A 28490-2022</t>
        </is>
      </c>
      <c r="B231" s="1" t="n">
        <v>44747</v>
      </c>
      <c r="C231" s="1" t="n">
        <v>45582</v>
      </c>
      <c r="D231" t="inlineStr">
        <is>
          <t>JÄMTLANDS LÄN</t>
        </is>
      </c>
      <c r="E231" t="inlineStr">
        <is>
          <t>KROKOM</t>
        </is>
      </c>
      <c r="F231" t="inlineStr">
        <is>
          <t>SCA</t>
        </is>
      </c>
      <c r="G231" t="n">
        <v>57.9</v>
      </c>
      <c r="H231" t="n">
        <v>0</v>
      </c>
      <c r="I231" t="n">
        <v>0</v>
      </c>
      <c r="J231" t="n">
        <v>1</v>
      </c>
      <c r="K231" t="n">
        <v>0</v>
      </c>
      <c r="L231" t="n">
        <v>0</v>
      </c>
      <c r="M231" t="n">
        <v>0</v>
      </c>
      <c r="N231" t="n">
        <v>0</v>
      </c>
      <c r="O231" t="n">
        <v>1</v>
      </c>
      <c r="P231" t="n">
        <v>0</v>
      </c>
      <c r="Q231" t="n">
        <v>1</v>
      </c>
      <c r="R231" s="2" t="inlineStr">
        <is>
          <t>Kolflarnlav</t>
        </is>
      </c>
      <c r="S231">
        <f>HYPERLINK("https://klasma.github.io/Logging_2309/artfynd/A 28490-2022 artfynd.xlsx", "A 28490-2022")</f>
        <v/>
      </c>
      <c r="T231">
        <f>HYPERLINK("https://klasma.github.io/Logging_2309/kartor/A 28490-2022 karta.png", "A 28490-2022")</f>
        <v/>
      </c>
      <c r="V231">
        <f>HYPERLINK("https://klasma.github.io/Logging_2309/klagomål/A 28490-2022 FSC-klagomål.docx", "A 28490-2022")</f>
        <v/>
      </c>
      <c r="W231">
        <f>HYPERLINK("https://klasma.github.io/Logging_2309/klagomålsmail/A 28490-2022 FSC-klagomål mail.docx", "A 28490-2022")</f>
        <v/>
      </c>
      <c r="X231">
        <f>HYPERLINK("https://klasma.github.io/Logging_2309/tillsyn/A 28490-2022 tillsynsbegäran.docx", "A 28490-2022")</f>
        <v/>
      </c>
      <c r="Y231">
        <f>HYPERLINK("https://klasma.github.io/Logging_2309/tillsynsmail/A 28490-2022 tillsynsbegäran mail.docx", "A 28490-2022")</f>
        <v/>
      </c>
    </row>
    <row r="232" ht="15" customHeight="1">
      <c r="A232" t="inlineStr">
        <is>
          <t>A 33316-2022</t>
        </is>
      </c>
      <c r="B232" s="1" t="n">
        <v>44788</v>
      </c>
      <c r="C232" s="1" t="n">
        <v>45582</v>
      </c>
      <c r="D232" t="inlineStr">
        <is>
          <t>JÄMTLANDS LÄN</t>
        </is>
      </c>
      <c r="E232" t="inlineStr">
        <is>
          <t>KROKOM</t>
        </is>
      </c>
      <c r="G232" t="n">
        <v>10.4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33316-2022 artfynd.xlsx", "A 33316-2022")</f>
        <v/>
      </c>
      <c r="T232">
        <f>HYPERLINK("https://klasma.github.io/Logging_2309/kartor/A 33316-2022 karta.png", "A 33316-2022")</f>
        <v/>
      </c>
      <c r="V232">
        <f>HYPERLINK("https://klasma.github.io/Logging_2309/klagomål/A 33316-2022 FSC-klagomål.docx", "A 33316-2022")</f>
        <v/>
      </c>
      <c r="W232">
        <f>HYPERLINK("https://klasma.github.io/Logging_2309/klagomålsmail/A 33316-2022 FSC-klagomål mail.docx", "A 33316-2022")</f>
        <v/>
      </c>
      <c r="X232">
        <f>HYPERLINK("https://klasma.github.io/Logging_2309/tillsyn/A 33316-2022 tillsynsbegäran.docx", "A 33316-2022")</f>
        <v/>
      </c>
      <c r="Y232">
        <f>HYPERLINK("https://klasma.github.io/Logging_2309/tillsynsmail/A 33316-2022 tillsynsbegäran mail.docx", "A 33316-2022")</f>
        <v/>
      </c>
      <c r="Z232">
        <f>HYPERLINK("https://klasma.github.io/Logging_2309/fåglar/A 33316-2022 prioriterade fågelarter.docx", "A 33316-2022")</f>
        <v/>
      </c>
    </row>
    <row r="233" ht="15" customHeight="1">
      <c r="A233" t="inlineStr">
        <is>
          <t>A 35246-2022</t>
        </is>
      </c>
      <c r="B233" s="1" t="n">
        <v>44797</v>
      </c>
      <c r="C233" s="1" t="n">
        <v>45582</v>
      </c>
      <c r="D233" t="inlineStr">
        <is>
          <t>JÄMTLANDS LÄN</t>
        </is>
      </c>
      <c r="E233" t="inlineStr">
        <is>
          <t>KROKOM</t>
        </is>
      </c>
      <c r="G233" t="n">
        <v>29.4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35246-2022 artfynd.xlsx", "A 35246-2022")</f>
        <v/>
      </c>
      <c r="T233">
        <f>HYPERLINK("https://klasma.github.io/Logging_2309/kartor/A 35246-2022 karta.png", "A 35246-2022")</f>
        <v/>
      </c>
      <c r="V233">
        <f>HYPERLINK("https://klasma.github.io/Logging_2309/klagomål/A 35246-2022 FSC-klagomål.docx", "A 35246-2022")</f>
        <v/>
      </c>
      <c r="W233">
        <f>HYPERLINK("https://klasma.github.io/Logging_2309/klagomålsmail/A 35246-2022 FSC-klagomål mail.docx", "A 35246-2022")</f>
        <v/>
      </c>
      <c r="X233">
        <f>HYPERLINK("https://klasma.github.io/Logging_2309/tillsyn/A 35246-2022 tillsynsbegäran.docx", "A 35246-2022")</f>
        <v/>
      </c>
      <c r="Y233">
        <f>HYPERLINK("https://klasma.github.io/Logging_2309/tillsynsmail/A 35246-2022 tillsynsbegäran mail.docx", "A 35246-2022")</f>
        <v/>
      </c>
      <c r="Z233">
        <f>HYPERLINK("https://klasma.github.io/Logging_2309/fåglar/A 35246-2022 prioriterade fågelarter.docx", "A 35246-2022")</f>
        <v/>
      </c>
    </row>
    <row r="234" ht="15" customHeight="1">
      <c r="A234" t="inlineStr">
        <is>
          <t>A 45595-2022</t>
        </is>
      </c>
      <c r="B234" s="1" t="n">
        <v>44845</v>
      </c>
      <c r="C234" s="1" t="n">
        <v>45582</v>
      </c>
      <c r="D234" t="inlineStr">
        <is>
          <t>JÄMTLANDS LÄN</t>
        </is>
      </c>
      <c r="E234" t="inlineStr">
        <is>
          <t>KROKOM</t>
        </is>
      </c>
      <c r="G234" t="n">
        <v>10.2</v>
      </c>
      <c r="H234" t="n">
        <v>1</v>
      </c>
      <c r="I234" t="n">
        <v>0</v>
      </c>
      <c r="J234" t="n">
        <v>0</v>
      </c>
      <c r="K234" t="n">
        <v>0</v>
      </c>
      <c r="L234" t="n">
        <v>0</v>
      </c>
      <c r="M234" t="n">
        <v>0</v>
      </c>
      <c r="N234" t="n">
        <v>0</v>
      </c>
      <c r="O234" t="n">
        <v>0</v>
      </c>
      <c r="P234" t="n">
        <v>0</v>
      </c>
      <c r="Q234" t="n">
        <v>1</v>
      </c>
      <c r="R234" s="2" t="inlineStr">
        <is>
          <t>Revlummer</t>
        </is>
      </c>
      <c r="S234">
        <f>HYPERLINK("https://klasma.github.io/Logging_2309/artfynd/A 45595-2022 artfynd.xlsx", "A 45595-2022")</f>
        <v/>
      </c>
      <c r="T234">
        <f>HYPERLINK("https://klasma.github.io/Logging_2309/kartor/A 45595-2022 karta.png", "A 45595-2022")</f>
        <v/>
      </c>
      <c r="V234">
        <f>HYPERLINK("https://klasma.github.io/Logging_2309/klagomål/A 45595-2022 FSC-klagomål.docx", "A 45595-2022")</f>
        <v/>
      </c>
      <c r="W234">
        <f>HYPERLINK("https://klasma.github.io/Logging_2309/klagomålsmail/A 45595-2022 FSC-klagomål mail.docx", "A 45595-2022")</f>
        <v/>
      </c>
      <c r="X234">
        <f>HYPERLINK("https://klasma.github.io/Logging_2309/tillsyn/A 45595-2022 tillsynsbegäran.docx", "A 45595-2022")</f>
        <v/>
      </c>
      <c r="Y234">
        <f>HYPERLINK("https://klasma.github.io/Logging_2309/tillsynsmail/A 45595-2022 tillsynsbegäran mail.docx", "A 45595-2022")</f>
        <v/>
      </c>
    </row>
    <row r="235" ht="15" customHeight="1">
      <c r="A235" t="inlineStr">
        <is>
          <t>A 15430-2023</t>
        </is>
      </c>
      <c r="B235" s="1" t="n">
        <v>45020</v>
      </c>
      <c r="C235" s="1" t="n">
        <v>45582</v>
      </c>
      <c r="D235" t="inlineStr">
        <is>
          <t>JÄMTLANDS LÄN</t>
        </is>
      </c>
      <c r="E235" t="inlineStr">
        <is>
          <t>KROKOM</t>
        </is>
      </c>
      <c r="G235" t="n">
        <v>31.8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15430-2023 artfynd.xlsx", "A 15430-2023")</f>
        <v/>
      </c>
      <c r="T235">
        <f>HYPERLINK("https://klasma.github.io/Logging_2309/kartor/A 15430-2023 karta.png", "A 15430-2023")</f>
        <v/>
      </c>
      <c r="V235">
        <f>HYPERLINK("https://klasma.github.io/Logging_2309/klagomål/A 15430-2023 FSC-klagomål.docx", "A 15430-2023")</f>
        <v/>
      </c>
      <c r="W235">
        <f>HYPERLINK("https://klasma.github.io/Logging_2309/klagomålsmail/A 15430-2023 FSC-klagomål mail.docx", "A 15430-2023")</f>
        <v/>
      </c>
      <c r="X235">
        <f>HYPERLINK("https://klasma.github.io/Logging_2309/tillsyn/A 15430-2023 tillsynsbegäran.docx", "A 15430-2023")</f>
        <v/>
      </c>
      <c r="Y235">
        <f>HYPERLINK("https://klasma.github.io/Logging_2309/tillsynsmail/A 15430-2023 tillsynsbegäran mail.docx", "A 15430-2023")</f>
        <v/>
      </c>
      <c r="Z235">
        <f>HYPERLINK("https://klasma.github.io/Logging_2309/fåglar/A 15430-2023 prioriterade fågelarter.docx", "A 15430-2023")</f>
        <v/>
      </c>
    </row>
    <row r="236" ht="15" customHeight="1">
      <c r="A236" t="inlineStr">
        <is>
          <t>A 25285-2023</t>
        </is>
      </c>
      <c r="B236" s="1" t="n">
        <v>45079</v>
      </c>
      <c r="C236" s="1" t="n">
        <v>45582</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27753-2023</t>
        </is>
      </c>
      <c r="B237" s="1" t="n">
        <v>45098</v>
      </c>
      <c r="C237" s="1" t="n">
        <v>45582</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31959-2023</t>
        </is>
      </c>
      <c r="B238" s="1" t="n">
        <v>45107</v>
      </c>
      <c r="C238" s="1" t="n">
        <v>45582</v>
      </c>
      <c r="D238" t="inlineStr">
        <is>
          <t>JÄMTLANDS LÄN</t>
        </is>
      </c>
      <c r="E238" t="inlineStr">
        <is>
          <t>KROKOM</t>
        </is>
      </c>
      <c r="G238" t="n">
        <v>12.1</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31959-2023 artfynd.xlsx", "A 31959-2023")</f>
        <v/>
      </c>
      <c r="T238">
        <f>HYPERLINK("https://klasma.github.io/Logging_2309/kartor/A 31959-2023 karta.png", "A 31959-2023")</f>
        <v/>
      </c>
      <c r="V238">
        <f>HYPERLINK("https://klasma.github.io/Logging_2309/klagomål/A 31959-2023 FSC-klagomål.docx", "A 31959-2023")</f>
        <v/>
      </c>
      <c r="W238">
        <f>HYPERLINK("https://klasma.github.io/Logging_2309/klagomålsmail/A 31959-2023 FSC-klagomål mail.docx", "A 31959-2023")</f>
        <v/>
      </c>
      <c r="X238">
        <f>HYPERLINK("https://klasma.github.io/Logging_2309/tillsyn/A 31959-2023 tillsynsbegäran.docx", "A 31959-2023")</f>
        <v/>
      </c>
      <c r="Y238">
        <f>HYPERLINK("https://klasma.github.io/Logging_2309/tillsynsmail/A 31959-2023 tillsynsbegäran mail.docx", "A 31959-2023")</f>
        <v/>
      </c>
      <c r="Z238">
        <f>HYPERLINK("https://klasma.github.io/Logging_2309/fåglar/A 31959-2023 prioriterade fågelarter.docx", "A 31959-2023")</f>
        <v/>
      </c>
    </row>
    <row r="239" ht="15" customHeight="1">
      <c r="A239" t="inlineStr">
        <is>
          <t>A 32756-2023</t>
        </is>
      </c>
      <c r="B239" s="1" t="n">
        <v>45123</v>
      </c>
      <c r="C239" s="1" t="n">
        <v>45582</v>
      </c>
      <c r="D239" t="inlineStr">
        <is>
          <t>JÄMTLANDS LÄN</t>
        </is>
      </c>
      <c r="E239" t="inlineStr">
        <is>
          <t>KROKOM</t>
        </is>
      </c>
      <c r="F239" t="inlineStr">
        <is>
          <t>Övriga Aktiebolag</t>
        </is>
      </c>
      <c r="G239" t="n">
        <v>6.8</v>
      </c>
      <c r="H239" t="n">
        <v>0</v>
      </c>
      <c r="I239" t="n">
        <v>1</v>
      </c>
      <c r="J239" t="n">
        <v>0</v>
      </c>
      <c r="K239" t="n">
        <v>0</v>
      </c>
      <c r="L239" t="n">
        <v>0</v>
      </c>
      <c r="M239" t="n">
        <v>0</v>
      </c>
      <c r="N239" t="n">
        <v>0</v>
      </c>
      <c r="O239" t="n">
        <v>0</v>
      </c>
      <c r="P239" t="n">
        <v>0</v>
      </c>
      <c r="Q239" t="n">
        <v>1</v>
      </c>
      <c r="R239" s="2" t="inlineStr">
        <is>
          <t>Kransrams</t>
        </is>
      </c>
      <c r="S239">
        <f>HYPERLINK("https://klasma.github.io/Logging_2309/artfynd/A 32756-2023 artfynd.xlsx", "A 32756-2023")</f>
        <v/>
      </c>
      <c r="T239">
        <f>HYPERLINK("https://klasma.github.io/Logging_2309/kartor/A 32756-2023 karta.png", "A 32756-2023")</f>
        <v/>
      </c>
      <c r="V239">
        <f>HYPERLINK("https://klasma.github.io/Logging_2309/klagomål/A 32756-2023 FSC-klagomål.docx", "A 32756-2023")</f>
        <v/>
      </c>
      <c r="W239">
        <f>HYPERLINK("https://klasma.github.io/Logging_2309/klagomålsmail/A 32756-2023 FSC-klagomål mail.docx", "A 32756-2023")</f>
        <v/>
      </c>
      <c r="X239">
        <f>HYPERLINK("https://klasma.github.io/Logging_2309/tillsyn/A 32756-2023 tillsynsbegäran.docx", "A 32756-2023")</f>
        <v/>
      </c>
      <c r="Y239">
        <f>HYPERLINK("https://klasma.github.io/Logging_2309/tillsynsmail/A 32756-2023 tillsynsbegäran mail.docx", "A 32756-2023")</f>
        <v/>
      </c>
    </row>
    <row r="240" ht="15" customHeight="1">
      <c r="A240" t="inlineStr">
        <is>
          <t>A 36639-2023</t>
        </is>
      </c>
      <c r="B240" s="1" t="n">
        <v>45153</v>
      </c>
      <c r="C240" s="1" t="n">
        <v>45582</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42156-2023</t>
        </is>
      </c>
      <c r="B241" s="1" t="n">
        <v>45177</v>
      </c>
      <c r="C241" s="1" t="n">
        <v>45582</v>
      </c>
      <c r="D241" t="inlineStr">
        <is>
          <t>JÄMTLANDS LÄN</t>
        </is>
      </c>
      <c r="E241" t="inlineStr">
        <is>
          <t>KROKOM</t>
        </is>
      </c>
      <c r="G241" t="n">
        <v>1</v>
      </c>
      <c r="H241" t="n">
        <v>0</v>
      </c>
      <c r="I241" t="n">
        <v>0</v>
      </c>
      <c r="J241" t="n">
        <v>1</v>
      </c>
      <c r="K241" t="n">
        <v>0</v>
      </c>
      <c r="L241" t="n">
        <v>0</v>
      </c>
      <c r="M241" t="n">
        <v>0</v>
      </c>
      <c r="N241" t="n">
        <v>0</v>
      </c>
      <c r="O241" t="n">
        <v>1</v>
      </c>
      <c r="P241" t="n">
        <v>0</v>
      </c>
      <c r="Q241" t="n">
        <v>1</v>
      </c>
      <c r="R241" s="2" t="inlineStr">
        <is>
          <t>Granticka</t>
        </is>
      </c>
      <c r="S241">
        <f>HYPERLINK("https://klasma.github.io/Logging_2309/artfynd/A 42156-2023 artfynd.xlsx", "A 42156-2023")</f>
        <v/>
      </c>
      <c r="T241">
        <f>HYPERLINK("https://klasma.github.io/Logging_2309/kartor/A 42156-2023 karta.png", "A 42156-2023")</f>
        <v/>
      </c>
      <c r="V241">
        <f>HYPERLINK("https://klasma.github.io/Logging_2309/klagomål/A 42156-2023 FSC-klagomål.docx", "A 42156-2023")</f>
        <v/>
      </c>
      <c r="W241">
        <f>HYPERLINK("https://klasma.github.io/Logging_2309/klagomålsmail/A 42156-2023 FSC-klagomål mail.docx", "A 42156-2023")</f>
        <v/>
      </c>
      <c r="X241">
        <f>HYPERLINK("https://klasma.github.io/Logging_2309/tillsyn/A 42156-2023 tillsynsbegäran.docx", "A 42156-2023")</f>
        <v/>
      </c>
      <c r="Y241">
        <f>HYPERLINK("https://klasma.github.io/Logging_2309/tillsynsmail/A 42156-2023 tillsynsbegäran mail.docx", "A 42156-2023")</f>
        <v/>
      </c>
    </row>
    <row r="242" ht="15" customHeight="1">
      <c r="A242" t="inlineStr">
        <is>
          <t>A 42258-2023</t>
        </is>
      </c>
      <c r="B242" s="1" t="n">
        <v>45180</v>
      </c>
      <c r="C242" s="1" t="n">
        <v>45582</v>
      </c>
      <c r="D242" t="inlineStr">
        <is>
          <t>JÄMTLANDS LÄN</t>
        </is>
      </c>
      <c r="E242" t="inlineStr">
        <is>
          <t>KROKOM</t>
        </is>
      </c>
      <c r="F242" t="inlineStr">
        <is>
          <t>Övriga Aktiebolag</t>
        </is>
      </c>
      <c r="G242" t="n">
        <v>0.2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42258-2023 artfynd.xlsx", "A 42258-2023")</f>
        <v/>
      </c>
      <c r="T242">
        <f>HYPERLINK("https://klasma.github.io/Logging_2309/kartor/A 42258-2023 karta.png", "A 42258-2023")</f>
        <v/>
      </c>
      <c r="V242">
        <f>HYPERLINK("https://klasma.github.io/Logging_2309/klagomål/A 42258-2023 FSC-klagomål.docx", "A 42258-2023")</f>
        <v/>
      </c>
      <c r="W242">
        <f>HYPERLINK("https://klasma.github.io/Logging_2309/klagomålsmail/A 42258-2023 FSC-klagomål mail.docx", "A 42258-2023")</f>
        <v/>
      </c>
      <c r="X242">
        <f>HYPERLINK("https://klasma.github.io/Logging_2309/tillsyn/A 42258-2023 tillsynsbegäran.docx", "A 42258-2023")</f>
        <v/>
      </c>
      <c r="Y242">
        <f>HYPERLINK("https://klasma.github.io/Logging_2309/tillsynsmail/A 42258-2023 tillsynsbegäran mail.docx", "A 42258-2023")</f>
        <v/>
      </c>
      <c r="Z242">
        <f>HYPERLINK("https://klasma.github.io/Logging_2309/fåglar/A 42258-2023 prioriterade fågelarter.docx", "A 42258-2023")</f>
        <v/>
      </c>
    </row>
    <row r="243" ht="15" customHeight="1">
      <c r="A243" t="inlineStr">
        <is>
          <t>A 47338-2023</t>
        </is>
      </c>
      <c r="B243" s="1" t="n">
        <v>45196</v>
      </c>
      <c r="C243" s="1" t="n">
        <v>45582</v>
      </c>
      <c r="D243" t="inlineStr">
        <is>
          <t>JÄMTLANDS LÄN</t>
        </is>
      </c>
      <c r="E243" t="inlineStr">
        <is>
          <t>KROKOM</t>
        </is>
      </c>
      <c r="G243" t="n">
        <v>13</v>
      </c>
      <c r="H243" t="n">
        <v>0</v>
      </c>
      <c r="I243" t="n">
        <v>1</v>
      </c>
      <c r="J243" t="n">
        <v>0</v>
      </c>
      <c r="K243" t="n">
        <v>0</v>
      </c>
      <c r="L243" t="n">
        <v>0</v>
      </c>
      <c r="M243" t="n">
        <v>0</v>
      </c>
      <c r="N243" t="n">
        <v>0</v>
      </c>
      <c r="O243" t="n">
        <v>0</v>
      </c>
      <c r="P243" t="n">
        <v>0</v>
      </c>
      <c r="Q243" t="n">
        <v>1</v>
      </c>
      <c r="R243" s="2" t="inlineStr">
        <is>
          <t>Skinnlav</t>
        </is>
      </c>
      <c r="S243">
        <f>HYPERLINK("https://klasma.github.io/Logging_2309/artfynd/A 47338-2023 artfynd.xlsx", "A 47338-2023")</f>
        <v/>
      </c>
      <c r="T243">
        <f>HYPERLINK("https://klasma.github.io/Logging_2309/kartor/A 47338-2023 karta.png", "A 47338-2023")</f>
        <v/>
      </c>
      <c r="V243">
        <f>HYPERLINK("https://klasma.github.io/Logging_2309/klagomål/A 47338-2023 FSC-klagomål.docx", "A 47338-2023")</f>
        <v/>
      </c>
      <c r="W243">
        <f>HYPERLINK("https://klasma.github.io/Logging_2309/klagomålsmail/A 47338-2023 FSC-klagomål mail.docx", "A 47338-2023")</f>
        <v/>
      </c>
      <c r="X243">
        <f>HYPERLINK("https://klasma.github.io/Logging_2309/tillsyn/A 47338-2023 tillsynsbegäran.docx", "A 47338-2023")</f>
        <v/>
      </c>
      <c r="Y243">
        <f>HYPERLINK("https://klasma.github.io/Logging_2309/tillsynsmail/A 47338-2023 tillsynsbegäran mail.docx", "A 47338-2023")</f>
        <v/>
      </c>
    </row>
    <row r="244" ht="15" customHeight="1">
      <c r="A244" t="inlineStr">
        <is>
          <t>A 56572-2023</t>
        </is>
      </c>
      <c r="B244" s="1" t="n">
        <v>45243</v>
      </c>
      <c r="C244" s="1" t="n">
        <v>45582</v>
      </c>
      <c r="D244" t="inlineStr">
        <is>
          <t>JÄMTLANDS LÄN</t>
        </is>
      </c>
      <c r="E244" t="inlineStr">
        <is>
          <t>KROKOM</t>
        </is>
      </c>
      <c r="F244" t="inlineStr">
        <is>
          <t>Övriga Aktiebolag</t>
        </is>
      </c>
      <c r="G244" t="n">
        <v>0.8</v>
      </c>
      <c r="H244" t="n">
        <v>1</v>
      </c>
      <c r="I244" t="n">
        <v>0</v>
      </c>
      <c r="J244" t="n">
        <v>0</v>
      </c>
      <c r="K244" t="n">
        <v>0</v>
      </c>
      <c r="L244" t="n">
        <v>0</v>
      </c>
      <c r="M244" t="n">
        <v>0</v>
      </c>
      <c r="N244" t="n">
        <v>0</v>
      </c>
      <c r="O244" t="n">
        <v>0</v>
      </c>
      <c r="P244" t="n">
        <v>0</v>
      </c>
      <c r="Q244" t="n">
        <v>1</v>
      </c>
      <c r="R244" s="2" t="inlineStr">
        <is>
          <t>Vanlig groda</t>
        </is>
      </c>
      <c r="S244">
        <f>HYPERLINK("https://klasma.github.io/Logging_2309/artfynd/A 56572-2023 artfynd.xlsx", "A 56572-2023")</f>
        <v/>
      </c>
      <c r="T244">
        <f>HYPERLINK("https://klasma.github.io/Logging_2309/kartor/A 56572-2023 karta.png", "A 56572-2023")</f>
        <v/>
      </c>
      <c r="V244">
        <f>HYPERLINK("https://klasma.github.io/Logging_2309/klagomål/A 56572-2023 FSC-klagomål.docx", "A 56572-2023")</f>
        <v/>
      </c>
      <c r="W244">
        <f>HYPERLINK("https://klasma.github.io/Logging_2309/klagomålsmail/A 56572-2023 FSC-klagomål mail.docx", "A 56572-2023")</f>
        <v/>
      </c>
      <c r="X244">
        <f>HYPERLINK("https://klasma.github.io/Logging_2309/tillsyn/A 56572-2023 tillsynsbegäran.docx", "A 56572-2023")</f>
        <v/>
      </c>
      <c r="Y244">
        <f>HYPERLINK("https://klasma.github.io/Logging_2309/tillsynsmail/A 56572-2023 tillsynsbegäran mail.docx", "A 56572-2023")</f>
        <v/>
      </c>
    </row>
    <row r="245" ht="15" customHeight="1">
      <c r="A245" t="inlineStr">
        <is>
          <t>A 56628-2023</t>
        </is>
      </c>
      <c r="B245" s="1" t="n">
        <v>45243</v>
      </c>
      <c r="C245" s="1" t="n">
        <v>45582</v>
      </c>
      <c r="D245" t="inlineStr">
        <is>
          <t>JÄMTLANDS LÄN</t>
        </is>
      </c>
      <c r="E245" t="inlineStr">
        <is>
          <t>KROKOM</t>
        </is>
      </c>
      <c r="G245" t="n">
        <v>17.8</v>
      </c>
      <c r="H245" t="n">
        <v>1</v>
      </c>
      <c r="I245" t="n">
        <v>0</v>
      </c>
      <c r="J245" t="n">
        <v>0</v>
      </c>
      <c r="K245" t="n">
        <v>0</v>
      </c>
      <c r="L245" t="n">
        <v>0</v>
      </c>
      <c r="M245" t="n">
        <v>0</v>
      </c>
      <c r="N245" t="n">
        <v>0</v>
      </c>
      <c r="O245" t="n">
        <v>0</v>
      </c>
      <c r="P245" t="n">
        <v>0</v>
      </c>
      <c r="Q245" t="n">
        <v>1</v>
      </c>
      <c r="R245" s="2" t="inlineStr">
        <is>
          <t>Blåsippa</t>
        </is>
      </c>
      <c r="S245">
        <f>HYPERLINK("https://klasma.github.io/Logging_2309/artfynd/A 56628-2023 artfynd.xlsx", "A 56628-2023")</f>
        <v/>
      </c>
      <c r="T245">
        <f>HYPERLINK("https://klasma.github.io/Logging_2309/kartor/A 56628-2023 karta.png", "A 56628-2023")</f>
        <v/>
      </c>
      <c r="V245">
        <f>HYPERLINK("https://klasma.github.io/Logging_2309/klagomål/A 56628-2023 FSC-klagomål.docx", "A 56628-2023")</f>
        <v/>
      </c>
      <c r="W245">
        <f>HYPERLINK("https://klasma.github.io/Logging_2309/klagomålsmail/A 56628-2023 FSC-klagomål mail.docx", "A 56628-2023")</f>
        <v/>
      </c>
      <c r="X245">
        <f>HYPERLINK("https://klasma.github.io/Logging_2309/tillsyn/A 56628-2023 tillsynsbegäran.docx", "A 56628-2023")</f>
        <v/>
      </c>
      <c r="Y245">
        <f>HYPERLINK("https://klasma.github.io/Logging_2309/tillsynsmail/A 56628-2023 tillsynsbegäran mail.docx", "A 56628-2023")</f>
        <v/>
      </c>
    </row>
    <row r="246" ht="15" customHeight="1">
      <c r="A246" t="inlineStr">
        <is>
          <t>A 62936-2023</t>
        </is>
      </c>
      <c r="B246" s="1" t="n">
        <v>45271</v>
      </c>
      <c r="C246" s="1" t="n">
        <v>45582</v>
      </c>
      <c r="D246" t="inlineStr">
        <is>
          <t>JÄMTLANDS LÄN</t>
        </is>
      </c>
      <c r="E246" t="inlineStr">
        <is>
          <t>KROKOM</t>
        </is>
      </c>
      <c r="G246" t="n">
        <v>55.4</v>
      </c>
      <c r="H246" t="n">
        <v>0</v>
      </c>
      <c r="I246" t="n">
        <v>1</v>
      </c>
      <c r="J246" t="n">
        <v>0</v>
      </c>
      <c r="K246" t="n">
        <v>0</v>
      </c>
      <c r="L246" t="n">
        <v>0</v>
      </c>
      <c r="M246" t="n">
        <v>0</v>
      </c>
      <c r="N246" t="n">
        <v>0</v>
      </c>
      <c r="O246" t="n">
        <v>0</v>
      </c>
      <c r="P246" t="n">
        <v>0</v>
      </c>
      <c r="Q246" t="n">
        <v>1</v>
      </c>
      <c r="R246" s="2" t="inlineStr">
        <is>
          <t>Stuplav</t>
        </is>
      </c>
      <c r="S246">
        <f>HYPERLINK("https://klasma.github.io/Logging_2309/artfynd/A 62936-2023 artfynd.xlsx", "A 62936-2023")</f>
        <v/>
      </c>
      <c r="T246">
        <f>HYPERLINK("https://klasma.github.io/Logging_2309/kartor/A 62936-2023 karta.png", "A 62936-2023")</f>
        <v/>
      </c>
      <c r="V246">
        <f>HYPERLINK("https://klasma.github.io/Logging_2309/klagomål/A 62936-2023 FSC-klagomål.docx", "A 62936-2023")</f>
        <v/>
      </c>
      <c r="W246">
        <f>HYPERLINK("https://klasma.github.io/Logging_2309/klagomålsmail/A 62936-2023 FSC-klagomål mail.docx", "A 62936-2023")</f>
        <v/>
      </c>
      <c r="X246">
        <f>HYPERLINK("https://klasma.github.io/Logging_2309/tillsyn/A 62936-2023 tillsynsbegäran.docx", "A 62936-2023")</f>
        <v/>
      </c>
      <c r="Y246">
        <f>HYPERLINK("https://klasma.github.io/Logging_2309/tillsynsmail/A 62936-2023 tillsynsbegäran mail.docx", "A 62936-2023")</f>
        <v/>
      </c>
    </row>
    <row r="247" ht="15" customHeight="1">
      <c r="A247" t="inlineStr">
        <is>
          <t>A 12818-2024</t>
        </is>
      </c>
      <c r="B247" s="1" t="n">
        <v>45384</v>
      </c>
      <c r="C247" s="1" t="n">
        <v>45582</v>
      </c>
      <c r="D247" t="inlineStr">
        <is>
          <t>JÄMTLANDS LÄN</t>
        </is>
      </c>
      <c r="E247" t="inlineStr">
        <is>
          <t>KROKOM</t>
        </is>
      </c>
      <c r="G247" t="n">
        <v>12.1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12818-2024 artfynd.xlsx", "A 12818-2024")</f>
        <v/>
      </c>
      <c r="T247">
        <f>HYPERLINK("https://klasma.github.io/Logging_2309/kartor/A 12818-2024 karta.png", "A 12818-2024")</f>
        <v/>
      </c>
      <c r="V247">
        <f>HYPERLINK("https://klasma.github.io/Logging_2309/klagomål/A 12818-2024 FSC-klagomål.docx", "A 12818-2024")</f>
        <v/>
      </c>
      <c r="W247">
        <f>HYPERLINK("https://klasma.github.io/Logging_2309/klagomålsmail/A 12818-2024 FSC-klagomål mail.docx", "A 12818-2024")</f>
        <v/>
      </c>
      <c r="X247">
        <f>HYPERLINK("https://klasma.github.io/Logging_2309/tillsyn/A 12818-2024 tillsynsbegäran.docx", "A 12818-2024")</f>
        <v/>
      </c>
      <c r="Y247">
        <f>HYPERLINK("https://klasma.github.io/Logging_2309/tillsynsmail/A 12818-2024 tillsynsbegäran mail.docx", "A 12818-2024")</f>
        <v/>
      </c>
      <c r="Z247">
        <f>HYPERLINK("https://klasma.github.io/Logging_2309/fåglar/A 12818-2024 prioriterade fågelarter.docx", "A 12818-2024")</f>
        <v/>
      </c>
    </row>
    <row r="248" ht="15" customHeight="1">
      <c r="A248" t="inlineStr">
        <is>
          <t>A 16426-2024</t>
        </is>
      </c>
      <c r="B248" s="1" t="n">
        <v>45407</v>
      </c>
      <c r="C248" s="1" t="n">
        <v>45582</v>
      </c>
      <c r="D248" t="inlineStr">
        <is>
          <t>JÄMTLANDS LÄN</t>
        </is>
      </c>
      <c r="E248" t="inlineStr">
        <is>
          <t>KROKOM</t>
        </is>
      </c>
      <c r="G248" t="n">
        <v>1.3</v>
      </c>
      <c r="H248" t="n">
        <v>0</v>
      </c>
      <c r="I248" t="n">
        <v>0</v>
      </c>
      <c r="J248" t="n">
        <v>1</v>
      </c>
      <c r="K248" t="n">
        <v>0</v>
      </c>
      <c r="L248" t="n">
        <v>0</v>
      </c>
      <c r="M248" t="n">
        <v>0</v>
      </c>
      <c r="N248" t="n">
        <v>0</v>
      </c>
      <c r="O248" t="n">
        <v>1</v>
      </c>
      <c r="P248" t="n">
        <v>0</v>
      </c>
      <c r="Q248" t="n">
        <v>1</v>
      </c>
      <c r="R248" s="2" t="inlineStr">
        <is>
          <t>Slåtterfibbla</t>
        </is>
      </c>
      <c r="S248">
        <f>HYPERLINK("https://klasma.github.io/Logging_2309/artfynd/A 16426-2024 artfynd.xlsx", "A 16426-2024")</f>
        <v/>
      </c>
      <c r="T248">
        <f>HYPERLINK("https://klasma.github.io/Logging_2309/kartor/A 16426-2024 karta.png", "A 16426-2024")</f>
        <v/>
      </c>
      <c r="V248">
        <f>HYPERLINK("https://klasma.github.io/Logging_2309/klagomål/A 16426-2024 FSC-klagomål.docx", "A 16426-2024")</f>
        <v/>
      </c>
      <c r="W248">
        <f>HYPERLINK("https://klasma.github.io/Logging_2309/klagomålsmail/A 16426-2024 FSC-klagomål mail.docx", "A 16426-2024")</f>
        <v/>
      </c>
      <c r="X248">
        <f>HYPERLINK("https://klasma.github.io/Logging_2309/tillsyn/A 16426-2024 tillsynsbegäran.docx", "A 16426-2024")</f>
        <v/>
      </c>
      <c r="Y248">
        <f>HYPERLINK("https://klasma.github.io/Logging_2309/tillsynsmail/A 16426-2024 tillsynsbegäran mail.docx", "A 16426-2024")</f>
        <v/>
      </c>
    </row>
    <row r="249" ht="15" customHeight="1">
      <c r="A249" t="inlineStr">
        <is>
          <t>A 19534-2024</t>
        </is>
      </c>
      <c r="B249" s="1" t="n">
        <v>45429</v>
      </c>
      <c r="C249" s="1" t="n">
        <v>45582</v>
      </c>
      <c r="D249" t="inlineStr">
        <is>
          <t>JÄMTLANDS LÄN</t>
        </is>
      </c>
      <c r="E249" t="inlineStr">
        <is>
          <t>KROKOM</t>
        </is>
      </c>
      <c r="F249" t="inlineStr">
        <is>
          <t>Övriga Aktiebolag</t>
        </is>
      </c>
      <c r="G249" t="n">
        <v>4.8</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19534-2024 artfynd.xlsx", "A 19534-2024")</f>
        <v/>
      </c>
      <c r="T249">
        <f>HYPERLINK("https://klasma.github.io/Logging_2309/kartor/A 19534-2024 karta.png", "A 19534-2024")</f>
        <v/>
      </c>
      <c r="V249">
        <f>HYPERLINK("https://klasma.github.io/Logging_2309/klagomål/A 19534-2024 FSC-klagomål.docx", "A 19534-2024")</f>
        <v/>
      </c>
      <c r="W249">
        <f>HYPERLINK("https://klasma.github.io/Logging_2309/klagomålsmail/A 19534-2024 FSC-klagomål mail.docx", "A 19534-2024")</f>
        <v/>
      </c>
      <c r="X249">
        <f>HYPERLINK("https://klasma.github.io/Logging_2309/tillsyn/A 19534-2024 tillsynsbegäran.docx", "A 19534-2024")</f>
        <v/>
      </c>
      <c r="Y249">
        <f>HYPERLINK("https://klasma.github.io/Logging_2309/tillsynsmail/A 19534-2024 tillsynsbegäran mail.docx", "A 19534-2024")</f>
        <v/>
      </c>
    </row>
    <row r="250" ht="15" customHeight="1">
      <c r="A250" t="inlineStr">
        <is>
          <t>A 22966-2024</t>
        </is>
      </c>
      <c r="B250" s="1" t="n">
        <v>45449</v>
      </c>
      <c r="C250" s="1" t="n">
        <v>45582</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Kronskål</t>
        </is>
      </c>
      <c r="S250">
        <f>HYPERLINK("https://klasma.github.io/Logging_2309/artfynd/A 22966-2024 artfynd.xlsx", "A 22966-2024")</f>
        <v/>
      </c>
      <c r="T250">
        <f>HYPERLINK("https://klasma.github.io/Logging_2309/kartor/A 22966-2024 karta.png", "A 22966-2024")</f>
        <v/>
      </c>
      <c r="V250">
        <f>HYPERLINK("https://klasma.github.io/Logging_2309/klagomål/A 22966-2024 FSC-klagomål.docx", "A 22966-2024")</f>
        <v/>
      </c>
      <c r="W250">
        <f>HYPERLINK("https://klasma.github.io/Logging_2309/klagomålsmail/A 22966-2024 FSC-klagomål mail.docx", "A 22966-2024")</f>
        <v/>
      </c>
      <c r="X250">
        <f>HYPERLINK("https://klasma.github.io/Logging_2309/tillsyn/A 22966-2024 tillsynsbegäran.docx", "A 22966-2024")</f>
        <v/>
      </c>
      <c r="Y250">
        <f>HYPERLINK("https://klasma.github.io/Logging_2309/tillsynsmail/A 22966-2024 tillsynsbegäran mail.docx", "A 22966-2024")</f>
        <v/>
      </c>
    </row>
    <row r="251" ht="15" customHeight="1">
      <c r="A251" t="inlineStr">
        <is>
          <t>A 26290-2024</t>
        </is>
      </c>
      <c r="B251" s="1" t="n">
        <v>45468</v>
      </c>
      <c r="C251" s="1" t="n">
        <v>45582</v>
      </c>
      <c r="D251" t="inlineStr">
        <is>
          <t>JÄMTLANDS LÄN</t>
        </is>
      </c>
      <c r="E251" t="inlineStr">
        <is>
          <t>KROKOM</t>
        </is>
      </c>
      <c r="F251" t="inlineStr">
        <is>
          <t>Övriga Aktiebolag</t>
        </is>
      </c>
      <c r="G251" t="n">
        <v>1.3</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26290-2024 artfynd.xlsx", "A 26290-2024")</f>
        <v/>
      </c>
      <c r="T251">
        <f>HYPERLINK("https://klasma.github.io/Logging_2309/kartor/A 26290-2024 karta.png", "A 26290-2024")</f>
        <v/>
      </c>
      <c r="V251">
        <f>HYPERLINK("https://klasma.github.io/Logging_2309/klagomål/A 26290-2024 FSC-klagomål.docx", "A 26290-2024")</f>
        <v/>
      </c>
      <c r="W251">
        <f>HYPERLINK("https://klasma.github.io/Logging_2309/klagomålsmail/A 26290-2024 FSC-klagomål mail.docx", "A 26290-2024")</f>
        <v/>
      </c>
      <c r="X251">
        <f>HYPERLINK("https://klasma.github.io/Logging_2309/tillsyn/A 26290-2024 tillsynsbegäran.docx", "A 26290-2024")</f>
        <v/>
      </c>
      <c r="Y251">
        <f>HYPERLINK("https://klasma.github.io/Logging_2309/tillsynsmail/A 26290-2024 tillsynsbegäran mail.docx", "A 26290-2024")</f>
        <v/>
      </c>
      <c r="Z251">
        <f>HYPERLINK("https://klasma.github.io/Logging_2309/fåglar/A 26290-2024 prioriterade fågelarter.docx", "A 26290-2024")</f>
        <v/>
      </c>
    </row>
    <row r="252" ht="15" customHeight="1">
      <c r="A252" t="inlineStr">
        <is>
          <t>A 27133-2024</t>
        </is>
      </c>
      <c r="B252" s="1" t="n">
        <v>45471</v>
      </c>
      <c r="C252" s="1" t="n">
        <v>45582</v>
      </c>
      <c r="D252" t="inlineStr">
        <is>
          <t>JÄMTLANDS LÄN</t>
        </is>
      </c>
      <c r="E252" t="inlineStr">
        <is>
          <t>KROKOM</t>
        </is>
      </c>
      <c r="G252" t="n">
        <v>5.4</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27133-2024 artfynd.xlsx", "A 27133-2024")</f>
        <v/>
      </c>
      <c r="T252">
        <f>HYPERLINK("https://klasma.github.io/Logging_2309/kartor/A 27133-2024 karta.png", "A 27133-2024")</f>
        <v/>
      </c>
      <c r="V252">
        <f>HYPERLINK("https://klasma.github.io/Logging_2309/klagomål/A 27133-2024 FSC-klagomål.docx", "A 27133-2024")</f>
        <v/>
      </c>
      <c r="W252">
        <f>HYPERLINK("https://klasma.github.io/Logging_2309/klagomålsmail/A 27133-2024 FSC-klagomål mail.docx", "A 27133-2024")</f>
        <v/>
      </c>
      <c r="X252">
        <f>HYPERLINK("https://klasma.github.io/Logging_2309/tillsyn/A 27133-2024 tillsynsbegäran.docx", "A 27133-2024")</f>
        <v/>
      </c>
      <c r="Y252">
        <f>HYPERLINK("https://klasma.github.io/Logging_2309/tillsynsmail/A 27133-2024 tillsynsbegäran mail.docx", "A 27133-2024")</f>
        <v/>
      </c>
    </row>
    <row r="253" ht="15" customHeight="1">
      <c r="A253" t="inlineStr">
        <is>
          <t>A 28823-2024</t>
        </is>
      </c>
      <c r="B253" s="1" t="n">
        <v>45478</v>
      </c>
      <c r="C253" s="1" t="n">
        <v>45582</v>
      </c>
      <c r="D253" t="inlineStr">
        <is>
          <t>JÄMTLANDS LÄN</t>
        </is>
      </c>
      <c r="E253" t="inlineStr">
        <is>
          <t>KROKOM</t>
        </is>
      </c>
      <c r="G253" t="n">
        <v>4.7</v>
      </c>
      <c r="H253" t="n">
        <v>0</v>
      </c>
      <c r="I253" t="n">
        <v>0</v>
      </c>
      <c r="J253" t="n">
        <v>1</v>
      </c>
      <c r="K253" t="n">
        <v>0</v>
      </c>
      <c r="L253" t="n">
        <v>0</v>
      </c>
      <c r="M253" t="n">
        <v>0</v>
      </c>
      <c r="N253" t="n">
        <v>0</v>
      </c>
      <c r="O253" t="n">
        <v>1</v>
      </c>
      <c r="P253" t="n">
        <v>0</v>
      </c>
      <c r="Q253" t="n">
        <v>1</v>
      </c>
      <c r="R253" s="2" t="inlineStr">
        <is>
          <t>Granticka</t>
        </is>
      </c>
      <c r="S253">
        <f>HYPERLINK("https://klasma.github.io/Logging_2309/artfynd/A 28823-2024 artfynd.xlsx", "A 28823-2024")</f>
        <v/>
      </c>
      <c r="T253">
        <f>HYPERLINK("https://klasma.github.io/Logging_2309/kartor/A 28823-2024 karta.png", "A 28823-2024")</f>
        <v/>
      </c>
      <c r="V253">
        <f>HYPERLINK("https://klasma.github.io/Logging_2309/klagomål/A 28823-2024 FSC-klagomål.docx", "A 28823-2024")</f>
        <v/>
      </c>
      <c r="W253">
        <f>HYPERLINK("https://klasma.github.io/Logging_2309/klagomålsmail/A 28823-2024 FSC-klagomål mail.docx", "A 28823-2024")</f>
        <v/>
      </c>
      <c r="X253">
        <f>HYPERLINK("https://klasma.github.io/Logging_2309/tillsyn/A 28823-2024 tillsynsbegäran.docx", "A 28823-2024")</f>
        <v/>
      </c>
      <c r="Y253">
        <f>HYPERLINK("https://klasma.github.io/Logging_2309/tillsynsmail/A 28823-2024 tillsynsbegäran mail.docx", "A 28823-2024")</f>
        <v/>
      </c>
    </row>
    <row r="254" ht="15" customHeight="1">
      <c r="A254" t="inlineStr">
        <is>
          <t>A 32770-2024</t>
        </is>
      </c>
      <c r="B254" s="1" t="n">
        <v>45516</v>
      </c>
      <c r="C254" s="1" t="n">
        <v>45582</v>
      </c>
      <c r="D254" t="inlineStr">
        <is>
          <t>JÄMTLANDS LÄN</t>
        </is>
      </c>
      <c r="E254" t="inlineStr">
        <is>
          <t>KROKOM</t>
        </is>
      </c>
      <c r="G254" t="n">
        <v>1</v>
      </c>
      <c r="H254" t="n">
        <v>0</v>
      </c>
      <c r="I254" t="n">
        <v>1</v>
      </c>
      <c r="J254" t="n">
        <v>0</v>
      </c>
      <c r="K254" t="n">
        <v>0</v>
      </c>
      <c r="L254" t="n">
        <v>0</v>
      </c>
      <c r="M254" t="n">
        <v>0</v>
      </c>
      <c r="N254" t="n">
        <v>0</v>
      </c>
      <c r="O254" t="n">
        <v>0</v>
      </c>
      <c r="P254" t="n">
        <v>0</v>
      </c>
      <c r="Q254" t="n">
        <v>1</v>
      </c>
      <c r="R254" s="2" t="inlineStr">
        <is>
          <t>Finbräken</t>
        </is>
      </c>
      <c r="S254">
        <f>HYPERLINK("https://klasma.github.io/Logging_2309/artfynd/A 32770-2024 artfynd.xlsx", "A 32770-2024")</f>
        <v/>
      </c>
      <c r="T254">
        <f>HYPERLINK("https://klasma.github.io/Logging_2309/kartor/A 32770-2024 karta.png", "A 32770-2024")</f>
        <v/>
      </c>
      <c r="V254">
        <f>HYPERLINK("https://klasma.github.io/Logging_2309/klagomål/A 32770-2024 FSC-klagomål.docx", "A 32770-2024")</f>
        <v/>
      </c>
      <c r="W254">
        <f>HYPERLINK("https://klasma.github.io/Logging_2309/klagomålsmail/A 32770-2024 FSC-klagomål mail.docx", "A 32770-2024")</f>
        <v/>
      </c>
      <c r="X254">
        <f>HYPERLINK("https://klasma.github.io/Logging_2309/tillsyn/A 32770-2024 tillsynsbegäran.docx", "A 32770-2024")</f>
        <v/>
      </c>
      <c r="Y254">
        <f>HYPERLINK("https://klasma.github.io/Logging_2309/tillsynsmail/A 32770-2024 tillsynsbegäran mail.docx", "A 32770-2024")</f>
        <v/>
      </c>
    </row>
    <row r="255" ht="15" customHeight="1">
      <c r="A255" t="inlineStr">
        <is>
          <t>A 17853-2019</t>
        </is>
      </c>
      <c r="B255" s="1" t="n">
        <v>43556</v>
      </c>
      <c r="C255" s="1" t="n">
        <v>45582</v>
      </c>
      <c r="D255" t="inlineStr">
        <is>
          <t>JÄMTLANDS LÄN</t>
        </is>
      </c>
      <c r="E255" t="inlineStr">
        <is>
          <t>KROKOM</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18183-2019</t>
        </is>
      </c>
      <c r="B256" s="1" t="n">
        <v>43558</v>
      </c>
      <c r="C256" s="1" t="n">
        <v>45582</v>
      </c>
      <c r="D256" t="inlineStr">
        <is>
          <t>JÄMTLANDS LÄN</t>
        </is>
      </c>
      <c r="E256" t="inlineStr">
        <is>
          <t>KROKOM</t>
        </is>
      </c>
      <c r="G256" t="n">
        <v>5.3</v>
      </c>
      <c r="H256" t="n">
        <v>0</v>
      </c>
      <c r="I256" t="n">
        <v>0</v>
      </c>
      <c r="J256" t="n">
        <v>0</v>
      </c>
      <c r="K256" t="n">
        <v>0</v>
      </c>
      <c r="L256" t="n">
        <v>0</v>
      </c>
      <c r="M256" t="n">
        <v>0</v>
      </c>
      <c r="N256" t="n">
        <v>0</v>
      </c>
      <c r="O256" t="n">
        <v>0</v>
      </c>
      <c r="P256" t="n">
        <v>0</v>
      </c>
      <c r="Q256" t="n">
        <v>0</v>
      </c>
      <c r="R256" s="2" t="inlineStr"/>
    </row>
    <row r="257" ht="15" customHeight="1">
      <c r="A257" t="inlineStr">
        <is>
          <t>A 18477-2019</t>
        </is>
      </c>
      <c r="B257" s="1" t="n">
        <v>43559</v>
      </c>
      <c r="C257" s="1" t="n">
        <v>45582</v>
      </c>
      <c r="D257" t="inlineStr">
        <is>
          <t>JÄMTLANDS LÄN</t>
        </is>
      </c>
      <c r="E257" t="inlineStr">
        <is>
          <t>KROKOM</t>
        </is>
      </c>
      <c r="G257" t="n">
        <v>3</v>
      </c>
      <c r="H257" t="n">
        <v>0</v>
      </c>
      <c r="I257" t="n">
        <v>0</v>
      </c>
      <c r="J257" t="n">
        <v>0</v>
      </c>
      <c r="K257" t="n">
        <v>0</v>
      </c>
      <c r="L257" t="n">
        <v>0</v>
      </c>
      <c r="M257" t="n">
        <v>0</v>
      </c>
      <c r="N257" t="n">
        <v>0</v>
      </c>
      <c r="O257" t="n">
        <v>0</v>
      </c>
      <c r="P257" t="n">
        <v>0</v>
      </c>
      <c r="Q257" t="n">
        <v>0</v>
      </c>
      <c r="R257" s="2" t="inlineStr"/>
    </row>
    <row r="258" ht="15" customHeight="1">
      <c r="A258" t="inlineStr">
        <is>
          <t>A 18565-2019</t>
        </is>
      </c>
      <c r="B258" s="1" t="n">
        <v>43559</v>
      </c>
      <c r="C258" s="1" t="n">
        <v>45582</v>
      </c>
      <c r="D258" t="inlineStr">
        <is>
          <t>JÄMTLANDS LÄN</t>
        </is>
      </c>
      <c r="E258" t="inlineStr">
        <is>
          <t>KROKOM</t>
        </is>
      </c>
      <c r="G258" t="n">
        <v>0.7</v>
      </c>
      <c r="H258" t="n">
        <v>0</v>
      </c>
      <c r="I258" t="n">
        <v>0</v>
      </c>
      <c r="J258" t="n">
        <v>0</v>
      </c>
      <c r="K258" t="n">
        <v>0</v>
      </c>
      <c r="L258" t="n">
        <v>0</v>
      </c>
      <c r="M258" t="n">
        <v>0</v>
      </c>
      <c r="N258" t="n">
        <v>0</v>
      </c>
      <c r="O258" t="n">
        <v>0</v>
      </c>
      <c r="P258" t="n">
        <v>0</v>
      </c>
      <c r="Q258" t="n">
        <v>0</v>
      </c>
      <c r="R258" s="2" t="inlineStr"/>
    </row>
    <row r="259" ht="15" customHeight="1">
      <c r="A259" t="inlineStr">
        <is>
          <t>A 18407-2019</t>
        </is>
      </c>
      <c r="B259" s="1" t="n">
        <v>43559</v>
      </c>
      <c r="C259" s="1" t="n">
        <v>45582</v>
      </c>
      <c r="D259" t="inlineStr">
        <is>
          <t>JÄMTLANDS LÄN</t>
        </is>
      </c>
      <c r="E259" t="inlineStr">
        <is>
          <t>KROKOM</t>
        </is>
      </c>
      <c r="G259" t="n">
        <v>43.1</v>
      </c>
      <c r="H259" t="n">
        <v>0</v>
      </c>
      <c r="I259" t="n">
        <v>0</v>
      </c>
      <c r="J259" t="n">
        <v>0</v>
      </c>
      <c r="K259" t="n">
        <v>0</v>
      </c>
      <c r="L259" t="n">
        <v>0</v>
      </c>
      <c r="M259" t="n">
        <v>0</v>
      </c>
      <c r="N259" t="n">
        <v>0</v>
      </c>
      <c r="O259" t="n">
        <v>0</v>
      </c>
      <c r="P259" t="n">
        <v>0</v>
      </c>
      <c r="Q259" t="n">
        <v>0</v>
      </c>
      <c r="R259" s="2" t="inlineStr"/>
    </row>
    <row r="260" ht="15" customHeight="1">
      <c r="A260" t="inlineStr">
        <is>
          <t>A 18397-2019</t>
        </is>
      </c>
      <c r="B260" s="1" t="n">
        <v>43559</v>
      </c>
      <c r="C260" s="1" t="n">
        <v>45582</v>
      </c>
      <c r="D260" t="inlineStr">
        <is>
          <t>JÄMTLANDS LÄN</t>
        </is>
      </c>
      <c r="E260" t="inlineStr">
        <is>
          <t>KROKOM</t>
        </is>
      </c>
      <c r="G260" t="n">
        <v>2.8</v>
      </c>
      <c r="H260" t="n">
        <v>0</v>
      </c>
      <c r="I260" t="n">
        <v>0</v>
      </c>
      <c r="J260" t="n">
        <v>0</v>
      </c>
      <c r="K260" t="n">
        <v>0</v>
      </c>
      <c r="L260" t="n">
        <v>0</v>
      </c>
      <c r="M260" t="n">
        <v>0</v>
      </c>
      <c r="N260" t="n">
        <v>0</v>
      </c>
      <c r="O260" t="n">
        <v>0</v>
      </c>
      <c r="P260" t="n">
        <v>0</v>
      </c>
      <c r="Q260" t="n">
        <v>0</v>
      </c>
      <c r="R260" s="2" t="inlineStr"/>
    </row>
    <row r="261" ht="15" customHeight="1">
      <c r="A261" t="inlineStr">
        <is>
          <t>A 18602-2019</t>
        </is>
      </c>
      <c r="B261" s="1" t="n">
        <v>43560</v>
      </c>
      <c r="C261" s="1" t="n">
        <v>45582</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18831-2019</t>
        </is>
      </c>
      <c r="B262" s="1" t="n">
        <v>43563</v>
      </c>
      <c r="C262" s="1" t="n">
        <v>45582</v>
      </c>
      <c r="D262" t="inlineStr">
        <is>
          <t>JÄMTLANDS LÄN</t>
        </is>
      </c>
      <c r="E262" t="inlineStr">
        <is>
          <t>KROKOM</t>
        </is>
      </c>
      <c r="G262" t="n">
        <v>2.5</v>
      </c>
      <c r="H262" t="n">
        <v>0</v>
      </c>
      <c r="I262" t="n">
        <v>0</v>
      </c>
      <c r="J262" t="n">
        <v>0</v>
      </c>
      <c r="K262" t="n">
        <v>0</v>
      </c>
      <c r="L262" t="n">
        <v>0</v>
      </c>
      <c r="M262" t="n">
        <v>0</v>
      </c>
      <c r="N262" t="n">
        <v>0</v>
      </c>
      <c r="O262" t="n">
        <v>0</v>
      </c>
      <c r="P262" t="n">
        <v>0</v>
      </c>
      <c r="Q262" t="n">
        <v>0</v>
      </c>
      <c r="R262" s="2" t="inlineStr"/>
    </row>
    <row r="263" ht="15" customHeight="1">
      <c r="A263" t="inlineStr">
        <is>
          <t>A 18847-2019</t>
        </is>
      </c>
      <c r="B263" s="1" t="n">
        <v>43563</v>
      </c>
      <c r="C263" s="1" t="n">
        <v>45582</v>
      </c>
      <c r="D263" t="inlineStr">
        <is>
          <t>JÄMTLANDS LÄN</t>
        </is>
      </c>
      <c r="E263" t="inlineStr">
        <is>
          <t>KROKOM</t>
        </is>
      </c>
      <c r="G263" t="n">
        <v>1</v>
      </c>
      <c r="H263" t="n">
        <v>0</v>
      </c>
      <c r="I263" t="n">
        <v>0</v>
      </c>
      <c r="J263" t="n">
        <v>0</v>
      </c>
      <c r="K263" t="n">
        <v>0</v>
      </c>
      <c r="L263" t="n">
        <v>0</v>
      </c>
      <c r="M263" t="n">
        <v>0</v>
      </c>
      <c r="N263" t="n">
        <v>0</v>
      </c>
      <c r="O263" t="n">
        <v>0</v>
      </c>
      <c r="P263" t="n">
        <v>0</v>
      </c>
      <c r="Q263" t="n">
        <v>0</v>
      </c>
      <c r="R263" s="2" t="inlineStr"/>
    </row>
    <row r="264" ht="15" customHeight="1">
      <c r="A264" t="inlineStr">
        <is>
          <t>A 19152-2019</t>
        </is>
      </c>
      <c r="B264" s="1" t="n">
        <v>43564</v>
      </c>
      <c r="C264" s="1" t="n">
        <v>45582</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19325-2019</t>
        </is>
      </c>
      <c r="B265" s="1" t="n">
        <v>43565</v>
      </c>
      <c r="C265" s="1" t="n">
        <v>45582</v>
      </c>
      <c r="D265" t="inlineStr">
        <is>
          <t>JÄMTLANDS LÄN</t>
        </is>
      </c>
      <c r="E265" t="inlineStr">
        <is>
          <t>KROKOM</t>
        </is>
      </c>
      <c r="G265" t="n">
        <v>1.8</v>
      </c>
      <c r="H265" t="n">
        <v>0</v>
      </c>
      <c r="I265" t="n">
        <v>0</v>
      </c>
      <c r="J265" t="n">
        <v>0</v>
      </c>
      <c r="K265" t="n">
        <v>0</v>
      </c>
      <c r="L265" t="n">
        <v>0</v>
      </c>
      <c r="M265" t="n">
        <v>0</v>
      </c>
      <c r="N265" t="n">
        <v>0</v>
      </c>
      <c r="O265" t="n">
        <v>0</v>
      </c>
      <c r="P265" t="n">
        <v>0</v>
      </c>
      <c r="Q265" t="n">
        <v>0</v>
      </c>
      <c r="R265" s="2" t="inlineStr"/>
    </row>
    <row r="266" ht="15" customHeight="1">
      <c r="A266" t="inlineStr">
        <is>
          <t>A 19708-2019</t>
        </is>
      </c>
      <c r="B266" s="1" t="n">
        <v>43566</v>
      </c>
      <c r="C266" s="1" t="n">
        <v>45582</v>
      </c>
      <c r="D266" t="inlineStr">
        <is>
          <t>JÄMTLANDS LÄN</t>
        </is>
      </c>
      <c r="E266" t="inlineStr">
        <is>
          <t>KROKOM</t>
        </is>
      </c>
      <c r="G266" t="n">
        <v>8.9</v>
      </c>
      <c r="H266" t="n">
        <v>0</v>
      </c>
      <c r="I266" t="n">
        <v>0</v>
      </c>
      <c r="J266" t="n">
        <v>0</v>
      </c>
      <c r="K266" t="n">
        <v>0</v>
      </c>
      <c r="L266" t="n">
        <v>0</v>
      </c>
      <c r="M266" t="n">
        <v>0</v>
      </c>
      <c r="N266" t="n">
        <v>0</v>
      </c>
      <c r="O266" t="n">
        <v>0</v>
      </c>
      <c r="P266" t="n">
        <v>0</v>
      </c>
      <c r="Q266" t="n">
        <v>0</v>
      </c>
      <c r="R266" s="2" t="inlineStr"/>
    </row>
    <row r="267" ht="15" customHeight="1">
      <c r="A267" t="inlineStr">
        <is>
          <t>A 20378-2019</t>
        </is>
      </c>
      <c r="B267" s="1" t="n">
        <v>43571</v>
      </c>
      <c r="C267" s="1" t="n">
        <v>45582</v>
      </c>
      <c r="D267" t="inlineStr">
        <is>
          <t>JÄMTLANDS LÄN</t>
        </is>
      </c>
      <c r="E267" t="inlineStr">
        <is>
          <t>KROKOM</t>
        </is>
      </c>
      <c r="G267" t="n">
        <v>2.7</v>
      </c>
      <c r="H267" t="n">
        <v>0</v>
      </c>
      <c r="I267" t="n">
        <v>0</v>
      </c>
      <c r="J267" t="n">
        <v>0</v>
      </c>
      <c r="K267" t="n">
        <v>0</v>
      </c>
      <c r="L267" t="n">
        <v>0</v>
      </c>
      <c r="M267" t="n">
        <v>0</v>
      </c>
      <c r="N267" t="n">
        <v>0</v>
      </c>
      <c r="O267" t="n">
        <v>0</v>
      </c>
      <c r="P267" t="n">
        <v>0</v>
      </c>
      <c r="Q267" t="n">
        <v>0</v>
      </c>
      <c r="R267" s="2" t="inlineStr"/>
    </row>
    <row r="268" ht="15" customHeight="1">
      <c r="A268" t="inlineStr">
        <is>
          <t>A 20596-2019</t>
        </is>
      </c>
      <c r="B268" s="1" t="n">
        <v>43572</v>
      </c>
      <c r="C268" s="1" t="n">
        <v>45582</v>
      </c>
      <c r="D268" t="inlineStr">
        <is>
          <t>JÄMTLANDS LÄN</t>
        </is>
      </c>
      <c r="E268" t="inlineStr">
        <is>
          <t>KROKOM</t>
        </is>
      </c>
      <c r="G268" t="n">
        <v>10.6</v>
      </c>
      <c r="H268" t="n">
        <v>0</v>
      </c>
      <c r="I268" t="n">
        <v>0</v>
      </c>
      <c r="J268" t="n">
        <v>0</v>
      </c>
      <c r="K268" t="n">
        <v>0</v>
      </c>
      <c r="L268" t="n">
        <v>0</v>
      </c>
      <c r="M268" t="n">
        <v>0</v>
      </c>
      <c r="N268" t="n">
        <v>0</v>
      </c>
      <c r="O268" t="n">
        <v>0</v>
      </c>
      <c r="P268" t="n">
        <v>0</v>
      </c>
      <c r="Q268" t="n">
        <v>0</v>
      </c>
      <c r="R268" s="2" t="inlineStr"/>
    </row>
    <row r="269" ht="15" customHeight="1">
      <c r="A269" t="inlineStr">
        <is>
          <t>A 21269-2019</t>
        </is>
      </c>
      <c r="B269" s="1" t="n">
        <v>43579</v>
      </c>
      <c r="C269" s="1" t="n">
        <v>45582</v>
      </c>
      <c r="D269" t="inlineStr">
        <is>
          <t>JÄMTLANDS LÄN</t>
        </is>
      </c>
      <c r="E269" t="inlineStr">
        <is>
          <t>KROKOM</t>
        </is>
      </c>
      <c r="G269" t="n">
        <v>1.7</v>
      </c>
      <c r="H269" t="n">
        <v>0</v>
      </c>
      <c r="I269" t="n">
        <v>0</v>
      </c>
      <c r="J269" t="n">
        <v>0</v>
      </c>
      <c r="K269" t="n">
        <v>0</v>
      </c>
      <c r="L269" t="n">
        <v>0</v>
      </c>
      <c r="M269" t="n">
        <v>0</v>
      </c>
      <c r="N269" t="n">
        <v>0</v>
      </c>
      <c r="O269" t="n">
        <v>0</v>
      </c>
      <c r="P269" t="n">
        <v>0</v>
      </c>
      <c r="Q269" t="n">
        <v>0</v>
      </c>
      <c r="R269" s="2" t="inlineStr"/>
    </row>
    <row r="270" ht="15" customHeight="1">
      <c r="A270" t="inlineStr">
        <is>
          <t>A 21421-2019</t>
        </is>
      </c>
      <c r="B270" s="1" t="n">
        <v>43580</v>
      </c>
      <c r="C270" s="1" t="n">
        <v>45582</v>
      </c>
      <c r="D270" t="inlineStr">
        <is>
          <t>JÄMTLANDS LÄN</t>
        </is>
      </c>
      <c r="E270" t="inlineStr">
        <is>
          <t>KROKOM</t>
        </is>
      </c>
      <c r="G270" t="n">
        <v>13.1</v>
      </c>
      <c r="H270" t="n">
        <v>0</v>
      </c>
      <c r="I270" t="n">
        <v>0</v>
      </c>
      <c r="J270" t="n">
        <v>0</v>
      </c>
      <c r="K270" t="n">
        <v>0</v>
      </c>
      <c r="L270" t="n">
        <v>0</v>
      </c>
      <c r="M270" t="n">
        <v>0</v>
      </c>
      <c r="N270" t="n">
        <v>0</v>
      </c>
      <c r="O270" t="n">
        <v>0</v>
      </c>
      <c r="P270" t="n">
        <v>0</v>
      </c>
      <c r="Q270" t="n">
        <v>0</v>
      </c>
      <c r="R270" s="2" t="inlineStr"/>
    </row>
    <row r="271" ht="15" customHeight="1">
      <c r="A271" t="inlineStr">
        <is>
          <t>A 21669-2019</t>
        </is>
      </c>
      <c r="B271" s="1" t="n">
        <v>43581</v>
      </c>
      <c r="C271" s="1" t="n">
        <v>45582</v>
      </c>
      <c r="D271" t="inlineStr">
        <is>
          <t>JÄMTLANDS LÄN</t>
        </is>
      </c>
      <c r="E271" t="inlineStr">
        <is>
          <t>KROKOM</t>
        </is>
      </c>
      <c r="G271" t="n">
        <v>13.2</v>
      </c>
      <c r="H271" t="n">
        <v>0</v>
      </c>
      <c r="I271" t="n">
        <v>0</v>
      </c>
      <c r="J271" t="n">
        <v>0</v>
      </c>
      <c r="K271" t="n">
        <v>0</v>
      </c>
      <c r="L271" t="n">
        <v>0</v>
      </c>
      <c r="M271" t="n">
        <v>0</v>
      </c>
      <c r="N271" t="n">
        <v>0</v>
      </c>
      <c r="O271" t="n">
        <v>0</v>
      </c>
      <c r="P271" t="n">
        <v>0</v>
      </c>
      <c r="Q271" t="n">
        <v>0</v>
      </c>
      <c r="R271" s="2" t="inlineStr"/>
    </row>
    <row r="272" ht="15" customHeight="1">
      <c r="A272" t="inlineStr">
        <is>
          <t>A 21716-2019</t>
        </is>
      </c>
      <c r="B272" s="1" t="n">
        <v>43581</v>
      </c>
      <c r="C272" s="1" t="n">
        <v>45582</v>
      </c>
      <c r="D272" t="inlineStr">
        <is>
          <t>JÄMTLANDS LÄN</t>
        </is>
      </c>
      <c r="E272" t="inlineStr">
        <is>
          <t>KROKOM</t>
        </is>
      </c>
      <c r="G272" t="n">
        <v>4.2</v>
      </c>
      <c r="H272" t="n">
        <v>0</v>
      </c>
      <c r="I272" t="n">
        <v>0</v>
      </c>
      <c r="J272" t="n">
        <v>0</v>
      </c>
      <c r="K272" t="n">
        <v>0</v>
      </c>
      <c r="L272" t="n">
        <v>0</v>
      </c>
      <c r="M272" t="n">
        <v>0</v>
      </c>
      <c r="N272" t="n">
        <v>0</v>
      </c>
      <c r="O272" t="n">
        <v>0</v>
      </c>
      <c r="P272" t="n">
        <v>0</v>
      </c>
      <c r="Q272" t="n">
        <v>0</v>
      </c>
      <c r="R272" s="2" t="inlineStr"/>
    </row>
    <row r="273" ht="15" customHeight="1">
      <c r="A273" t="inlineStr">
        <is>
          <t>A 21933-2019</t>
        </is>
      </c>
      <c r="B273" s="1" t="n">
        <v>43584</v>
      </c>
      <c r="C273" s="1" t="n">
        <v>45582</v>
      </c>
      <c r="D273" t="inlineStr">
        <is>
          <t>JÄMTLANDS LÄN</t>
        </is>
      </c>
      <c r="E273" t="inlineStr">
        <is>
          <t>KROKOM</t>
        </is>
      </c>
      <c r="G273" t="n">
        <v>12.8</v>
      </c>
      <c r="H273" t="n">
        <v>0</v>
      </c>
      <c r="I273" t="n">
        <v>0</v>
      </c>
      <c r="J273" t="n">
        <v>0</v>
      </c>
      <c r="K273" t="n">
        <v>0</v>
      </c>
      <c r="L273" t="n">
        <v>0</v>
      </c>
      <c r="M273" t="n">
        <v>0</v>
      </c>
      <c r="N273" t="n">
        <v>0</v>
      </c>
      <c r="O273" t="n">
        <v>0</v>
      </c>
      <c r="P273" t="n">
        <v>0</v>
      </c>
      <c r="Q273" t="n">
        <v>0</v>
      </c>
      <c r="R273" s="2" t="inlineStr"/>
    </row>
    <row r="274" ht="15" customHeight="1">
      <c r="A274" t="inlineStr">
        <is>
          <t>A 22208-2019</t>
        </is>
      </c>
      <c r="B274" s="1" t="n">
        <v>43585</v>
      </c>
      <c r="C274" s="1" t="n">
        <v>45582</v>
      </c>
      <c r="D274" t="inlineStr">
        <is>
          <t>JÄMTLANDS LÄN</t>
        </is>
      </c>
      <c r="E274" t="inlineStr">
        <is>
          <t>KROKOM</t>
        </is>
      </c>
      <c r="G274" t="n">
        <v>0.9</v>
      </c>
      <c r="H274" t="n">
        <v>0</v>
      </c>
      <c r="I274" t="n">
        <v>0</v>
      </c>
      <c r="J274" t="n">
        <v>0</v>
      </c>
      <c r="K274" t="n">
        <v>0</v>
      </c>
      <c r="L274" t="n">
        <v>0</v>
      </c>
      <c r="M274" t="n">
        <v>0</v>
      </c>
      <c r="N274" t="n">
        <v>0</v>
      </c>
      <c r="O274" t="n">
        <v>0</v>
      </c>
      <c r="P274" t="n">
        <v>0</v>
      </c>
      <c r="Q274" t="n">
        <v>0</v>
      </c>
      <c r="R274" s="2" t="inlineStr"/>
    </row>
    <row r="275" ht="15" customHeight="1">
      <c r="A275" t="inlineStr">
        <is>
          <t>A 22135-2019</t>
        </is>
      </c>
      <c r="B275" s="1" t="n">
        <v>43585</v>
      </c>
      <c r="C275" s="1" t="n">
        <v>45582</v>
      </c>
      <c r="D275" t="inlineStr">
        <is>
          <t>JÄMTLANDS LÄN</t>
        </is>
      </c>
      <c r="E275" t="inlineStr">
        <is>
          <t>KROKOM</t>
        </is>
      </c>
      <c r="G275" t="n">
        <v>8.1</v>
      </c>
      <c r="H275" t="n">
        <v>0</v>
      </c>
      <c r="I275" t="n">
        <v>0</v>
      </c>
      <c r="J275" t="n">
        <v>0</v>
      </c>
      <c r="K275" t="n">
        <v>0</v>
      </c>
      <c r="L275" t="n">
        <v>0</v>
      </c>
      <c r="M275" t="n">
        <v>0</v>
      </c>
      <c r="N275" t="n">
        <v>0</v>
      </c>
      <c r="O275" t="n">
        <v>0</v>
      </c>
      <c r="P275" t="n">
        <v>0</v>
      </c>
      <c r="Q275" t="n">
        <v>0</v>
      </c>
      <c r="R275" s="2" t="inlineStr"/>
    </row>
    <row r="276" ht="15" customHeight="1">
      <c r="A276" t="inlineStr">
        <is>
          <t>A 22129-2019</t>
        </is>
      </c>
      <c r="B276" s="1" t="n">
        <v>43585</v>
      </c>
      <c r="C276" s="1" t="n">
        <v>45582</v>
      </c>
      <c r="D276" t="inlineStr">
        <is>
          <t>JÄMTLANDS LÄN</t>
        </is>
      </c>
      <c r="E276" t="inlineStr">
        <is>
          <t>KROKOM</t>
        </is>
      </c>
      <c r="G276" t="n">
        <v>7</v>
      </c>
      <c r="H276" t="n">
        <v>0</v>
      </c>
      <c r="I276" t="n">
        <v>0</v>
      </c>
      <c r="J276" t="n">
        <v>0</v>
      </c>
      <c r="K276" t="n">
        <v>0</v>
      </c>
      <c r="L276" t="n">
        <v>0</v>
      </c>
      <c r="M276" t="n">
        <v>0</v>
      </c>
      <c r="N276" t="n">
        <v>0</v>
      </c>
      <c r="O276" t="n">
        <v>0</v>
      </c>
      <c r="P276" t="n">
        <v>0</v>
      </c>
      <c r="Q276" t="n">
        <v>0</v>
      </c>
      <c r="R276" s="2" t="inlineStr"/>
    </row>
    <row r="277" ht="15" customHeight="1">
      <c r="A277" t="inlineStr">
        <is>
          <t>A 22521-2019</t>
        </is>
      </c>
      <c r="B277" s="1" t="n">
        <v>43587</v>
      </c>
      <c r="C277" s="1" t="n">
        <v>45582</v>
      </c>
      <c r="D277" t="inlineStr">
        <is>
          <t>JÄMTLANDS LÄN</t>
        </is>
      </c>
      <c r="E277" t="inlineStr">
        <is>
          <t>KROKOM</t>
        </is>
      </c>
      <c r="F277" t="inlineStr">
        <is>
          <t>Kyrkan</t>
        </is>
      </c>
      <c r="G277" t="n">
        <v>14.5</v>
      </c>
      <c r="H277" t="n">
        <v>0</v>
      </c>
      <c r="I277" t="n">
        <v>0</v>
      </c>
      <c r="J277" t="n">
        <v>0</v>
      </c>
      <c r="K277" t="n">
        <v>0</v>
      </c>
      <c r="L277" t="n">
        <v>0</v>
      </c>
      <c r="M277" t="n">
        <v>0</v>
      </c>
      <c r="N277" t="n">
        <v>0</v>
      </c>
      <c r="O277" t="n">
        <v>0</v>
      </c>
      <c r="P277" t="n">
        <v>0</v>
      </c>
      <c r="Q277" t="n">
        <v>0</v>
      </c>
      <c r="R277" s="2" t="inlineStr"/>
    </row>
    <row r="278" ht="15" customHeight="1">
      <c r="A278" t="inlineStr">
        <is>
          <t>A 22533-2019</t>
        </is>
      </c>
      <c r="B278" s="1" t="n">
        <v>43587</v>
      </c>
      <c r="C278" s="1" t="n">
        <v>45582</v>
      </c>
      <c r="D278" t="inlineStr">
        <is>
          <t>JÄMTLANDS LÄN</t>
        </is>
      </c>
      <c r="E278" t="inlineStr">
        <is>
          <t>KROKOM</t>
        </is>
      </c>
      <c r="F278" t="inlineStr">
        <is>
          <t>Kyrkan</t>
        </is>
      </c>
      <c r="G278" t="n">
        <v>1.5</v>
      </c>
      <c r="H278" t="n">
        <v>0</v>
      </c>
      <c r="I278" t="n">
        <v>0</v>
      </c>
      <c r="J278" t="n">
        <v>0</v>
      </c>
      <c r="K278" t="n">
        <v>0</v>
      </c>
      <c r="L278" t="n">
        <v>0</v>
      </c>
      <c r="M278" t="n">
        <v>0</v>
      </c>
      <c r="N278" t="n">
        <v>0</v>
      </c>
      <c r="O278" t="n">
        <v>0</v>
      </c>
      <c r="P278" t="n">
        <v>0</v>
      </c>
      <c r="Q278" t="n">
        <v>0</v>
      </c>
      <c r="R278" s="2" t="inlineStr"/>
    </row>
    <row r="279" ht="15" customHeight="1">
      <c r="A279" t="inlineStr">
        <is>
          <t>A 22877-2019</t>
        </is>
      </c>
      <c r="B279" s="1" t="n">
        <v>43591</v>
      </c>
      <c r="C279" s="1" t="n">
        <v>45582</v>
      </c>
      <c r="D279" t="inlineStr">
        <is>
          <t>JÄMTLANDS LÄN</t>
        </is>
      </c>
      <c r="E279" t="inlineStr">
        <is>
          <t>KROKOM</t>
        </is>
      </c>
      <c r="G279" t="n">
        <v>11</v>
      </c>
      <c r="H279" t="n">
        <v>0</v>
      </c>
      <c r="I279" t="n">
        <v>0</v>
      </c>
      <c r="J279" t="n">
        <v>0</v>
      </c>
      <c r="K279" t="n">
        <v>0</v>
      </c>
      <c r="L279" t="n">
        <v>0</v>
      </c>
      <c r="M279" t="n">
        <v>0</v>
      </c>
      <c r="N279" t="n">
        <v>0</v>
      </c>
      <c r="O279" t="n">
        <v>0</v>
      </c>
      <c r="P279" t="n">
        <v>0</v>
      </c>
      <c r="Q279" t="n">
        <v>0</v>
      </c>
      <c r="R279" s="2" t="inlineStr"/>
    </row>
    <row r="280" ht="15" customHeight="1">
      <c r="A280" t="inlineStr">
        <is>
          <t>A 23698-2019</t>
        </is>
      </c>
      <c r="B280" s="1" t="n">
        <v>43594</v>
      </c>
      <c r="C280" s="1" t="n">
        <v>45582</v>
      </c>
      <c r="D280" t="inlineStr">
        <is>
          <t>JÄMTLANDS LÄN</t>
        </is>
      </c>
      <c r="E280" t="inlineStr">
        <is>
          <t>KROKOM</t>
        </is>
      </c>
      <c r="G280" t="n">
        <v>14.3</v>
      </c>
      <c r="H280" t="n">
        <v>0</v>
      </c>
      <c r="I280" t="n">
        <v>0</v>
      </c>
      <c r="J280" t="n">
        <v>0</v>
      </c>
      <c r="K280" t="n">
        <v>0</v>
      </c>
      <c r="L280" t="n">
        <v>0</v>
      </c>
      <c r="M280" t="n">
        <v>0</v>
      </c>
      <c r="N280" t="n">
        <v>0</v>
      </c>
      <c r="O280" t="n">
        <v>0</v>
      </c>
      <c r="P280" t="n">
        <v>0</v>
      </c>
      <c r="Q280" t="n">
        <v>0</v>
      </c>
      <c r="R280" s="2" t="inlineStr"/>
    </row>
    <row r="281" ht="15" customHeight="1">
      <c r="A281" t="inlineStr">
        <is>
          <t>A 24900-2019</t>
        </is>
      </c>
      <c r="B281" s="1" t="n">
        <v>43599</v>
      </c>
      <c r="C281" s="1" t="n">
        <v>45582</v>
      </c>
      <c r="D281" t="inlineStr">
        <is>
          <t>JÄMTLANDS LÄN</t>
        </is>
      </c>
      <c r="E281" t="inlineStr">
        <is>
          <t>KROKOM</t>
        </is>
      </c>
      <c r="G281" t="n">
        <v>3.3</v>
      </c>
      <c r="H281" t="n">
        <v>0</v>
      </c>
      <c r="I281" t="n">
        <v>0</v>
      </c>
      <c r="J281" t="n">
        <v>0</v>
      </c>
      <c r="K281" t="n">
        <v>0</v>
      </c>
      <c r="L281" t="n">
        <v>0</v>
      </c>
      <c r="M281" t="n">
        <v>0</v>
      </c>
      <c r="N281" t="n">
        <v>0</v>
      </c>
      <c r="O281" t="n">
        <v>0</v>
      </c>
      <c r="P281" t="n">
        <v>0</v>
      </c>
      <c r="Q281" t="n">
        <v>0</v>
      </c>
      <c r="R281" s="2" t="inlineStr"/>
    </row>
    <row r="282" ht="15" customHeight="1">
      <c r="A282" t="inlineStr">
        <is>
          <t>A 25641-2019</t>
        </is>
      </c>
      <c r="B282" s="1" t="n">
        <v>43602</v>
      </c>
      <c r="C282" s="1" t="n">
        <v>45582</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25644-2019</t>
        </is>
      </c>
      <c r="B283" s="1" t="n">
        <v>43602</v>
      </c>
      <c r="C283" s="1" t="n">
        <v>45582</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25634-2019</t>
        </is>
      </c>
      <c r="B284" s="1" t="n">
        <v>43602</v>
      </c>
      <c r="C284" s="1" t="n">
        <v>45582</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25115-2019</t>
        </is>
      </c>
      <c r="B285" s="1" t="n">
        <v>43605</v>
      </c>
      <c r="C285" s="1" t="n">
        <v>45582</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25858-2019</t>
        </is>
      </c>
      <c r="B286" s="1" t="n">
        <v>43608</v>
      </c>
      <c r="C286" s="1" t="n">
        <v>45582</v>
      </c>
      <c r="D286" t="inlineStr">
        <is>
          <t>JÄMTLANDS LÄN</t>
        </is>
      </c>
      <c r="E286" t="inlineStr">
        <is>
          <t>KROKOM</t>
        </is>
      </c>
      <c r="F286" t="inlineStr">
        <is>
          <t>Övriga Aktiebolag</t>
        </is>
      </c>
      <c r="G286" t="n">
        <v>32.2</v>
      </c>
      <c r="H286" t="n">
        <v>0</v>
      </c>
      <c r="I286" t="n">
        <v>0</v>
      </c>
      <c r="J286" t="n">
        <v>0</v>
      </c>
      <c r="K286" t="n">
        <v>0</v>
      </c>
      <c r="L286" t="n">
        <v>0</v>
      </c>
      <c r="M286" t="n">
        <v>0</v>
      </c>
      <c r="N286" t="n">
        <v>0</v>
      </c>
      <c r="O286" t="n">
        <v>0</v>
      </c>
      <c r="P286" t="n">
        <v>0</v>
      </c>
      <c r="Q286" t="n">
        <v>0</v>
      </c>
      <c r="R286" s="2" t="inlineStr"/>
    </row>
    <row r="287" ht="15" customHeight="1">
      <c r="A287" t="inlineStr">
        <is>
          <t>A 26486-2019</t>
        </is>
      </c>
      <c r="B287" s="1" t="n">
        <v>43612</v>
      </c>
      <c r="C287" s="1" t="n">
        <v>45582</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26408-2019</t>
        </is>
      </c>
      <c r="B288" s="1" t="n">
        <v>43612</v>
      </c>
      <c r="C288" s="1" t="n">
        <v>45582</v>
      </c>
      <c r="D288" t="inlineStr">
        <is>
          <t>JÄMTLANDS LÄN</t>
        </is>
      </c>
      <c r="E288" t="inlineStr">
        <is>
          <t>KROKOM</t>
        </is>
      </c>
      <c r="G288" t="n">
        <v>3.1</v>
      </c>
      <c r="H288" t="n">
        <v>0</v>
      </c>
      <c r="I288" t="n">
        <v>0</v>
      </c>
      <c r="J288" t="n">
        <v>0</v>
      </c>
      <c r="K288" t="n">
        <v>0</v>
      </c>
      <c r="L288" t="n">
        <v>0</v>
      </c>
      <c r="M288" t="n">
        <v>0</v>
      </c>
      <c r="N288" t="n">
        <v>0</v>
      </c>
      <c r="O288" t="n">
        <v>0</v>
      </c>
      <c r="P288" t="n">
        <v>0</v>
      </c>
      <c r="Q288" t="n">
        <v>0</v>
      </c>
      <c r="R288" s="2" t="inlineStr"/>
    </row>
    <row r="289" ht="15" customHeight="1">
      <c r="A289" t="inlineStr">
        <is>
          <t>A 28077-2019</t>
        </is>
      </c>
      <c r="B289" s="1" t="n">
        <v>43613</v>
      </c>
      <c r="C289" s="1" t="n">
        <v>45582</v>
      </c>
      <c r="D289" t="inlineStr">
        <is>
          <t>JÄMTLANDS LÄN</t>
        </is>
      </c>
      <c r="E289" t="inlineStr">
        <is>
          <t>KROKOM</t>
        </is>
      </c>
      <c r="F289" t="inlineStr">
        <is>
          <t>Övriga Aktiebolag</t>
        </is>
      </c>
      <c r="G289" t="n">
        <v>26.1</v>
      </c>
      <c r="H289" t="n">
        <v>0</v>
      </c>
      <c r="I289" t="n">
        <v>0</v>
      </c>
      <c r="J289" t="n">
        <v>0</v>
      </c>
      <c r="K289" t="n">
        <v>0</v>
      </c>
      <c r="L289" t="n">
        <v>0</v>
      </c>
      <c r="M289" t="n">
        <v>0</v>
      </c>
      <c r="N289" t="n">
        <v>0</v>
      </c>
      <c r="O289" t="n">
        <v>0</v>
      </c>
      <c r="P289" t="n">
        <v>0</v>
      </c>
      <c r="Q289" t="n">
        <v>0</v>
      </c>
      <c r="R289" s="2" t="inlineStr"/>
    </row>
    <row r="290" ht="15" customHeight="1">
      <c r="A290" t="inlineStr">
        <is>
          <t>A 27031-2019</t>
        </is>
      </c>
      <c r="B290" s="1" t="n">
        <v>43614</v>
      </c>
      <c r="C290" s="1" t="n">
        <v>45582</v>
      </c>
      <c r="D290" t="inlineStr">
        <is>
          <t>JÄMTLANDS LÄN</t>
        </is>
      </c>
      <c r="E290" t="inlineStr">
        <is>
          <t>KROKOM</t>
        </is>
      </c>
      <c r="G290" t="n">
        <v>3.4</v>
      </c>
      <c r="H290" t="n">
        <v>0</v>
      </c>
      <c r="I290" t="n">
        <v>0</v>
      </c>
      <c r="J290" t="n">
        <v>0</v>
      </c>
      <c r="K290" t="n">
        <v>0</v>
      </c>
      <c r="L290" t="n">
        <v>0</v>
      </c>
      <c r="M290" t="n">
        <v>0</v>
      </c>
      <c r="N290" t="n">
        <v>0</v>
      </c>
      <c r="O290" t="n">
        <v>0</v>
      </c>
      <c r="P290" t="n">
        <v>0</v>
      </c>
      <c r="Q290" t="n">
        <v>0</v>
      </c>
      <c r="R290" s="2" t="inlineStr"/>
    </row>
    <row r="291" ht="15" customHeight="1">
      <c r="A291" t="inlineStr">
        <is>
          <t>A 27348-2019</t>
        </is>
      </c>
      <c r="B291" s="1" t="n">
        <v>43616</v>
      </c>
      <c r="C291" s="1" t="n">
        <v>45582</v>
      </c>
      <c r="D291" t="inlineStr">
        <is>
          <t>JÄMTLANDS LÄN</t>
        </is>
      </c>
      <c r="E291" t="inlineStr">
        <is>
          <t>KROKOM</t>
        </is>
      </c>
      <c r="G291" t="n">
        <v>3.3</v>
      </c>
      <c r="H291" t="n">
        <v>0</v>
      </c>
      <c r="I291" t="n">
        <v>0</v>
      </c>
      <c r="J291" t="n">
        <v>0</v>
      </c>
      <c r="K291" t="n">
        <v>0</v>
      </c>
      <c r="L291" t="n">
        <v>0</v>
      </c>
      <c r="M291" t="n">
        <v>0</v>
      </c>
      <c r="N291" t="n">
        <v>0</v>
      </c>
      <c r="O291" t="n">
        <v>0</v>
      </c>
      <c r="P291" t="n">
        <v>0</v>
      </c>
      <c r="Q291" t="n">
        <v>0</v>
      </c>
      <c r="R291" s="2" t="inlineStr"/>
    </row>
    <row r="292" ht="15" customHeight="1">
      <c r="A292" t="inlineStr">
        <is>
          <t>A 27765-2019</t>
        </is>
      </c>
      <c r="B292" s="1" t="n">
        <v>43619</v>
      </c>
      <c r="C292" s="1" t="n">
        <v>45582</v>
      </c>
      <c r="D292" t="inlineStr">
        <is>
          <t>JÄMTLANDS LÄN</t>
        </is>
      </c>
      <c r="E292" t="inlineStr">
        <is>
          <t>KROKOM</t>
        </is>
      </c>
      <c r="G292" t="n">
        <v>20.1</v>
      </c>
      <c r="H292" t="n">
        <v>0</v>
      </c>
      <c r="I292" t="n">
        <v>0</v>
      </c>
      <c r="J292" t="n">
        <v>0</v>
      </c>
      <c r="K292" t="n">
        <v>0</v>
      </c>
      <c r="L292" t="n">
        <v>0</v>
      </c>
      <c r="M292" t="n">
        <v>0</v>
      </c>
      <c r="N292" t="n">
        <v>0</v>
      </c>
      <c r="O292" t="n">
        <v>0</v>
      </c>
      <c r="P292" t="n">
        <v>0</v>
      </c>
      <c r="Q292" t="n">
        <v>0</v>
      </c>
      <c r="R292" s="2" t="inlineStr"/>
    </row>
    <row r="293" ht="15" customHeight="1">
      <c r="A293" t="inlineStr">
        <is>
          <t>A 27766-2019</t>
        </is>
      </c>
      <c r="B293" s="1" t="n">
        <v>43619</v>
      </c>
      <c r="C293" s="1" t="n">
        <v>45582</v>
      </c>
      <c r="D293" t="inlineStr">
        <is>
          <t>JÄMTLANDS LÄN</t>
        </is>
      </c>
      <c r="E293" t="inlineStr">
        <is>
          <t>KROKOM</t>
        </is>
      </c>
      <c r="G293" t="n">
        <v>17.7</v>
      </c>
      <c r="H293" t="n">
        <v>0</v>
      </c>
      <c r="I293" t="n">
        <v>0</v>
      </c>
      <c r="J293" t="n">
        <v>0</v>
      </c>
      <c r="K293" t="n">
        <v>0</v>
      </c>
      <c r="L293" t="n">
        <v>0</v>
      </c>
      <c r="M293" t="n">
        <v>0</v>
      </c>
      <c r="N293" t="n">
        <v>0</v>
      </c>
      <c r="O293" t="n">
        <v>0</v>
      </c>
      <c r="P293" t="n">
        <v>0</v>
      </c>
      <c r="Q293" t="n">
        <v>0</v>
      </c>
      <c r="R293" s="2" t="inlineStr"/>
    </row>
    <row r="294" ht="15" customHeight="1">
      <c r="A294" t="inlineStr">
        <is>
          <t>A 27764-2019</t>
        </is>
      </c>
      <c r="B294" s="1" t="n">
        <v>43619</v>
      </c>
      <c r="C294" s="1" t="n">
        <v>45582</v>
      </c>
      <c r="D294" t="inlineStr">
        <is>
          <t>JÄMTLANDS LÄN</t>
        </is>
      </c>
      <c r="E294" t="inlineStr">
        <is>
          <t>KROKOM</t>
        </is>
      </c>
      <c r="G294" t="n">
        <v>41.8</v>
      </c>
      <c r="H294" t="n">
        <v>0</v>
      </c>
      <c r="I294" t="n">
        <v>0</v>
      </c>
      <c r="J294" t="n">
        <v>0</v>
      </c>
      <c r="K294" t="n">
        <v>0</v>
      </c>
      <c r="L294" t="n">
        <v>0</v>
      </c>
      <c r="M294" t="n">
        <v>0</v>
      </c>
      <c r="N294" t="n">
        <v>0</v>
      </c>
      <c r="O294" t="n">
        <v>0</v>
      </c>
      <c r="P294" t="n">
        <v>0</v>
      </c>
      <c r="Q294" t="n">
        <v>0</v>
      </c>
      <c r="R294" s="2" t="inlineStr"/>
    </row>
    <row r="295" ht="15" customHeight="1">
      <c r="A295" t="inlineStr">
        <is>
          <t>A 27763-2019</t>
        </is>
      </c>
      <c r="B295" s="1" t="n">
        <v>43619</v>
      </c>
      <c r="C295" s="1" t="n">
        <v>45582</v>
      </c>
      <c r="D295" t="inlineStr">
        <is>
          <t>JÄMTLANDS LÄN</t>
        </is>
      </c>
      <c r="E295" t="inlineStr">
        <is>
          <t>KROKOM</t>
        </is>
      </c>
      <c r="G295" t="n">
        <v>15.1</v>
      </c>
      <c r="H295" t="n">
        <v>0</v>
      </c>
      <c r="I295" t="n">
        <v>0</v>
      </c>
      <c r="J295" t="n">
        <v>0</v>
      </c>
      <c r="K295" t="n">
        <v>0</v>
      </c>
      <c r="L295" t="n">
        <v>0</v>
      </c>
      <c r="M295" t="n">
        <v>0</v>
      </c>
      <c r="N295" t="n">
        <v>0</v>
      </c>
      <c r="O295" t="n">
        <v>0</v>
      </c>
      <c r="P295" t="n">
        <v>0</v>
      </c>
      <c r="Q295" t="n">
        <v>0</v>
      </c>
      <c r="R295" s="2" t="inlineStr"/>
    </row>
    <row r="296" ht="15" customHeight="1">
      <c r="A296" t="inlineStr">
        <is>
          <t>A 29270-2019</t>
        </is>
      </c>
      <c r="B296" s="1" t="n">
        <v>43623</v>
      </c>
      <c r="C296" s="1" t="n">
        <v>45582</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29222-2019</t>
        </is>
      </c>
      <c r="B297" s="1" t="n">
        <v>43623</v>
      </c>
      <c r="C297" s="1" t="n">
        <v>45582</v>
      </c>
      <c r="D297" t="inlineStr">
        <is>
          <t>JÄMTLANDS LÄN</t>
        </is>
      </c>
      <c r="E297" t="inlineStr">
        <is>
          <t>KROKOM</t>
        </is>
      </c>
      <c r="G297" t="n">
        <v>5.9</v>
      </c>
      <c r="H297" t="n">
        <v>0</v>
      </c>
      <c r="I297" t="n">
        <v>0</v>
      </c>
      <c r="J297" t="n">
        <v>0</v>
      </c>
      <c r="K297" t="n">
        <v>0</v>
      </c>
      <c r="L297" t="n">
        <v>0</v>
      </c>
      <c r="M297" t="n">
        <v>0</v>
      </c>
      <c r="N297" t="n">
        <v>0</v>
      </c>
      <c r="O297" t="n">
        <v>0</v>
      </c>
      <c r="P297" t="n">
        <v>0</v>
      </c>
      <c r="Q297" t="n">
        <v>0</v>
      </c>
      <c r="R297" s="2" t="inlineStr"/>
    </row>
    <row r="298" ht="15" customHeight="1">
      <c r="A298" t="inlineStr">
        <is>
          <t>A 29211-2019</t>
        </is>
      </c>
      <c r="B298" s="1" t="n">
        <v>43623</v>
      </c>
      <c r="C298" s="1" t="n">
        <v>45582</v>
      </c>
      <c r="D298" t="inlineStr">
        <is>
          <t>JÄMTLANDS LÄN</t>
        </is>
      </c>
      <c r="E298" t="inlineStr">
        <is>
          <t>KROKOM</t>
        </is>
      </c>
      <c r="G298" t="n">
        <v>5</v>
      </c>
      <c r="H298" t="n">
        <v>0</v>
      </c>
      <c r="I298" t="n">
        <v>0</v>
      </c>
      <c r="J298" t="n">
        <v>0</v>
      </c>
      <c r="K298" t="n">
        <v>0</v>
      </c>
      <c r="L298" t="n">
        <v>0</v>
      </c>
      <c r="M298" t="n">
        <v>0</v>
      </c>
      <c r="N298" t="n">
        <v>0</v>
      </c>
      <c r="O298" t="n">
        <v>0</v>
      </c>
      <c r="P298" t="n">
        <v>0</v>
      </c>
      <c r="Q298" t="n">
        <v>0</v>
      </c>
      <c r="R298" s="2" t="inlineStr"/>
    </row>
    <row r="299" ht="15" customHeight="1">
      <c r="A299" t="inlineStr">
        <is>
          <t>A 28521-2019</t>
        </is>
      </c>
      <c r="B299" s="1" t="n">
        <v>43626</v>
      </c>
      <c r="C299" s="1" t="n">
        <v>45582</v>
      </c>
      <c r="D299" t="inlineStr">
        <is>
          <t>JÄMTLANDS LÄN</t>
        </is>
      </c>
      <c r="E299" t="inlineStr">
        <is>
          <t>KROKOM</t>
        </is>
      </c>
      <c r="G299" t="n">
        <v>1</v>
      </c>
      <c r="H299" t="n">
        <v>0</v>
      </c>
      <c r="I299" t="n">
        <v>0</v>
      </c>
      <c r="J299" t="n">
        <v>0</v>
      </c>
      <c r="K299" t="n">
        <v>0</v>
      </c>
      <c r="L299" t="n">
        <v>0</v>
      </c>
      <c r="M299" t="n">
        <v>0</v>
      </c>
      <c r="N299" t="n">
        <v>0</v>
      </c>
      <c r="O299" t="n">
        <v>0</v>
      </c>
      <c r="P299" t="n">
        <v>0</v>
      </c>
      <c r="Q299" t="n">
        <v>0</v>
      </c>
      <c r="R299" s="2" t="inlineStr"/>
    </row>
    <row r="300" ht="15" customHeight="1">
      <c r="A300" t="inlineStr">
        <is>
          <t>A 29153-2019</t>
        </is>
      </c>
      <c r="B300" s="1" t="n">
        <v>43628</v>
      </c>
      <c r="C300" s="1" t="n">
        <v>45582</v>
      </c>
      <c r="D300" t="inlineStr">
        <is>
          <t>JÄMTLANDS LÄN</t>
        </is>
      </c>
      <c r="E300" t="inlineStr">
        <is>
          <t>KROKOM</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29705-2019</t>
        </is>
      </c>
      <c r="B301" s="1" t="n">
        <v>43628</v>
      </c>
      <c r="C301" s="1" t="n">
        <v>45582</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29925-2019</t>
        </is>
      </c>
      <c r="B302" s="1" t="n">
        <v>43633</v>
      </c>
      <c r="C302" s="1" t="n">
        <v>45582</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29823-2019</t>
        </is>
      </c>
      <c r="B303" s="1" t="n">
        <v>43633</v>
      </c>
      <c r="C303" s="1" t="n">
        <v>45582</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30032-2019</t>
        </is>
      </c>
      <c r="B304" s="1" t="n">
        <v>43633</v>
      </c>
      <c r="C304" s="1" t="n">
        <v>45582</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30138-2019</t>
        </is>
      </c>
      <c r="B305" s="1" t="n">
        <v>43634</v>
      </c>
      <c r="C305" s="1" t="n">
        <v>45582</v>
      </c>
      <c r="D305" t="inlineStr">
        <is>
          <t>JÄMTLANDS LÄN</t>
        </is>
      </c>
      <c r="E305" t="inlineStr">
        <is>
          <t>KROKOM</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30691-2019</t>
        </is>
      </c>
      <c r="B306" s="1" t="n">
        <v>43636</v>
      </c>
      <c r="C306" s="1" t="n">
        <v>45582</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30758-2019</t>
        </is>
      </c>
      <c r="B307" s="1" t="n">
        <v>43636</v>
      </c>
      <c r="C307" s="1" t="n">
        <v>45582</v>
      </c>
      <c r="D307" t="inlineStr">
        <is>
          <t>JÄMTLANDS LÄN</t>
        </is>
      </c>
      <c r="E307" t="inlineStr">
        <is>
          <t>KROKOM</t>
        </is>
      </c>
      <c r="G307" t="n">
        <v>6.4</v>
      </c>
      <c r="H307" t="n">
        <v>0</v>
      </c>
      <c r="I307" t="n">
        <v>0</v>
      </c>
      <c r="J307" t="n">
        <v>0</v>
      </c>
      <c r="K307" t="n">
        <v>0</v>
      </c>
      <c r="L307" t="n">
        <v>0</v>
      </c>
      <c r="M307" t="n">
        <v>0</v>
      </c>
      <c r="N307" t="n">
        <v>0</v>
      </c>
      <c r="O307" t="n">
        <v>0</v>
      </c>
      <c r="P307" t="n">
        <v>0</v>
      </c>
      <c r="Q307" t="n">
        <v>0</v>
      </c>
      <c r="R307" s="2" t="inlineStr"/>
    </row>
    <row r="308" ht="15" customHeight="1">
      <c r="A308" t="inlineStr">
        <is>
          <t>A 31070-2019</t>
        </is>
      </c>
      <c r="B308" s="1" t="n">
        <v>43640</v>
      </c>
      <c r="C308" s="1" t="n">
        <v>45582</v>
      </c>
      <c r="D308" t="inlineStr">
        <is>
          <t>JÄMTLANDS LÄN</t>
        </is>
      </c>
      <c r="E308" t="inlineStr">
        <is>
          <t>KROKOM</t>
        </is>
      </c>
      <c r="G308" t="n">
        <v>5.1</v>
      </c>
      <c r="H308" t="n">
        <v>0</v>
      </c>
      <c r="I308" t="n">
        <v>0</v>
      </c>
      <c r="J308" t="n">
        <v>0</v>
      </c>
      <c r="K308" t="n">
        <v>0</v>
      </c>
      <c r="L308" t="n">
        <v>0</v>
      </c>
      <c r="M308" t="n">
        <v>0</v>
      </c>
      <c r="N308" t="n">
        <v>0</v>
      </c>
      <c r="O308" t="n">
        <v>0</v>
      </c>
      <c r="P308" t="n">
        <v>0</v>
      </c>
      <c r="Q308" t="n">
        <v>0</v>
      </c>
      <c r="R308" s="2" t="inlineStr"/>
    </row>
    <row r="309" ht="15" customHeight="1">
      <c r="A309" t="inlineStr">
        <is>
          <t>A 31032-2019</t>
        </is>
      </c>
      <c r="B309" s="1" t="n">
        <v>43640</v>
      </c>
      <c r="C309" s="1" t="n">
        <v>45582</v>
      </c>
      <c r="D309" t="inlineStr">
        <is>
          <t>JÄMTLANDS LÄN</t>
        </is>
      </c>
      <c r="E309" t="inlineStr">
        <is>
          <t>KROKOM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31071-2019</t>
        </is>
      </c>
      <c r="B310" s="1" t="n">
        <v>43640</v>
      </c>
      <c r="C310" s="1" t="n">
        <v>45582</v>
      </c>
      <c r="D310" t="inlineStr">
        <is>
          <t>JÄMTLANDS LÄN</t>
        </is>
      </c>
      <c r="E310" t="inlineStr">
        <is>
          <t>KROKOM</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31574-2019</t>
        </is>
      </c>
      <c r="B311" s="1" t="n">
        <v>43641</v>
      </c>
      <c r="C311" s="1" t="n">
        <v>45582</v>
      </c>
      <c r="D311" t="inlineStr">
        <is>
          <t>JÄMTLANDS LÄN</t>
        </is>
      </c>
      <c r="E311" t="inlineStr">
        <is>
          <t>KROKOM</t>
        </is>
      </c>
      <c r="G311" t="n">
        <v>5.7</v>
      </c>
      <c r="H311" t="n">
        <v>0</v>
      </c>
      <c r="I311" t="n">
        <v>0</v>
      </c>
      <c r="J311" t="n">
        <v>0</v>
      </c>
      <c r="K311" t="n">
        <v>0</v>
      </c>
      <c r="L311" t="n">
        <v>0</v>
      </c>
      <c r="M311" t="n">
        <v>0</v>
      </c>
      <c r="N311" t="n">
        <v>0</v>
      </c>
      <c r="O311" t="n">
        <v>0</v>
      </c>
      <c r="P311" t="n">
        <v>0</v>
      </c>
      <c r="Q311" t="n">
        <v>0</v>
      </c>
      <c r="R311" s="2" t="inlineStr"/>
    </row>
    <row r="312" ht="15" customHeight="1">
      <c r="A312" t="inlineStr">
        <is>
          <t>A 31575-2019</t>
        </is>
      </c>
      <c r="B312" s="1" t="n">
        <v>43641</v>
      </c>
      <c r="C312" s="1" t="n">
        <v>45582</v>
      </c>
      <c r="D312" t="inlineStr">
        <is>
          <t>JÄMTLANDS LÄN</t>
        </is>
      </c>
      <c r="E312" t="inlineStr">
        <is>
          <t>KROKOM</t>
        </is>
      </c>
      <c r="G312" t="n">
        <v>0.7</v>
      </c>
      <c r="H312" t="n">
        <v>0</v>
      </c>
      <c r="I312" t="n">
        <v>0</v>
      </c>
      <c r="J312" t="n">
        <v>0</v>
      </c>
      <c r="K312" t="n">
        <v>0</v>
      </c>
      <c r="L312" t="n">
        <v>0</v>
      </c>
      <c r="M312" t="n">
        <v>0</v>
      </c>
      <c r="N312" t="n">
        <v>0</v>
      </c>
      <c r="O312" t="n">
        <v>0</v>
      </c>
      <c r="P312" t="n">
        <v>0</v>
      </c>
      <c r="Q312" t="n">
        <v>0</v>
      </c>
      <c r="R312" s="2" t="inlineStr"/>
    </row>
    <row r="313" ht="15" customHeight="1">
      <c r="A313" t="inlineStr">
        <is>
          <t>A 31911-2019</t>
        </is>
      </c>
      <c r="B313" s="1" t="n">
        <v>43642</v>
      </c>
      <c r="C313" s="1" t="n">
        <v>45582</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32053-2019</t>
        </is>
      </c>
      <c r="B314" s="1" t="n">
        <v>43642</v>
      </c>
      <c r="C314" s="1" t="n">
        <v>45582</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33001-2019</t>
        </is>
      </c>
      <c r="B315" s="1" t="n">
        <v>43649</v>
      </c>
      <c r="C315" s="1" t="n">
        <v>45582</v>
      </c>
      <c r="D315" t="inlineStr">
        <is>
          <t>JÄMTLANDS LÄN</t>
        </is>
      </c>
      <c r="E315" t="inlineStr">
        <is>
          <t>KROKOM</t>
        </is>
      </c>
      <c r="F315" t="inlineStr">
        <is>
          <t>Övriga Aktiebolag</t>
        </is>
      </c>
      <c r="G315" t="n">
        <v>7.8</v>
      </c>
      <c r="H315" t="n">
        <v>0</v>
      </c>
      <c r="I315" t="n">
        <v>0</v>
      </c>
      <c r="J315" t="n">
        <v>0</v>
      </c>
      <c r="K315" t="n">
        <v>0</v>
      </c>
      <c r="L315" t="n">
        <v>0</v>
      </c>
      <c r="M315" t="n">
        <v>0</v>
      </c>
      <c r="N315" t="n">
        <v>0</v>
      </c>
      <c r="O315" t="n">
        <v>0</v>
      </c>
      <c r="P315" t="n">
        <v>0</v>
      </c>
      <c r="Q315" t="n">
        <v>0</v>
      </c>
      <c r="R315" s="2" t="inlineStr"/>
    </row>
    <row r="316" ht="15" customHeight="1">
      <c r="A316" t="inlineStr">
        <is>
          <t>A 33015-2019</t>
        </is>
      </c>
      <c r="B316" s="1" t="n">
        <v>43649</v>
      </c>
      <c r="C316" s="1" t="n">
        <v>45582</v>
      </c>
      <c r="D316" t="inlineStr">
        <is>
          <t>JÄMTLANDS LÄN</t>
        </is>
      </c>
      <c r="E316" t="inlineStr">
        <is>
          <t>KROKOM</t>
        </is>
      </c>
      <c r="F316" t="inlineStr">
        <is>
          <t>Övriga Aktiebolag</t>
        </is>
      </c>
      <c r="G316" t="n">
        <v>12.7</v>
      </c>
      <c r="H316" t="n">
        <v>0</v>
      </c>
      <c r="I316" t="n">
        <v>0</v>
      </c>
      <c r="J316" t="n">
        <v>0</v>
      </c>
      <c r="K316" t="n">
        <v>0</v>
      </c>
      <c r="L316" t="n">
        <v>0</v>
      </c>
      <c r="M316" t="n">
        <v>0</v>
      </c>
      <c r="N316" t="n">
        <v>0</v>
      </c>
      <c r="O316" t="n">
        <v>0</v>
      </c>
      <c r="P316" t="n">
        <v>0</v>
      </c>
      <c r="Q316" t="n">
        <v>0</v>
      </c>
      <c r="R316" s="2" t="inlineStr"/>
    </row>
    <row r="317" ht="15" customHeight="1">
      <c r="A317" t="inlineStr">
        <is>
          <t>A 33360-2019</t>
        </is>
      </c>
      <c r="B317" s="1" t="n">
        <v>43650</v>
      </c>
      <c r="C317" s="1" t="n">
        <v>45582</v>
      </c>
      <c r="D317" t="inlineStr">
        <is>
          <t>JÄMTLANDS LÄN</t>
        </is>
      </c>
      <c r="E317" t="inlineStr">
        <is>
          <t>KROKOM</t>
        </is>
      </c>
      <c r="G317" t="n">
        <v>15.8</v>
      </c>
      <c r="H317" t="n">
        <v>0</v>
      </c>
      <c r="I317" t="n">
        <v>0</v>
      </c>
      <c r="J317" t="n">
        <v>0</v>
      </c>
      <c r="K317" t="n">
        <v>0</v>
      </c>
      <c r="L317" t="n">
        <v>0</v>
      </c>
      <c r="M317" t="n">
        <v>0</v>
      </c>
      <c r="N317" t="n">
        <v>0</v>
      </c>
      <c r="O317" t="n">
        <v>0</v>
      </c>
      <c r="P317" t="n">
        <v>0</v>
      </c>
      <c r="Q317" t="n">
        <v>0</v>
      </c>
      <c r="R317" s="2" t="inlineStr"/>
    </row>
    <row r="318" ht="15" customHeight="1">
      <c r="A318" t="inlineStr">
        <is>
          <t>A 35288-2019</t>
        </is>
      </c>
      <c r="B318" s="1" t="n">
        <v>43651</v>
      </c>
      <c r="C318" s="1" t="n">
        <v>45582</v>
      </c>
      <c r="D318" t="inlineStr">
        <is>
          <t>JÄMTLANDS LÄN</t>
        </is>
      </c>
      <c r="E318" t="inlineStr">
        <is>
          <t>KROKOM</t>
        </is>
      </c>
      <c r="G318" t="n">
        <v>6.9</v>
      </c>
      <c r="H318" t="n">
        <v>0</v>
      </c>
      <c r="I318" t="n">
        <v>0</v>
      </c>
      <c r="J318" t="n">
        <v>0</v>
      </c>
      <c r="K318" t="n">
        <v>0</v>
      </c>
      <c r="L318" t="n">
        <v>0</v>
      </c>
      <c r="M318" t="n">
        <v>0</v>
      </c>
      <c r="N318" t="n">
        <v>0</v>
      </c>
      <c r="O318" t="n">
        <v>0</v>
      </c>
      <c r="P318" t="n">
        <v>0</v>
      </c>
      <c r="Q318" t="n">
        <v>0</v>
      </c>
      <c r="R318" s="2" t="inlineStr"/>
    </row>
    <row r="319" ht="15" customHeight="1">
      <c r="A319" t="inlineStr">
        <is>
          <t>A 35337-2019</t>
        </is>
      </c>
      <c r="B319" s="1" t="n">
        <v>43651</v>
      </c>
      <c r="C319" s="1" t="n">
        <v>45582</v>
      </c>
      <c r="D319" t="inlineStr">
        <is>
          <t>JÄMTLANDS LÄN</t>
        </is>
      </c>
      <c r="E319" t="inlineStr">
        <is>
          <t>KROKOM</t>
        </is>
      </c>
      <c r="G319" t="n">
        <v>3.7</v>
      </c>
      <c r="H319" t="n">
        <v>0</v>
      </c>
      <c r="I319" t="n">
        <v>0</v>
      </c>
      <c r="J319" t="n">
        <v>0</v>
      </c>
      <c r="K319" t="n">
        <v>0</v>
      </c>
      <c r="L319" t="n">
        <v>0</v>
      </c>
      <c r="M319" t="n">
        <v>0</v>
      </c>
      <c r="N319" t="n">
        <v>0</v>
      </c>
      <c r="O319" t="n">
        <v>0</v>
      </c>
      <c r="P319" t="n">
        <v>0</v>
      </c>
      <c r="Q319" t="n">
        <v>0</v>
      </c>
      <c r="R319" s="2" t="inlineStr"/>
    </row>
    <row r="320" ht="15" customHeight="1">
      <c r="A320" t="inlineStr">
        <is>
          <t>A 35264-2019</t>
        </is>
      </c>
      <c r="B320" s="1" t="n">
        <v>43651</v>
      </c>
      <c r="C320" s="1" t="n">
        <v>45582</v>
      </c>
      <c r="D320" t="inlineStr">
        <is>
          <t>JÄMTLANDS LÄN</t>
        </is>
      </c>
      <c r="E320" t="inlineStr">
        <is>
          <t>KROKOM</t>
        </is>
      </c>
      <c r="G320" t="n">
        <v>10</v>
      </c>
      <c r="H320" t="n">
        <v>0</v>
      </c>
      <c r="I320" t="n">
        <v>0</v>
      </c>
      <c r="J320" t="n">
        <v>0</v>
      </c>
      <c r="K320" t="n">
        <v>0</v>
      </c>
      <c r="L320" t="n">
        <v>0</v>
      </c>
      <c r="M320" t="n">
        <v>0</v>
      </c>
      <c r="N320" t="n">
        <v>0</v>
      </c>
      <c r="O320" t="n">
        <v>0</v>
      </c>
      <c r="P320" t="n">
        <v>0</v>
      </c>
      <c r="Q320" t="n">
        <v>0</v>
      </c>
      <c r="R320" s="2" t="inlineStr"/>
    </row>
    <row r="321" ht="15" customHeight="1">
      <c r="A321" t="inlineStr">
        <is>
          <t>A 35339-2019</t>
        </is>
      </c>
      <c r="B321" s="1" t="n">
        <v>43651</v>
      </c>
      <c r="C321" s="1" t="n">
        <v>45582</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35266-2019</t>
        </is>
      </c>
      <c r="B322" s="1" t="n">
        <v>43651</v>
      </c>
      <c r="C322" s="1" t="n">
        <v>45582</v>
      </c>
      <c r="D322" t="inlineStr">
        <is>
          <t>JÄMTLANDS LÄN</t>
        </is>
      </c>
      <c r="E322" t="inlineStr">
        <is>
          <t>KROKOM</t>
        </is>
      </c>
      <c r="G322" t="n">
        <v>1</v>
      </c>
      <c r="H322" t="n">
        <v>0</v>
      </c>
      <c r="I322" t="n">
        <v>0</v>
      </c>
      <c r="J322" t="n">
        <v>0</v>
      </c>
      <c r="K322" t="n">
        <v>0</v>
      </c>
      <c r="L322" t="n">
        <v>0</v>
      </c>
      <c r="M322" t="n">
        <v>0</v>
      </c>
      <c r="N322" t="n">
        <v>0</v>
      </c>
      <c r="O322" t="n">
        <v>0</v>
      </c>
      <c r="P322" t="n">
        <v>0</v>
      </c>
      <c r="Q322" t="n">
        <v>0</v>
      </c>
      <c r="R322" s="2" t="inlineStr"/>
    </row>
    <row r="323" ht="15" customHeight="1">
      <c r="A323" t="inlineStr">
        <is>
          <t>A 34065-2019</t>
        </is>
      </c>
      <c r="B323" s="1" t="n">
        <v>43654</v>
      </c>
      <c r="C323" s="1" t="n">
        <v>45582</v>
      </c>
      <c r="D323" t="inlineStr">
        <is>
          <t>JÄMTLANDS LÄN</t>
        </is>
      </c>
      <c r="E323" t="inlineStr">
        <is>
          <t>KROKOM</t>
        </is>
      </c>
      <c r="G323" t="n">
        <v>12.3</v>
      </c>
      <c r="H323" t="n">
        <v>0</v>
      </c>
      <c r="I323" t="n">
        <v>0</v>
      </c>
      <c r="J323" t="n">
        <v>0</v>
      </c>
      <c r="K323" t="n">
        <v>0</v>
      </c>
      <c r="L323" t="n">
        <v>0</v>
      </c>
      <c r="M323" t="n">
        <v>0</v>
      </c>
      <c r="N323" t="n">
        <v>0</v>
      </c>
      <c r="O323" t="n">
        <v>0</v>
      </c>
      <c r="P323" t="n">
        <v>0</v>
      </c>
      <c r="Q323" t="n">
        <v>0</v>
      </c>
      <c r="R323" s="2" t="inlineStr"/>
    </row>
    <row r="324" ht="15" customHeight="1">
      <c r="A324" t="inlineStr">
        <is>
          <t>A 34108-2019</t>
        </is>
      </c>
      <c r="B324" s="1" t="n">
        <v>43655</v>
      </c>
      <c r="C324" s="1" t="n">
        <v>45582</v>
      </c>
      <c r="D324" t="inlineStr">
        <is>
          <t>JÄMTLANDS LÄN</t>
        </is>
      </c>
      <c r="E324" t="inlineStr">
        <is>
          <t>KROKOM</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35668-2019</t>
        </is>
      </c>
      <c r="B325" s="1" t="n">
        <v>43655</v>
      </c>
      <c r="C325" s="1" t="n">
        <v>45582</v>
      </c>
      <c r="D325" t="inlineStr">
        <is>
          <t>JÄMTLANDS LÄN</t>
        </is>
      </c>
      <c r="E325" t="inlineStr">
        <is>
          <t>KROKOM</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35754-2019</t>
        </is>
      </c>
      <c r="B326" s="1" t="n">
        <v>43656</v>
      </c>
      <c r="C326" s="1" t="n">
        <v>45582</v>
      </c>
      <c r="D326" t="inlineStr">
        <is>
          <t>JÄMTLANDS LÄN</t>
        </is>
      </c>
      <c r="E326" t="inlineStr">
        <is>
          <t>KROKOM</t>
        </is>
      </c>
      <c r="G326" t="n">
        <v>4.5</v>
      </c>
      <c r="H326" t="n">
        <v>0</v>
      </c>
      <c r="I326" t="n">
        <v>0</v>
      </c>
      <c r="J326" t="n">
        <v>0</v>
      </c>
      <c r="K326" t="n">
        <v>0</v>
      </c>
      <c r="L326" t="n">
        <v>0</v>
      </c>
      <c r="M326" t="n">
        <v>0</v>
      </c>
      <c r="N326" t="n">
        <v>0</v>
      </c>
      <c r="O326" t="n">
        <v>0</v>
      </c>
      <c r="P326" t="n">
        <v>0</v>
      </c>
      <c r="Q326" t="n">
        <v>0</v>
      </c>
      <c r="R326" s="2" t="inlineStr"/>
    </row>
    <row r="327" ht="15" customHeight="1">
      <c r="A327" t="inlineStr">
        <is>
          <t>A 34739-2019</t>
        </is>
      </c>
      <c r="B327" s="1" t="n">
        <v>43657</v>
      </c>
      <c r="C327" s="1" t="n">
        <v>45582</v>
      </c>
      <c r="D327" t="inlineStr">
        <is>
          <t>JÄMTLANDS LÄN</t>
        </is>
      </c>
      <c r="E327" t="inlineStr">
        <is>
          <t>KROKOM</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36009-2019</t>
        </is>
      </c>
      <c r="B328" s="1" t="n">
        <v>43657</v>
      </c>
      <c r="C328" s="1" t="n">
        <v>45582</v>
      </c>
      <c r="D328" t="inlineStr">
        <is>
          <t>JÄMTLANDS LÄN</t>
        </is>
      </c>
      <c r="E328" t="inlineStr">
        <is>
          <t>KROKOM</t>
        </is>
      </c>
      <c r="G328" t="n">
        <v>1.7</v>
      </c>
      <c r="H328" t="n">
        <v>0</v>
      </c>
      <c r="I328" t="n">
        <v>0</v>
      </c>
      <c r="J328" t="n">
        <v>0</v>
      </c>
      <c r="K328" t="n">
        <v>0</v>
      </c>
      <c r="L328" t="n">
        <v>0</v>
      </c>
      <c r="M328" t="n">
        <v>0</v>
      </c>
      <c r="N328" t="n">
        <v>0</v>
      </c>
      <c r="O328" t="n">
        <v>0</v>
      </c>
      <c r="P328" t="n">
        <v>0</v>
      </c>
      <c r="Q328" t="n">
        <v>0</v>
      </c>
      <c r="R328" s="2" t="inlineStr"/>
    </row>
    <row r="329" ht="15" customHeight="1">
      <c r="A329" t="inlineStr">
        <is>
          <t>A 35131-2019</t>
        </is>
      </c>
      <c r="B329" s="1" t="n">
        <v>43661</v>
      </c>
      <c r="C329" s="1" t="n">
        <v>45582</v>
      </c>
      <c r="D329" t="inlineStr">
        <is>
          <t>JÄMTLANDS LÄN</t>
        </is>
      </c>
      <c r="E329" t="inlineStr">
        <is>
          <t>KROKOM</t>
        </is>
      </c>
      <c r="G329" t="n">
        <v>10.4</v>
      </c>
      <c r="H329" t="n">
        <v>0</v>
      </c>
      <c r="I329" t="n">
        <v>0</v>
      </c>
      <c r="J329" t="n">
        <v>0</v>
      </c>
      <c r="K329" t="n">
        <v>0</v>
      </c>
      <c r="L329" t="n">
        <v>0</v>
      </c>
      <c r="M329" t="n">
        <v>0</v>
      </c>
      <c r="N329" t="n">
        <v>0</v>
      </c>
      <c r="O329" t="n">
        <v>0</v>
      </c>
      <c r="P329" t="n">
        <v>0</v>
      </c>
      <c r="Q329" t="n">
        <v>0</v>
      </c>
      <c r="R329" s="2" t="inlineStr"/>
    </row>
    <row r="330" ht="15" customHeight="1">
      <c r="A330" t="inlineStr">
        <is>
          <t>A 35340-2019</t>
        </is>
      </c>
      <c r="B330" s="1" t="n">
        <v>43661</v>
      </c>
      <c r="C330" s="1" t="n">
        <v>45582</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36271-2019</t>
        </is>
      </c>
      <c r="B331" s="1" t="n">
        <v>43661</v>
      </c>
      <c r="C331" s="1" t="n">
        <v>45582</v>
      </c>
      <c r="D331" t="inlineStr">
        <is>
          <t>JÄMTLANDS LÄN</t>
        </is>
      </c>
      <c r="E331" t="inlineStr">
        <is>
          <t>KROKOM</t>
        </is>
      </c>
      <c r="G331" t="n">
        <v>2.4</v>
      </c>
      <c r="H331" t="n">
        <v>0</v>
      </c>
      <c r="I331" t="n">
        <v>0</v>
      </c>
      <c r="J331" t="n">
        <v>0</v>
      </c>
      <c r="K331" t="n">
        <v>0</v>
      </c>
      <c r="L331" t="n">
        <v>0</v>
      </c>
      <c r="M331" t="n">
        <v>0</v>
      </c>
      <c r="N331" t="n">
        <v>0</v>
      </c>
      <c r="O331" t="n">
        <v>0</v>
      </c>
      <c r="P331" t="n">
        <v>0</v>
      </c>
      <c r="Q331" t="n">
        <v>0</v>
      </c>
      <c r="R331" s="2" t="inlineStr"/>
    </row>
    <row r="332" ht="15" customHeight="1">
      <c r="A332" t="inlineStr">
        <is>
          <t>A 37369-2019</t>
        </is>
      </c>
      <c r="B332" s="1" t="n">
        <v>43678</v>
      </c>
      <c r="C332" s="1" t="n">
        <v>45582</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37756-2019</t>
        </is>
      </c>
      <c r="B333" s="1" t="n">
        <v>43682</v>
      </c>
      <c r="C333" s="1" t="n">
        <v>45582</v>
      </c>
      <c r="D333" t="inlineStr">
        <is>
          <t>JÄMTLANDS LÄN</t>
        </is>
      </c>
      <c r="E333" t="inlineStr">
        <is>
          <t>KROKOM</t>
        </is>
      </c>
      <c r="G333" t="n">
        <v>2.1</v>
      </c>
      <c r="H333" t="n">
        <v>0</v>
      </c>
      <c r="I333" t="n">
        <v>0</v>
      </c>
      <c r="J333" t="n">
        <v>0</v>
      </c>
      <c r="K333" t="n">
        <v>0</v>
      </c>
      <c r="L333" t="n">
        <v>0</v>
      </c>
      <c r="M333" t="n">
        <v>0</v>
      </c>
      <c r="N333" t="n">
        <v>0</v>
      </c>
      <c r="O333" t="n">
        <v>0</v>
      </c>
      <c r="P333" t="n">
        <v>0</v>
      </c>
      <c r="Q333" t="n">
        <v>0</v>
      </c>
      <c r="R333" s="2" t="inlineStr"/>
    </row>
    <row r="334" ht="15" customHeight="1">
      <c r="A334" t="inlineStr">
        <is>
          <t>A 38208-2019</t>
        </is>
      </c>
      <c r="B334" s="1" t="n">
        <v>43684</v>
      </c>
      <c r="C334" s="1" t="n">
        <v>45582</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39353-2019</t>
        </is>
      </c>
      <c r="B335" s="1" t="n">
        <v>43690</v>
      </c>
      <c r="C335" s="1" t="n">
        <v>45582</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39587-2019</t>
        </is>
      </c>
      <c r="B336" s="1" t="n">
        <v>43691</v>
      </c>
      <c r="C336" s="1" t="n">
        <v>45582</v>
      </c>
      <c r="D336" t="inlineStr">
        <is>
          <t>JÄMTLANDS LÄN</t>
        </is>
      </c>
      <c r="E336" t="inlineStr">
        <is>
          <t>KROKOM</t>
        </is>
      </c>
      <c r="G336" t="n">
        <v>1.5</v>
      </c>
      <c r="H336" t="n">
        <v>0</v>
      </c>
      <c r="I336" t="n">
        <v>0</v>
      </c>
      <c r="J336" t="n">
        <v>0</v>
      </c>
      <c r="K336" t="n">
        <v>0</v>
      </c>
      <c r="L336" t="n">
        <v>0</v>
      </c>
      <c r="M336" t="n">
        <v>0</v>
      </c>
      <c r="N336" t="n">
        <v>0</v>
      </c>
      <c r="O336" t="n">
        <v>0</v>
      </c>
      <c r="P336" t="n">
        <v>0</v>
      </c>
      <c r="Q336" t="n">
        <v>0</v>
      </c>
      <c r="R336" s="2" t="inlineStr"/>
    </row>
    <row r="337" ht="15" customHeight="1">
      <c r="A337" t="inlineStr">
        <is>
          <t>A 39956-2019</t>
        </is>
      </c>
      <c r="B337" s="1" t="n">
        <v>43692</v>
      </c>
      <c r="C337" s="1" t="n">
        <v>45582</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39943-2019</t>
        </is>
      </c>
      <c r="B338" s="1" t="n">
        <v>43692</v>
      </c>
      <c r="C338" s="1" t="n">
        <v>45582</v>
      </c>
      <c r="D338" t="inlineStr">
        <is>
          <t>JÄMTLANDS LÄN</t>
        </is>
      </c>
      <c r="E338" t="inlineStr">
        <is>
          <t>KROKOM</t>
        </is>
      </c>
      <c r="G338" t="n">
        <v>17.9</v>
      </c>
      <c r="H338" t="n">
        <v>0</v>
      </c>
      <c r="I338" t="n">
        <v>0</v>
      </c>
      <c r="J338" t="n">
        <v>0</v>
      </c>
      <c r="K338" t="n">
        <v>0</v>
      </c>
      <c r="L338" t="n">
        <v>0</v>
      </c>
      <c r="M338" t="n">
        <v>0</v>
      </c>
      <c r="N338" t="n">
        <v>0</v>
      </c>
      <c r="O338" t="n">
        <v>0</v>
      </c>
      <c r="P338" t="n">
        <v>0</v>
      </c>
      <c r="Q338" t="n">
        <v>0</v>
      </c>
      <c r="R338" s="2" t="inlineStr"/>
    </row>
    <row r="339" ht="15" customHeight="1">
      <c r="A339" t="inlineStr">
        <is>
          <t>A 40929-2019</t>
        </is>
      </c>
      <c r="B339" s="1" t="n">
        <v>43693</v>
      </c>
      <c r="C339" s="1" t="n">
        <v>45582</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40491-2019</t>
        </is>
      </c>
      <c r="B340" s="1" t="n">
        <v>43696</v>
      </c>
      <c r="C340" s="1" t="n">
        <v>45582</v>
      </c>
      <c r="D340" t="inlineStr">
        <is>
          <t>JÄMTLANDS LÄN</t>
        </is>
      </c>
      <c r="E340" t="inlineStr">
        <is>
          <t>KROKOM</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41491-2019</t>
        </is>
      </c>
      <c r="B341" s="1" t="n">
        <v>43699</v>
      </c>
      <c r="C341" s="1" t="n">
        <v>45582</v>
      </c>
      <c r="D341" t="inlineStr">
        <is>
          <t>JÄMTLANDS LÄN</t>
        </is>
      </c>
      <c r="E341" t="inlineStr">
        <is>
          <t>KROKOM</t>
        </is>
      </c>
      <c r="G341" t="n">
        <v>9.1</v>
      </c>
      <c r="H341" t="n">
        <v>0</v>
      </c>
      <c r="I341" t="n">
        <v>0</v>
      </c>
      <c r="J341" t="n">
        <v>0</v>
      </c>
      <c r="K341" t="n">
        <v>0</v>
      </c>
      <c r="L341" t="n">
        <v>0</v>
      </c>
      <c r="M341" t="n">
        <v>0</v>
      </c>
      <c r="N341" t="n">
        <v>0</v>
      </c>
      <c r="O341" t="n">
        <v>0</v>
      </c>
      <c r="P341" t="n">
        <v>0</v>
      </c>
      <c r="Q341" t="n">
        <v>0</v>
      </c>
      <c r="R341" s="2" t="inlineStr"/>
    </row>
    <row r="342" ht="15" customHeight="1">
      <c r="A342" t="inlineStr">
        <is>
          <t>A 42258-2019</t>
        </is>
      </c>
      <c r="B342" s="1" t="n">
        <v>43703</v>
      </c>
      <c r="C342" s="1" t="n">
        <v>45582</v>
      </c>
      <c r="D342" t="inlineStr">
        <is>
          <t>JÄMTLANDS LÄN</t>
        </is>
      </c>
      <c r="E342" t="inlineStr">
        <is>
          <t>KROKOM</t>
        </is>
      </c>
      <c r="G342" t="n">
        <v>4.9</v>
      </c>
      <c r="H342" t="n">
        <v>0</v>
      </c>
      <c r="I342" t="n">
        <v>0</v>
      </c>
      <c r="J342" t="n">
        <v>0</v>
      </c>
      <c r="K342" t="n">
        <v>0</v>
      </c>
      <c r="L342" t="n">
        <v>0</v>
      </c>
      <c r="M342" t="n">
        <v>0</v>
      </c>
      <c r="N342" t="n">
        <v>0</v>
      </c>
      <c r="O342" t="n">
        <v>0</v>
      </c>
      <c r="P342" t="n">
        <v>0</v>
      </c>
      <c r="Q342" t="n">
        <v>0</v>
      </c>
      <c r="R342" s="2" t="inlineStr"/>
    </row>
    <row r="343" ht="15" customHeight="1">
      <c r="A343" t="inlineStr">
        <is>
          <t>A 42237-2019</t>
        </is>
      </c>
      <c r="B343" s="1" t="n">
        <v>43703</v>
      </c>
      <c r="C343" s="1" t="n">
        <v>45582</v>
      </c>
      <c r="D343" t="inlineStr">
        <is>
          <t>JÄMTLANDS LÄN</t>
        </is>
      </c>
      <c r="E343" t="inlineStr">
        <is>
          <t>KROKOM</t>
        </is>
      </c>
      <c r="G343" t="n">
        <v>7.1</v>
      </c>
      <c r="H343" t="n">
        <v>0</v>
      </c>
      <c r="I343" t="n">
        <v>0</v>
      </c>
      <c r="J343" t="n">
        <v>0</v>
      </c>
      <c r="K343" t="n">
        <v>0</v>
      </c>
      <c r="L343" t="n">
        <v>0</v>
      </c>
      <c r="M343" t="n">
        <v>0</v>
      </c>
      <c r="N343" t="n">
        <v>0</v>
      </c>
      <c r="O343" t="n">
        <v>0</v>
      </c>
      <c r="P343" t="n">
        <v>0</v>
      </c>
      <c r="Q343" t="n">
        <v>0</v>
      </c>
      <c r="R343" s="2" t="inlineStr"/>
    </row>
    <row r="344" ht="15" customHeight="1">
      <c r="A344" t="inlineStr">
        <is>
          <t>A 42537-2019</t>
        </is>
      </c>
      <c r="B344" s="1" t="n">
        <v>43704</v>
      </c>
      <c r="C344" s="1" t="n">
        <v>45582</v>
      </c>
      <c r="D344" t="inlineStr">
        <is>
          <t>JÄMTLANDS LÄN</t>
        </is>
      </c>
      <c r="E344" t="inlineStr">
        <is>
          <t>KROKOM</t>
        </is>
      </c>
      <c r="G344" t="n">
        <v>3.5</v>
      </c>
      <c r="H344" t="n">
        <v>0</v>
      </c>
      <c r="I344" t="n">
        <v>0</v>
      </c>
      <c r="J344" t="n">
        <v>0</v>
      </c>
      <c r="K344" t="n">
        <v>0</v>
      </c>
      <c r="L344" t="n">
        <v>0</v>
      </c>
      <c r="M344" t="n">
        <v>0</v>
      </c>
      <c r="N344" t="n">
        <v>0</v>
      </c>
      <c r="O344" t="n">
        <v>0</v>
      </c>
      <c r="P344" t="n">
        <v>0</v>
      </c>
      <c r="Q344" t="n">
        <v>0</v>
      </c>
      <c r="R344" s="2" t="inlineStr"/>
    </row>
    <row r="345" ht="15" customHeight="1">
      <c r="A345" t="inlineStr">
        <is>
          <t>A 42547-2019</t>
        </is>
      </c>
      <c r="B345" s="1" t="n">
        <v>43704</v>
      </c>
      <c r="C345" s="1" t="n">
        <v>45582</v>
      </c>
      <c r="D345" t="inlineStr">
        <is>
          <t>JÄMTLANDS LÄN</t>
        </is>
      </c>
      <c r="E345" t="inlineStr">
        <is>
          <t>KROKOM</t>
        </is>
      </c>
      <c r="F345" t="inlineStr">
        <is>
          <t>Övriga Aktiebolag</t>
        </is>
      </c>
      <c r="G345" t="n">
        <v>27.5</v>
      </c>
      <c r="H345" t="n">
        <v>0</v>
      </c>
      <c r="I345" t="n">
        <v>0</v>
      </c>
      <c r="J345" t="n">
        <v>0</v>
      </c>
      <c r="K345" t="n">
        <v>0</v>
      </c>
      <c r="L345" t="n">
        <v>0</v>
      </c>
      <c r="M345" t="n">
        <v>0</v>
      </c>
      <c r="N345" t="n">
        <v>0</v>
      </c>
      <c r="O345" t="n">
        <v>0</v>
      </c>
      <c r="P345" t="n">
        <v>0</v>
      </c>
      <c r="Q345" t="n">
        <v>0</v>
      </c>
      <c r="R345" s="2" t="inlineStr"/>
    </row>
    <row r="346" ht="15" customHeight="1">
      <c r="A346" t="inlineStr">
        <is>
          <t>A 42498-2019</t>
        </is>
      </c>
      <c r="B346" s="1" t="n">
        <v>43704</v>
      </c>
      <c r="C346" s="1" t="n">
        <v>45582</v>
      </c>
      <c r="D346" t="inlineStr">
        <is>
          <t>JÄMTLANDS LÄN</t>
        </is>
      </c>
      <c r="E346" t="inlineStr">
        <is>
          <t>KROKOM</t>
        </is>
      </c>
      <c r="F346" t="inlineStr">
        <is>
          <t>Övriga Aktiebolag</t>
        </is>
      </c>
      <c r="G346" t="n">
        <v>3.9</v>
      </c>
      <c r="H346" t="n">
        <v>0</v>
      </c>
      <c r="I346" t="n">
        <v>0</v>
      </c>
      <c r="J346" t="n">
        <v>0</v>
      </c>
      <c r="K346" t="n">
        <v>0</v>
      </c>
      <c r="L346" t="n">
        <v>0</v>
      </c>
      <c r="M346" t="n">
        <v>0</v>
      </c>
      <c r="N346" t="n">
        <v>0</v>
      </c>
      <c r="O346" t="n">
        <v>0</v>
      </c>
      <c r="P346" t="n">
        <v>0</v>
      </c>
      <c r="Q346" t="n">
        <v>0</v>
      </c>
      <c r="R346" s="2" t="inlineStr"/>
    </row>
    <row r="347" ht="15" customHeight="1">
      <c r="A347" t="inlineStr">
        <is>
          <t>A 42602-2019</t>
        </is>
      </c>
      <c r="B347" s="1" t="n">
        <v>43704</v>
      </c>
      <c r="C347" s="1" t="n">
        <v>45582</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42512-2019</t>
        </is>
      </c>
      <c r="B348" s="1" t="n">
        <v>43704</v>
      </c>
      <c r="C348" s="1" t="n">
        <v>45582</v>
      </c>
      <c r="D348" t="inlineStr">
        <is>
          <t>JÄMTLANDS LÄN</t>
        </is>
      </c>
      <c r="E348" t="inlineStr">
        <is>
          <t>KROKOM</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42635-2019</t>
        </is>
      </c>
      <c r="B349" s="1" t="n">
        <v>43704</v>
      </c>
      <c r="C349" s="1" t="n">
        <v>45582</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43708-2019</t>
        </is>
      </c>
      <c r="B350" s="1" t="n">
        <v>43707</v>
      </c>
      <c r="C350" s="1" t="n">
        <v>45582</v>
      </c>
      <c r="D350" t="inlineStr">
        <is>
          <t>JÄMTLANDS LÄN</t>
        </is>
      </c>
      <c r="E350" t="inlineStr">
        <is>
          <t>KROKOM</t>
        </is>
      </c>
      <c r="G350" t="n">
        <v>3.1</v>
      </c>
      <c r="H350" t="n">
        <v>0</v>
      </c>
      <c r="I350" t="n">
        <v>0</v>
      </c>
      <c r="J350" t="n">
        <v>0</v>
      </c>
      <c r="K350" t="n">
        <v>0</v>
      </c>
      <c r="L350" t="n">
        <v>0</v>
      </c>
      <c r="M350" t="n">
        <v>0</v>
      </c>
      <c r="N350" t="n">
        <v>0</v>
      </c>
      <c r="O350" t="n">
        <v>0</v>
      </c>
      <c r="P350" t="n">
        <v>0</v>
      </c>
      <c r="Q350" t="n">
        <v>0</v>
      </c>
      <c r="R350" s="2" t="inlineStr"/>
    </row>
    <row r="351" ht="15" customHeight="1">
      <c r="A351" t="inlineStr">
        <is>
          <t>A 43721-2019</t>
        </is>
      </c>
      <c r="B351" s="1" t="n">
        <v>43707</v>
      </c>
      <c r="C351" s="1" t="n">
        <v>45582</v>
      </c>
      <c r="D351" t="inlineStr">
        <is>
          <t>JÄMTLANDS LÄN</t>
        </is>
      </c>
      <c r="E351" t="inlineStr">
        <is>
          <t>KROKOM</t>
        </is>
      </c>
      <c r="G351" t="n">
        <v>7.1</v>
      </c>
      <c r="H351" t="n">
        <v>0</v>
      </c>
      <c r="I351" t="n">
        <v>0</v>
      </c>
      <c r="J351" t="n">
        <v>0</v>
      </c>
      <c r="K351" t="n">
        <v>0</v>
      </c>
      <c r="L351" t="n">
        <v>0</v>
      </c>
      <c r="M351" t="n">
        <v>0</v>
      </c>
      <c r="N351" t="n">
        <v>0</v>
      </c>
      <c r="O351" t="n">
        <v>0</v>
      </c>
      <c r="P351" t="n">
        <v>0</v>
      </c>
      <c r="Q351" t="n">
        <v>0</v>
      </c>
      <c r="R351" s="2" t="inlineStr"/>
    </row>
    <row r="352" ht="15" customHeight="1">
      <c r="A352" t="inlineStr">
        <is>
          <t>A 44128-2019</t>
        </is>
      </c>
      <c r="B352" s="1" t="n">
        <v>43710</v>
      </c>
      <c r="C352" s="1" t="n">
        <v>45582</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44190-2019</t>
        </is>
      </c>
      <c r="B353" s="1" t="n">
        <v>43710</v>
      </c>
      <c r="C353" s="1" t="n">
        <v>45582</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44653-2019</t>
        </is>
      </c>
      <c r="B354" s="1" t="n">
        <v>43712</v>
      </c>
      <c r="C354" s="1" t="n">
        <v>45582</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46288-2019</t>
        </is>
      </c>
      <c r="B355" s="1" t="n">
        <v>43717</v>
      </c>
      <c r="C355" s="1" t="n">
        <v>45582</v>
      </c>
      <c r="D355" t="inlineStr">
        <is>
          <t>JÄMTLANDS LÄN</t>
        </is>
      </c>
      <c r="E355" t="inlineStr">
        <is>
          <t>KROKOM</t>
        </is>
      </c>
      <c r="G355" t="n">
        <v>1.2</v>
      </c>
      <c r="H355" t="n">
        <v>0</v>
      </c>
      <c r="I355" t="n">
        <v>0</v>
      </c>
      <c r="J355" t="n">
        <v>0</v>
      </c>
      <c r="K355" t="n">
        <v>0</v>
      </c>
      <c r="L355" t="n">
        <v>0</v>
      </c>
      <c r="M355" t="n">
        <v>0</v>
      </c>
      <c r="N355" t="n">
        <v>0</v>
      </c>
      <c r="O355" t="n">
        <v>0</v>
      </c>
      <c r="P355" t="n">
        <v>0</v>
      </c>
      <c r="Q355" t="n">
        <v>0</v>
      </c>
      <c r="R355" s="2" t="inlineStr"/>
    </row>
    <row r="356" ht="15" customHeight="1">
      <c r="A356" t="inlineStr">
        <is>
          <t>A 47406-2019</t>
        </is>
      </c>
      <c r="B356" s="1" t="n">
        <v>43722</v>
      </c>
      <c r="C356" s="1" t="n">
        <v>45582</v>
      </c>
      <c r="D356" t="inlineStr">
        <is>
          <t>JÄMTLANDS LÄN</t>
        </is>
      </c>
      <c r="E356" t="inlineStr">
        <is>
          <t>KROKOM</t>
        </is>
      </c>
      <c r="G356" t="n">
        <v>7.4</v>
      </c>
      <c r="H356" t="n">
        <v>0</v>
      </c>
      <c r="I356" t="n">
        <v>0</v>
      </c>
      <c r="J356" t="n">
        <v>0</v>
      </c>
      <c r="K356" t="n">
        <v>0</v>
      </c>
      <c r="L356" t="n">
        <v>0</v>
      </c>
      <c r="M356" t="n">
        <v>0</v>
      </c>
      <c r="N356" t="n">
        <v>0</v>
      </c>
      <c r="O356" t="n">
        <v>0</v>
      </c>
      <c r="P356" t="n">
        <v>0</v>
      </c>
      <c r="Q356" t="n">
        <v>0</v>
      </c>
      <c r="R356" s="2" t="inlineStr"/>
    </row>
    <row r="357" ht="15" customHeight="1">
      <c r="A357" t="inlineStr">
        <is>
          <t>A 48311-2019</t>
        </is>
      </c>
      <c r="B357" s="1" t="n">
        <v>43726</v>
      </c>
      <c r="C357" s="1" t="n">
        <v>45582</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48613-2019</t>
        </is>
      </c>
      <c r="B358" s="1" t="n">
        <v>43727</v>
      </c>
      <c r="C358" s="1" t="n">
        <v>45582</v>
      </c>
      <c r="D358" t="inlineStr">
        <is>
          <t>JÄMTLANDS LÄN</t>
        </is>
      </c>
      <c r="E358" t="inlineStr">
        <is>
          <t>KROKOM</t>
        </is>
      </c>
      <c r="G358" t="n">
        <v>0.1</v>
      </c>
      <c r="H358" t="n">
        <v>0</v>
      </c>
      <c r="I358" t="n">
        <v>0</v>
      </c>
      <c r="J358" t="n">
        <v>0</v>
      </c>
      <c r="K358" t="n">
        <v>0</v>
      </c>
      <c r="L358" t="n">
        <v>0</v>
      </c>
      <c r="M358" t="n">
        <v>0</v>
      </c>
      <c r="N358" t="n">
        <v>0</v>
      </c>
      <c r="O358" t="n">
        <v>0</v>
      </c>
      <c r="P358" t="n">
        <v>0</v>
      </c>
      <c r="Q358" t="n">
        <v>0</v>
      </c>
      <c r="R358" s="2" t="inlineStr"/>
    </row>
    <row r="359" ht="15" customHeight="1">
      <c r="A359" t="inlineStr">
        <is>
          <t>A 49213-2019</t>
        </is>
      </c>
      <c r="B359" s="1" t="n">
        <v>43731</v>
      </c>
      <c r="C359" s="1" t="n">
        <v>45582</v>
      </c>
      <c r="D359" t="inlineStr">
        <is>
          <t>JÄMTLANDS LÄN</t>
        </is>
      </c>
      <c r="E359" t="inlineStr">
        <is>
          <t>KROKOM</t>
        </is>
      </c>
      <c r="G359" t="n">
        <v>3.8</v>
      </c>
      <c r="H359" t="n">
        <v>0</v>
      </c>
      <c r="I359" t="n">
        <v>0</v>
      </c>
      <c r="J359" t="n">
        <v>0</v>
      </c>
      <c r="K359" t="n">
        <v>0</v>
      </c>
      <c r="L359" t="n">
        <v>0</v>
      </c>
      <c r="M359" t="n">
        <v>0</v>
      </c>
      <c r="N359" t="n">
        <v>0</v>
      </c>
      <c r="O359" t="n">
        <v>0</v>
      </c>
      <c r="P359" t="n">
        <v>0</v>
      </c>
      <c r="Q359" t="n">
        <v>0</v>
      </c>
      <c r="R359" s="2" t="inlineStr"/>
    </row>
    <row r="360" ht="15" customHeight="1">
      <c r="A360" t="inlineStr">
        <is>
          <t>A 50104-2019</t>
        </is>
      </c>
      <c r="B360" s="1" t="n">
        <v>43731</v>
      </c>
      <c r="C360" s="1" t="n">
        <v>45582</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50115-2019</t>
        </is>
      </c>
      <c r="B361" s="1" t="n">
        <v>43731</v>
      </c>
      <c r="C361" s="1" t="n">
        <v>45582</v>
      </c>
      <c r="D361" t="inlineStr">
        <is>
          <t>JÄMTLANDS LÄN</t>
        </is>
      </c>
      <c r="E361" t="inlineStr">
        <is>
          <t>KROKOM</t>
        </is>
      </c>
      <c r="G361" t="n">
        <v>0.9</v>
      </c>
      <c r="H361" t="n">
        <v>0</v>
      </c>
      <c r="I361" t="n">
        <v>0</v>
      </c>
      <c r="J361" t="n">
        <v>0</v>
      </c>
      <c r="K361" t="n">
        <v>0</v>
      </c>
      <c r="L361" t="n">
        <v>0</v>
      </c>
      <c r="M361" t="n">
        <v>0</v>
      </c>
      <c r="N361" t="n">
        <v>0</v>
      </c>
      <c r="O361" t="n">
        <v>0</v>
      </c>
      <c r="P361" t="n">
        <v>0</v>
      </c>
      <c r="Q361" t="n">
        <v>0</v>
      </c>
      <c r="R361" s="2" t="inlineStr"/>
    </row>
    <row r="362" ht="15" customHeight="1">
      <c r="A362" t="inlineStr">
        <is>
          <t>A 50084-2019</t>
        </is>
      </c>
      <c r="B362" s="1" t="n">
        <v>43731</v>
      </c>
      <c r="C362" s="1" t="n">
        <v>45582</v>
      </c>
      <c r="D362" t="inlineStr">
        <is>
          <t>JÄMTLANDS LÄN</t>
        </is>
      </c>
      <c r="E362" t="inlineStr">
        <is>
          <t>KROKOM</t>
        </is>
      </c>
      <c r="G362" t="n">
        <v>12.5</v>
      </c>
      <c r="H362" t="n">
        <v>0</v>
      </c>
      <c r="I362" t="n">
        <v>0</v>
      </c>
      <c r="J362" t="n">
        <v>0</v>
      </c>
      <c r="K362" t="n">
        <v>0</v>
      </c>
      <c r="L362" t="n">
        <v>0</v>
      </c>
      <c r="M362" t="n">
        <v>0</v>
      </c>
      <c r="N362" t="n">
        <v>0</v>
      </c>
      <c r="O362" t="n">
        <v>0</v>
      </c>
      <c r="P362" t="n">
        <v>0</v>
      </c>
      <c r="Q362" t="n">
        <v>0</v>
      </c>
      <c r="R362" s="2" t="inlineStr"/>
    </row>
    <row r="363" ht="15" customHeight="1">
      <c r="A363" t="inlineStr">
        <is>
          <t>A 50112-2019</t>
        </is>
      </c>
      <c r="B363" s="1" t="n">
        <v>43731</v>
      </c>
      <c r="C363" s="1" t="n">
        <v>45582</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50144-2019</t>
        </is>
      </c>
      <c r="B364" s="1" t="n">
        <v>43734</v>
      </c>
      <c r="C364" s="1" t="n">
        <v>45582</v>
      </c>
      <c r="D364" t="inlineStr">
        <is>
          <t>JÄMTLANDS LÄN</t>
        </is>
      </c>
      <c r="E364" t="inlineStr">
        <is>
          <t>KROKOM</t>
        </is>
      </c>
      <c r="G364" t="n">
        <v>1.1</v>
      </c>
      <c r="H364" t="n">
        <v>0</v>
      </c>
      <c r="I364" t="n">
        <v>0</v>
      </c>
      <c r="J364" t="n">
        <v>0</v>
      </c>
      <c r="K364" t="n">
        <v>0</v>
      </c>
      <c r="L364" t="n">
        <v>0</v>
      </c>
      <c r="M364" t="n">
        <v>0</v>
      </c>
      <c r="N364" t="n">
        <v>0</v>
      </c>
      <c r="O364" t="n">
        <v>0</v>
      </c>
      <c r="P364" t="n">
        <v>0</v>
      </c>
      <c r="Q364" t="n">
        <v>0</v>
      </c>
      <c r="R364" s="2" t="inlineStr"/>
    </row>
    <row r="365" ht="15" customHeight="1">
      <c r="A365" t="inlineStr">
        <is>
          <t>A 52049-2019</t>
        </is>
      </c>
      <c r="B365" s="1" t="n">
        <v>43734</v>
      </c>
      <c r="C365" s="1" t="n">
        <v>45582</v>
      </c>
      <c r="D365" t="inlineStr">
        <is>
          <t>JÄMTLANDS LÄN</t>
        </is>
      </c>
      <c r="E365" t="inlineStr">
        <is>
          <t>KROKOM</t>
        </is>
      </c>
      <c r="G365" t="n">
        <v>6.3</v>
      </c>
      <c r="H365" t="n">
        <v>0</v>
      </c>
      <c r="I365" t="n">
        <v>0</v>
      </c>
      <c r="J365" t="n">
        <v>0</v>
      </c>
      <c r="K365" t="n">
        <v>0</v>
      </c>
      <c r="L365" t="n">
        <v>0</v>
      </c>
      <c r="M365" t="n">
        <v>0</v>
      </c>
      <c r="N365" t="n">
        <v>0</v>
      </c>
      <c r="O365" t="n">
        <v>0</v>
      </c>
      <c r="P365" t="n">
        <v>0</v>
      </c>
      <c r="Q365" t="n">
        <v>0</v>
      </c>
      <c r="R365" s="2" t="inlineStr"/>
    </row>
    <row r="366" ht="15" customHeight="1">
      <c r="A366" t="inlineStr">
        <is>
          <t>A 52028-2019</t>
        </is>
      </c>
      <c r="B366" s="1" t="n">
        <v>43734</v>
      </c>
      <c r="C366" s="1" t="n">
        <v>45582</v>
      </c>
      <c r="D366" t="inlineStr">
        <is>
          <t>JÄMTLANDS LÄN</t>
        </is>
      </c>
      <c r="E366" t="inlineStr">
        <is>
          <t>KROKOM</t>
        </is>
      </c>
      <c r="F366" t="inlineStr">
        <is>
          <t>Övriga Aktiebolag</t>
        </is>
      </c>
      <c r="G366" t="n">
        <v>5.5</v>
      </c>
      <c r="H366" t="n">
        <v>0</v>
      </c>
      <c r="I366" t="n">
        <v>0</v>
      </c>
      <c r="J366" t="n">
        <v>0</v>
      </c>
      <c r="K366" t="n">
        <v>0</v>
      </c>
      <c r="L366" t="n">
        <v>0</v>
      </c>
      <c r="M366" t="n">
        <v>0</v>
      </c>
      <c r="N366" t="n">
        <v>0</v>
      </c>
      <c r="O366" t="n">
        <v>0</v>
      </c>
      <c r="P366" t="n">
        <v>0</v>
      </c>
      <c r="Q366" t="n">
        <v>0</v>
      </c>
      <c r="R366" s="2" t="inlineStr"/>
    </row>
    <row r="367" ht="15" customHeight="1">
      <c r="A367" t="inlineStr">
        <is>
          <t>A 52059-2019</t>
        </is>
      </c>
      <c r="B367" s="1" t="n">
        <v>43734</v>
      </c>
      <c r="C367" s="1" t="n">
        <v>45582</v>
      </c>
      <c r="D367" t="inlineStr">
        <is>
          <t>JÄMTLANDS LÄN</t>
        </is>
      </c>
      <c r="E367" t="inlineStr">
        <is>
          <t>KROKOM</t>
        </is>
      </c>
      <c r="G367" t="n">
        <v>2.1</v>
      </c>
      <c r="H367" t="n">
        <v>0</v>
      </c>
      <c r="I367" t="n">
        <v>0</v>
      </c>
      <c r="J367" t="n">
        <v>0</v>
      </c>
      <c r="K367" t="n">
        <v>0</v>
      </c>
      <c r="L367" t="n">
        <v>0</v>
      </c>
      <c r="M367" t="n">
        <v>0</v>
      </c>
      <c r="N367" t="n">
        <v>0</v>
      </c>
      <c r="O367" t="n">
        <v>0</v>
      </c>
      <c r="P367" t="n">
        <v>0</v>
      </c>
      <c r="Q367" t="n">
        <v>0</v>
      </c>
      <c r="R367" s="2" t="inlineStr"/>
    </row>
    <row r="368" ht="15" customHeight="1">
      <c r="A368" t="inlineStr">
        <is>
          <t>A 50360-2019</t>
        </is>
      </c>
      <c r="B368" s="1" t="n">
        <v>43735</v>
      </c>
      <c r="C368" s="1" t="n">
        <v>45582</v>
      </c>
      <c r="D368" t="inlineStr">
        <is>
          <t>JÄMTLANDS LÄN</t>
        </is>
      </c>
      <c r="E368" t="inlineStr">
        <is>
          <t>KROKOM</t>
        </is>
      </c>
      <c r="G368" t="n">
        <v>2.3</v>
      </c>
      <c r="H368" t="n">
        <v>0</v>
      </c>
      <c r="I368" t="n">
        <v>0</v>
      </c>
      <c r="J368" t="n">
        <v>0</v>
      </c>
      <c r="K368" t="n">
        <v>0</v>
      </c>
      <c r="L368" t="n">
        <v>0</v>
      </c>
      <c r="M368" t="n">
        <v>0</v>
      </c>
      <c r="N368" t="n">
        <v>0</v>
      </c>
      <c r="O368" t="n">
        <v>0</v>
      </c>
      <c r="P368" t="n">
        <v>0</v>
      </c>
      <c r="Q368" t="n">
        <v>0</v>
      </c>
      <c r="R368" s="2" t="inlineStr"/>
    </row>
    <row r="369" ht="15" customHeight="1">
      <c r="A369" t="inlineStr">
        <is>
          <t>A 52446-2019</t>
        </is>
      </c>
      <c r="B369" s="1" t="n">
        <v>43735</v>
      </c>
      <c r="C369" s="1" t="n">
        <v>45582</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52462-2019</t>
        </is>
      </c>
      <c r="B370" s="1" t="n">
        <v>43735</v>
      </c>
      <c r="C370" s="1" t="n">
        <v>45582</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53662-2019</t>
        </is>
      </c>
      <c r="B371" s="1" t="n">
        <v>43741</v>
      </c>
      <c r="C371" s="1" t="n">
        <v>45582</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54154-2019</t>
        </is>
      </c>
      <c r="B372" s="1" t="n">
        <v>43745</v>
      </c>
      <c r="C372" s="1" t="n">
        <v>45582</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53023-2019</t>
        </is>
      </c>
      <c r="B373" s="1" t="n">
        <v>43747</v>
      </c>
      <c r="C373" s="1" t="n">
        <v>45582</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54494-2019</t>
        </is>
      </c>
      <c r="B374" s="1" t="n">
        <v>43747</v>
      </c>
      <c r="C374" s="1" t="n">
        <v>45582</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53941-2019</t>
        </is>
      </c>
      <c r="B375" s="1" t="n">
        <v>43752</v>
      </c>
      <c r="C375" s="1" t="n">
        <v>45582</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54013-2019</t>
        </is>
      </c>
      <c r="B376" s="1" t="n">
        <v>43752</v>
      </c>
      <c r="C376" s="1" t="n">
        <v>45582</v>
      </c>
      <c r="D376" t="inlineStr">
        <is>
          <t>JÄMTLANDS LÄN</t>
        </is>
      </c>
      <c r="E376" t="inlineStr">
        <is>
          <t>KROKOM</t>
        </is>
      </c>
      <c r="F376" t="inlineStr">
        <is>
          <t>Övriga Aktiebolag</t>
        </is>
      </c>
      <c r="G376" t="n">
        <v>32.6</v>
      </c>
      <c r="H376" t="n">
        <v>0</v>
      </c>
      <c r="I376" t="n">
        <v>0</v>
      </c>
      <c r="J376" t="n">
        <v>0</v>
      </c>
      <c r="K376" t="n">
        <v>0</v>
      </c>
      <c r="L376" t="n">
        <v>0</v>
      </c>
      <c r="M376" t="n">
        <v>0</v>
      </c>
      <c r="N376" t="n">
        <v>0</v>
      </c>
      <c r="O376" t="n">
        <v>0</v>
      </c>
      <c r="P376" t="n">
        <v>0</v>
      </c>
      <c r="Q376" t="n">
        <v>0</v>
      </c>
      <c r="R376" s="2" t="inlineStr"/>
    </row>
    <row r="377" ht="15" customHeight="1">
      <c r="A377" t="inlineStr">
        <is>
          <t>A 54045-2019</t>
        </is>
      </c>
      <c r="B377" s="1" t="n">
        <v>43752</v>
      </c>
      <c r="C377" s="1" t="n">
        <v>45582</v>
      </c>
      <c r="D377" t="inlineStr">
        <is>
          <t>JÄMTLANDS LÄN</t>
        </is>
      </c>
      <c r="E377" t="inlineStr">
        <is>
          <t>KROKOM</t>
        </is>
      </c>
      <c r="F377" t="inlineStr">
        <is>
          <t>Övriga Aktiebolag</t>
        </is>
      </c>
      <c r="G377" t="n">
        <v>15.2</v>
      </c>
      <c r="H377" t="n">
        <v>0</v>
      </c>
      <c r="I377" t="n">
        <v>0</v>
      </c>
      <c r="J377" t="n">
        <v>0</v>
      </c>
      <c r="K377" t="n">
        <v>0</v>
      </c>
      <c r="L377" t="n">
        <v>0</v>
      </c>
      <c r="M377" t="n">
        <v>0</v>
      </c>
      <c r="N377" t="n">
        <v>0</v>
      </c>
      <c r="O377" t="n">
        <v>0</v>
      </c>
      <c r="P377" t="n">
        <v>0</v>
      </c>
      <c r="Q377" t="n">
        <v>0</v>
      </c>
      <c r="R377" s="2" t="inlineStr"/>
    </row>
    <row r="378" ht="15" customHeight="1">
      <c r="A378" t="inlineStr">
        <is>
          <t>A 54820-2019</t>
        </is>
      </c>
      <c r="B378" s="1" t="n">
        <v>43755</v>
      </c>
      <c r="C378" s="1" t="n">
        <v>45582</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55013-2019</t>
        </is>
      </c>
      <c r="B379" s="1" t="n">
        <v>43755</v>
      </c>
      <c r="C379" s="1" t="n">
        <v>45582</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55804-2019</t>
        </is>
      </c>
      <c r="B380" s="1" t="n">
        <v>43759</v>
      </c>
      <c r="C380" s="1" t="n">
        <v>45582</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56672-2019</t>
        </is>
      </c>
      <c r="B381" s="1" t="n">
        <v>43759</v>
      </c>
      <c r="C381" s="1" t="n">
        <v>45582</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56321-2019</t>
        </is>
      </c>
      <c r="B382" s="1" t="n">
        <v>43762</v>
      </c>
      <c r="C382" s="1" t="n">
        <v>45582</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56397-2019</t>
        </is>
      </c>
      <c r="B383" s="1" t="n">
        <v>43762</v>
      </c>
      <c r="C383" s="1" t="n">
        <v>45582</v>
      </c>
      <c r="D383" t="inlineStr">
        <is>
          <t>JÄMTLANDS LÄN</t>
        </is>
      </c>
      <c r="E383" t="inlineStr">
        <is>
          <t>KROKOM</t>
        </is>
      </c>
      <c r="G383" t="n">
        <v>1.5</v>
      </c>
      <c r="H383" t="n">
        <v>0</v>
      </c>
      <c r="I383" t="n">
        <v>0</v>
      </c>
      <c r="J383" t="n">
        <v>0</v>
      </c>
      <c r="K383" t="n">
        <v>0</v>
      </c>
      <c r="L383" t="n">
        <v>0</v>
      </c>
      <c r="M383" t="n">
        <v>0</v>
      </c>
      <c r="N383" t="n">
        <v>0</v>
      </c>
      <c r="O383" t="n">
        <v>0</v>
      </c>
      <c r="P383" t="n">
        <v>0</v>
      </c>
      <c r="Q383" t="n">
        <v>0</v>
      </c>
      <c r="R383" s="2" t="inlineStr"/>
    </row>
    <row r="384" ht="15" customHeight="1">
      <c r="A384" t="inlineStr">
        <is>
          <t>A 56389-2019</t>
        </is>
      </c>
      <c r="B384" s="1" t="n">
        <v>43762</v>
      </c>
      <c r="C384" s="1" t="n">
        <v>45582</v>
      </c>
      <c r="D384" t="inlineStr">
        <is>
          <t>JÄMTLANDS LÄN</t>
        </is>
      </c>
      <c r="E384" t="inlineStr">
        <is>
          <t>KROKOM</t>
        </is>
      </c>
      <c r="G384" t="n">
        <v>2.4</v>
      </c>
      <c r="H384" t="n">
        <v>0</v>
      </c>
      <c r="I384" t="n">
        <v>0</v>
      </c>
      <c r="J384" t="n">
        <v>0</v>
      </c>
      <c r="K384" t="n">
        <v>0</v>
      </c>
      <c r="L384" t="n">
        <v>0</v>
      </c>
      <c r="M384" t="n">
        <v>0</v>
      </c>
      <c r="N384" t="n">
        <v>0</v>
      </c>
      <c r="O384" t="n">
        <v>0</v>
      </c>
      <c r="P384" t="n">
        <v>0</v>
      </c>
      <c r="Q384" t="n">
        <v>0</v>
      </c>
      <c r="R384" s="2" t="inlineStr"/>
    </row>
    <row r="385" ht="15" customHeight="1">
      <c r="A385" t="inlineStr">
        <is>
          <t>A 56320-2019</t>
        </is>
      </c>
      <c r="B385" s="1" t="n">
        <v>43762</v>
      </c>
      <c r="C385" s="1" t="n">
        <v>45582</v>
      </c>
      <c r="D385" t="inlineStr">
        <is>
          <t>JÄMTLANDS LÄN</t>
        </is>
      </c>
      <c r="E385" t="inlineStr">
        <is>
          <t>KROKOM</t>
        </is>
      </c>
      <c r="G385" t="n">
        <v>2.3</v>
      </c>
      <c r="H385" t="n">
        <v>0</v>
      </c>
      <c r="I385" t="n">
        <v>0</v>
      </c>
      <c r="J385" t="n">
        <v>0</v>
      </c>
      <c r="K385" t="n">
        <v>0</v>
      </c>
      <c r="L385" t="n">
        <v>0</v>
      </c>
      <c r="M385" t="n">
        <v>0</v>
      </c>
      <c r="N385" t="n">
        <v>0</v>
      </c>
      <c r="O385" t="n">
        <v>0</v>
      </c>
      <c r="P385" t="n">
        <v>0</v>
      </c>
      <c r="Q385" t="n">
        <v>0</v>
      </c>
      <c r="R385" s="2" t="inlineStr"/>
    </row>
    <row r="386" ht="15" customHeight="1">
      <c r="A386" t="inlineStr">
        <is>
          <t>A 56403-2019</t>
        </is>
      </c>
      <c r="B386" s="1" t="n">
        <v>43762</v>
      </c>
      <c r="C386" s="1" t="n">
        <v>45582</v>
      </c>
      <c r="D386" t="inlineStr">
        <is>
          <t>JÄMTLANDS LÄN</t>
        </is>
      </c>
      <c r="E386" t="inlineStr">
        <is>
          <t>KROKOM</t>
        </is>
      </c>
      <c r="G386" t="n">
        <v>2.5</v>
      </c>
      <c r="H386" t="n">
        <v>0</v>
      </c>
      <c r="I386" t="n">
        <v>0</v>
      </c>
      <c r="J386" t="n">
        <v>0</v>
      </c>
      <c r="K386" t="n">
        <v>0</v>
      </c>
      <c r="L386" t="n">
        <v>0</v>
      </c>
      <c r="M386" t="n">
        <v>0</v>
      </c>
      <c r="N386" t="n">
        <v>0</v>
      </c>
      <c r="O386" t="n">
        <v>0</v>
      </c>
      <c r="P386" t="n">
        <v>0</v>
      </c>
      <c r="Q386" t="n">
        <v>0</v>
      </c>
      <c r="R386" s="2" t="inlineStr"/>
    </row>
    <row r="387" ht="15" customHeight="1">
      <c r="A387" t="inlineStr">
        <is>
          <t>A 56510-2019</t>
        </is>
      </c>
      <c r="B387" s="1" t="n">
        <v>43762</v>
      </c>
      <c r="C387" s="1" t="n">
        <v>45582</v>
      </c>
      <c r="D387" t="inlineStr">
        <is>
          <t>JÄMTLANDS LÄN</t>
        </is>
      </c>
      <c r="E387" t="inlineStr">
        <is>
          <t>KROKOM</t>
        </is>
      </c>
      <c r="G387" t="n">
        <v>3.2</v>
      </c>
      <c r="H387" t="n">
        <v>0</v>
      </c>
      <c r="I387" t="n">
        <v>0</v>
      </c>
      <c r="J387" t="n">
        <v>0</v>
      </c>
      <c r="K387" t="n">
        <v>0</v>
      </c>
      <c r="L387" t="n">
        <v>0</v>
      </c>
      <c r="M387" t="n">
        <v>0</v>
      </c>
      <c r="N387" t="n">
        <v>0</v>
      </c>
      <c r="O387" t="n">
        <v>0</v>
      </c>
      <c r="P387" t="n">
        <v>0</v>
      </c>
      <c r="Q387" t="n">
        <v>0</v>
      </c>
      <c r="R387" s="2" t="inlineStr"/>
    </row>
    <row r="388" ht="15" customHeight="1">
      <c r="A388" t="inlineStr">
        <is>
          <t>A 56332-2019</t>
        </is>
      </c>
      <c r="B388" s="1" t="n">
        <v>43762</v>
      </c>
      <c r="C388" s="1" t="n">
        <v>45582</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57796-2019</t>
        </is>
      </c>
      <c r="B389" s="1" t="n">
        <v>43762</v>
      </c>
      <c r="C389" s="1" t="n">
        <v>45582</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56763-2019</t>
        </is>
      </c>
      <c r="B390" s="1" t="n">
        <v>43763</v>
      </c>
      <c r="C390" s="1" t="n">
        <v>45582</v>
      </c>
      <c r="D390" t="inlineStr">
        <is>
          <t>JÄMTLANDS LÄN</t>
        </is>
      </c>
      <c r="E390" t="inlineStr">
        <is>
          <t>KROKOM</t>
        </is>
      </c>
      <c r="F390" t="inlineStr">
        <is>
          <t>Övriga Aktiebolag</t>
        </is>
      </c>
      <c r="G390" t="n">
        <v>29.4</v>
      </c>
      <c r="H390" t="n">
        <v>0</v>
      </c>
      <c r="I390" t="n">
        <v>0</v>
      </c>
      <c r="J390" t="n">
        <v>0</v>
      </c>
      <c r="K390" t="n">
        <v>0</v>
      </c>
      <c r="L390" t="n">
        <v>0</v>
      </c>
      <c r="M390" t="n">
        <v>0</v>
      </c>
      <c r="N390" t="n">
        <v>0</v>
      </c>
      <c r="O390" t="n">
        <v>0</v>
      </c>
      <c r="P390" t="n">
        <v>0</v>
      </c>
      <c r="Q390" t="n">
        <v>0</v>
      </c>
      <c r="R390" s="2" t="inlineStr"/>
    </row>
    <row r="391" ht="15" customHeight="1">
      <c r="A391" t="inlineStr">
        <is>
          <t>A 57732-2019</t>
        </is>
      </c>
      <c r="B391" s="1" t="n">
        <v>43768</v>
      </c>
      <c r="C391" s="1" t="n">
        <v>45582</v>
      </c>
      <c r="D391" t="inlineStr">
        <is>
          <t>JÄMTLANDS LÄN</t>
        </is>
      </c>
      <c r="E391" t="inlineStr">
        <is>
          <t>KROKOM</t>
        </is>
      </c>
      <c r="G391" t="n">
        <v>4.1</v>
      </c>
      <c r="H391" t="n">
        <v>0</v>
      </c>
      <c r="I391" t="n">
        <v>0</v>
      </c>
      <c r="J391" t="n">
        <v>0</v>
      </c>
      <c r="K391" t="n">
        <v>0</v>
      </c>
      <c r="L391" t="n">
        <v>0</v>
      </c>
      <c r="M391" t="n">
        <v>0</v>
      </c>
      <c r="N391" t="n">
        <v>0</v>
      </c>
      <c r="O391" t="n">
        <v>0</v>
      </c>
      <c r="P391" t="n">
        <v>0</v>
      </c>
      <c r="Q391" t="n">
        <v>0</v>
      </c>
      <c r="R391" s="2" t="inlineStr"/>
    </row>
    <row r="392" ht="15" customHeight="1">
      <c r="A392" t="inlineStr">
        <is>
          <t>A 58212-2019</t>
        </is>
      </c>
      <c r="B392" s="1" t="n">
        <v>43770</v>
      </c>
      <c r="C392" s="1" t="n">
        <v>45582</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58235-2019</t>
        </is>
      </c>
      <c r="B393" s="1" t="n">
        <v>43770</v>
      </c>
      <c r="C393" s="1" t="n">
        <v>45582</v>
      </c>
      <c r="D393" t="inlineStr">
        <is>
          <t>JÄMTLANDS LÄN</t>
        </is>
      </c>
      <c r="E393" t="inlineStr">
        <is>
          <t>KROKOM</t>
        </is>
      </c>
      <c r="G393" t="n">
        <v>47.9</v>
      </c>
      <c r="H393" t="n">
        <v>0</v>
      </c>
      <c r="I393" t="n">
        <v>0</v>
      </c>
      <c r="J393" t="n">
        <v>0</v>
      </c>
      <c r="K393" t="n">
        <v>0</v>
      </c>
      <c r="L393" t="n">
        <v>0</v>
      </c>
      <c r="M393" t="n">
        <v>0</v>
      </c>
      <c r="N393" t="n">
        <v>0</v>
      </c>
      <c r="O393" t="n">
        <v>0</v>
      </c>
      <c r="P393" t="n">
        <v>0</v>
      </c>
      <c r="Q393" t="n">
        <v>0</v>
      </c>
      <c r="R393" s="2" t="inlineStr"/>
    </row>
    <row r="394" ht="15" customHeight="1">
      <c r="A394" t="inlineStr">
        <is>
          <t>A 58778-2019</t>
        </is>
      </c>
      <c r="B394" s="1" t="n">
        <v>43773</v>
      </c>
      <c r="C394" s="1" t="n">
        <v>45582</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59027-2019</t>
        </is>
      </c>
      <c r="B395" s="1" t="n">
        <v>43774</v>
      </c>
      <c r="C395" s="1" t="n">
        <v>45582</v>
      </c>
      <c r="D395" t="inlineStr">
        <is>
          <t>JÄMTLANDS LÄN</t>
        </is>
      </c>
      <c r="E395" t="inlineStr">
        <is>
          <t>KROKOM</t>
        </is>
      </c>
      <c r="F395" t="inlineStr">
        <is>
          <t>Övriga Aktiebolag</t>
        </is>
      </c>
      <c r="G395" t="n">
        <v>19.6</v>
      </c>
      <c r="H395" t="n">
        <v>0</v>
      </c>
      <c r="I395" t="n">
        <v>0</v>
      </c>
      <c r="J395" t="n">
        <v>0</v>
      </c>
      <c r="K395" t="n">
        <v>0</v>
      </c>
      <c r="L395" t="n">
        <v>0</v>
      </c>
      <c r="M395" t="n">
        <v>0</v>
      </c>
      <c r="N395" t="n">
        <v>0</v>
      </c>
      <c r="O395" t="n">
        <v>0</v>
      </c>
      <c r="P395" t="n">
        <v>0</v>
      </c>
      <c r="Q395" t="n">
        <v>0</v>
      </c>
      <c r="R395" s="2" t="inlineStr"/>
    </row>
    <row r="396" ht="15" customHeight="1">
      <c r="A396" t="inlineStr">
        <is>
          <t>A 59588-2019</t>
        </is>
      </c>
      <c r="B396" s="1" t="n">
        <v>43776</v>
      </c>
      <c r="C396" s="1" t="n">
        <v>45582</v>
      </c>
      <c r="D396" t="inlineStr">
        <is>
          <t>JÄMTLANDS LÄN</t>
        </is>
      </c>
      <c r="E396" t="inlineStr">
        <is>
          <t>KROKOM</t>
        </is>
      </c>
      <c r="F396" t="inlineStr">
        <is>
          <t>Övriga Aktiebolag</t>
        </is>
      </c>
      <c r="G396" t="n">
        <v>9</v>
      </c>
      <c r="H396" t="n">
        <v>0</v>
      </c>
      <c r="I396" t="n">
        <v>0</v>
      </c>
      <c r="J396" t="n">
        <v>0</v>
      </c>
      <c r="K396" t="n">
        <v>0</v>
      </c>
      <c r="L396" t="n">
        <v>0</v>
      </c>
      <c r="M396" t="n">
        <v>0</v>
      </c>
      <c r="N396" t="n">
        <v>0</v>
      </c>
      <c r="O396" t="n">
        <v>0</v>
      </c>
      <c r="P396" t="n">
        <v>0</v>
      </c>
      <c r="Q396" t="n">
        <v>0</v>
      </c>
      <c r="R396" s="2" t="inlineStr"/>
    </row>
    <row r="397" ht="15" customHeight="1">
      <c r="A397" t="inlineStr">
        <is>
          <t>A 59672-2019</t>
        </is>
      </c>
      <c r="B397" s="1" t="n">
        <v>43776</v>
      </c>
      <c r="C397" s="1" t="n">
        <v>45582</v>
      </c>
      <c r="D397" t="inlineStr">
        <is>
          <t>JÄMTLANDS LÄN</t>
        </is>
      </c>
      <c r="E397" t="inlineStr">
        <is>
          <t>KROKOM</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60867-2019</t>
        </is>
      </c>
      <c r="B398" s="1" t="n">
        <v>43781</v>
      </c>
      <c r="C398" s="1" t="n">
        <v>45582</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61018-2019</t>
        </is>
      </c>
      <c r="B399" s="1" t="n">
        <v>43782</v>
      </c>
      <c r="C399" s="1" t="n">
        <v>45582</v>
      </c>
      <c r="D399" t="inlineStr">
        <is>
          <t>JÄMTLANDS LÄN</t>
        </is>
      </c>
      <c r="E399" t="inlineStr">
        <is>
          <t>KROKOM</t>
        </is>
      </c>
      <c r="F399" t="inlineStr">
        <is>
          <t>Övriga Aktiebolag</t>
        </is>
      </c>
      <c r="G399" t="n">
        <v>18.6</v>
      </c>
      <c r="H399" t="n">
        <v>0</v>
      </c>
      <c r="I399" t="n">
        <v>0</v>
      </c>
      <c r="J399" t="n">
        <v>0</v>
      </c>
      <c r="K399" t="n">
        <v>0</v>
      </c>
      <c r="L399" t="n">
        <v>0</v>
      </c>
      <c r="M399" t="n">
        <v>0</v>
      </c>
      <c r="N399" t="n">
        <v>0</v>
      </c>
      <c r="O399" t="n">
        <v>0</v>
      </c>
      <c r="P399" t="n">
        <v>0</v>
      </c>
      <c r="Q399" t="n">
        <v>0</v>
      </c>
      <c r="R399" s="2" t="inlineStr"/>
    </row>
    <row r="400" ht="15" customHeight="1">
      <c r="A400" t="inlineStr">
        <is>
          <t>A 61424-2019</t>
        </is>
      </c>
      <c r="B400" s="1" t="n">
        <v>43783</v>
      </c>
      <c r="C400" s="1" t="n">
        <v>45582</v>
      </c>
      <c r="D400" t="inlineStr">
        <is>
          <t>JÄMTLANDS LÄN</t>
        </is>
      </c>
      <c r="E400" t="inlineStr">
        <is>
          <t>KROKOM</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61472-2019</t>
        </is>
      </c>
      <c r="B401" s="1" t="n">
        <v>43783</v>
      </c>
      <c r="C401" s="1" t="n">
        <v>45582</v>
      </c>
      <c r="D401" t="inlineStr">
        <is>
          <t>JÄMTLANDS LÄN</t>
        </is>
      </c>
      <c r="E401" t="inlineStr">
        <is>
          <t>KROKOM</t>
        </is>
      </c>
      <c r="G401" t="n">
        <v>13.8</v>
      </c>
      <c r="H401" t="n">
        <v>0</v>
      </c>
      <c r="I401" t="n">
        <v>0</v>
      </c>
      <c r="J401" t="n">
        <v>0</v>
      </c>
      <c r="K401" t="n">
        <v>0</v>
      </c>
      <c r="L401" t="n">
        <v>0</v>
      </c>
      <c r="M401" t="n">
        <v>0</v>
      </c>
      <c r="N401" t="n">
        <v>0</v>
      </c>
      <c r="O401" t="n">
        <v>0</v>
      </c>
      <c r="P401" t="n">
        <v>0</v>
      </c>
      <c r="Q401" t="n">
        <v>0</v>
      </c>
      <c r="R401" s="2" t="inlineStr"/>
    </row>
    <row r="402" ht="15" customHeight="1">
      <c r="A402" t="inlineStr">
        <is>
          <t>A 62400-2019</t>
        </is>
      </c>
      <c r="B402" s="1" t="n">
        <v>43783</v>
      </c>
      <c r="C402" s="1" t="n">
        <v>45582</v>
      </c>
      <c r="D402" t="inlineStr">
        <is>
          <t>JÄMTLANDS LÄN</t>
        </is>
      </c>
      <c r="E402" t="inlineStr">
        <is>
          <t>KROKOM</t>
        </is>
      </c>
      <c r="G402" t="n">
        <v>6.4</v>
      </c>
      <c r="H402" t="n">
        <v>0</v>
      </c>
      <c r="I402" t="n">
        <v>0</v>
      </c>
      <c r="J402" t="n">
        <v>0</v>
      </c>
      <c r="K402" t="n">
        <v>0</v>
      </c>
      <c r="L402" t="n">
        <v>0</v>
      </c>
      <c r="M402" t="n">
        <v>0</v>
      </c>
      <c r="N402" t="n">
        <v>0</v>
      </c>
      <c r="O402" t="n">
        <v>0</v>
      </c>
      <c r="P402" t="n">
        <v>0</v>
      </c>
      <c r="Q402" t="n">
        <v>0</v>
      </c>
      <c r="R402" s="2" t="inlineStr"/>
    </row>
    <row r="403" ht="15" customHeight="1">
      <c r="A403" t="inlineStr">
        <is>
          <t>A 62927-2019</t>
        </is>
      </c>
      <c r="B403" s="1" t="n">
        <v>43784</v>
      </c>
      <c r="C403" s="1" t="n">
        <v>45582</v>
      </c>
      <c r="D403" t="inlineStr">
        <is>
          <t>JÄMTLANDS LÄN</t>
        </is>
      </c>
      <c r="E403" t="inlineStr">
        <is>
          <t>KROKOM</t>
        </is>
      </c>
      <c r="G403" t="n">
        <v>9</v>
      </c>
      <c r="H403" t="n">
        <v>0</v>
      </c>
      <c r="I403" t="n">
        <v>0</v>
      </c>
      <c r="J403" t="n">
        <v>0</v>
      </c>
      <c r="K403" t="n">
        <v>0</v>
      </c>
      <c r="L403" t="n">
        <v>0</v>
      </c>
      <c r="M403" t="n">
        <v>0</v>
      </c>
      <c r="N403" t="n">
        <v>0</v>
      </c>
      <c r="O403" t="n">
        <v>0</v>
      </c>
      <c r="P403" t="n">
        <v>0</v>
      </c>
      <c r="Q403" t="n">
        <v>0</v>
      </c>
      <c r="R403" s="2" t="inlineStr"/>
    </row>
    <row r="404" ht="15" customHeight="1">
      <c r="A404" t="inlineStr">
        <is>
          <t>A 62056-2019</t>
        </is>
      </c>
      <c r="B404" s="1" t="n">
        <v>43787</v>
      </c>
      <c r="C404" s="1" t="n">
        <v>45582</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62110-2019</t>
        </is>
      </c>
      <c r="B405" s="1" t="n">
        <v>43787</v>
      </c>
      <c r="C405" s="1" t="n">
        <v>45582</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62194-2019</t>
        </is>
      </c>
      <c r="B406" s="1" t="n">
        <v>43787</v>
      </c>
      <c r="C406" s="1" t="n">
        <v>45582</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62187-2019</t>
        </is>
      </c>
      <c r="B407" s="1" t="n">
        <v>43787</v>
      </c>
      <c r="C407" s="1" t="n">
        <v>45582</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62656-2019</t>
        </is>
      </c>
      <c r="B408" s="1" t="n">
        <v>43789</v>
      </c>
      <c r="C408" s="1" t="n">
        <v>45582</v>
      </c>
      <c r="D408" t="inlineStr">
        <is>
          <t>JÄMTLANDS LÄN</t>
        </is>
      </c>
      <c r="E408" t="inlineStr">
        <is>
          <t>KROKOM</t>
        </is>
      </c>
      <c r="F408" t="inlineStr">
        <is>
          <t>Övriga Aktiebolag</t>
        </is>
      </c>
      <c r="G408" t="n">
        <v>58.5</v>
      </c>
      <c r="H408" t="n">
        <v>0</v>
      </c>
      <c r="I408" t="n">
        <v>0</v>
      </c>
      <c r="J408" t="n">
        <v>0</v>
      </c>
      <c r="K408" t="n">
        <v>0</v>
      </c>
      <c r="L408" t="n">
        <v>0</v>
      </c>
      <c r="M408" t="n">
        <v>0</v>
      </c>
      <c r="N408" t="n">
        <v>0</v>
      </c>
      <c r="O408" t="n">
        <v>0</v>
      </c>
      <c r="P408" t="n">
        <v>0</v>
      </c>
      <c r="Q408" t="n">
        <v>0</v>
      </c>
      <c r="R408" s="2" t="inlineStr"/>
    </row>
    <row r="409" ht="15" customHeight="1">
      <c r="A409" t="inlineStr">
        <is>
          <t>A 62568-2019</t>
        </is>
      </c>
      <c r="B409" s="1" t="n">
        <v>43789</v>
      </c>
      <c r="C409" s="1" t="n">
        <v>45582</v>
      </c>
      <c r="D409" t="inlineStr">
        <is>
          <t>JÄMTLANDS LÄN</t>
        </is>
      </c>
      <c r="E409" t="inlineStr">
        <is>
          <t>KROKOM</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62864-2019</t>
        </is>
      </c>
      <c r="B410" s="1" t="n">
        <v>43790</v>
      </c>
      <c r="C410" s="1" t="n">
        <v>45582</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63987-2019</t>
        </is>
      </c>
      <c r="B411" s="1" t="n">
        <v>43791</v>
      </c>
      <c r="C411" s="1" t="n">
        <v>45582</v>
      </c>
      <c r="D411" t="inlineStr">
        <is>
          <t>JÄMTLANDS LÄN</t>
        </is>
      </c>
      <c r="E411" t="inlineStr">
        <is>
          <t>KROKOM</t>
        </is>
      </c>
      <c r="G411" t="n">
        <v>2</v>
      </c>
      <c r="H411" t="n">
        <v>0</v>
      </c>
      <c r="I411" t="n">
        <v>0</v>
      </c>
      <c r="J411" t="n">
        <v>0</v>
      </c>
      <c r="K411" t="n">
        <v>0</v>
      </c>
      <c r="L411" t="n">
        <v>0</v>
      </c>
      <c r="M411" t="n">
        <v>0</v>
      </c>
      <c r="N411" t="n">
        <v>0</v>
      </c>
      <c r="O411" t="n">
        <v>0</v>
      </c>
      <c r="P411" t="n">
        <v>0</v>
      </c>
      <c r="Q411" t="n">
        <v>0</v>
      </c>
      <c r="R411" s="2" t="inlineStr"/>
    </row>
    <row r="412" ht="15" customHeight="1">
      <c r="A412" t="inlineStr">
        <is>
          <t>A 63338-2019</t>
        </is>
      </c>
      <c r="B412" s="1" t="n">
        <v>43794</v>
      </c>
      <c r="C412" s="1" t="n">
        <v>45582</v>
      </c>
      <c r="D412" t="inlineStr">
        <is>
          <t>JÄMTLANDS LÄN</t>
        </is>
      </c>
      <c r="E412" t="inlineStr">
        <is>
          <t>KROKOM</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63345-2019</t>
        </is>
      </c>
      <c r="B413" s="1" t="n">
        <v>43794</v>
      </c>
      <c r="C413" s="1" t="n">
        <v>45582</v>
      </c>
      <c r="D413" t="inlineStr">
        <is>
          <t>JÄMTLANDS LÄN</t>
        </is>
      </c>
      <c r="E413" t="inlineStr">
        <is>
          <t>KROKOM</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65065-2019</t>
        </is>
      </c>
      <c r="B414" s="1" t="n">
        <v>43801</v>
      </c>
      <c r="C414" s="1" t="n">
        <v>45582</v>
      </c>
      <c r="D414" t="inlineStr">
        <is>
          <t>JÄMTLANDS LÄN</t>
        </is>
      </c>
      <c r="E414" t="inlineStr">
        <is>
          <t>KROKOM</t>
        </is>
      </c>
      <c r="F414" t="inlineStr">
        <is>
          <t>Övriga Aktiebolag</t>
        </is>
      </c>
      <c r="G414" t="n">
        <v>30.7</v>
      </c>
      <c r="H414" t="n">
        <v>0</v>
      </c>
      <c r="I414" t="n">
        <v>0</v>
      </c>
      <c r="J414" t="n">
        <v>0</v>
      </c>
      <c r="K414" t="n">
        <v>0</v>
      </c>
      <c r="L414" t="n">
        <v>0</v>
      </c>
      <c r="M414" t="n">
        <v>0</v>
      </c>
      <c r="N414" t="n">
        <v>0</v>
      </c>
      <c r="O414" t="n">
        <v>0</v>
      </c>
      <c r="P414" t="n">
        <v>0</v>
      </c>
      <c r="Q414" t="n">
        <v>0</v>
      </c>
      <c r="R414" s="2" t="inlineStr"/>
    </row>
    <row r="415" ht="15" customHeight="1">
      <c r="A415" t="inlineStr">
        <is>
          <t>A 65323-2019</t>
        </is>
      </c>
      <c r="B415" s="1" t="n">
        <v>43802</v>
      </c>
      <c r="C415" s="1" t="n">
        <v>45582</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65322-2019</t>
        </is>
      </c>
      <c r="B416" s="1" t="n">
        <v>43802</v>
      </c>
      <c r="C416" s="1" t="n">
        <v>45582</v>
      </c>
      <c r="D416" t="inlineStr">
        <is>
          <t>JÄMTLANDS LÄN</t>
        </is>
      </c>
      <c r="E416" t="inlineStr">
        <is>
          <t>KROKOM</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65786-2019</t>
        </is>
      </c>
      <c r="B417" s="1" t="n">
        <v>43804</v>
      </c>
      <c r="C417" s="1" t="n">
        <v>45582</v>
      </c>
      <c r="D417" t="inlineStr">
        <is>
          <t>JÄMTLANDS LÄN</t>
        </is>
      </c>
      <c r="E417" t="inlineStr">
        <is>
          <t>KROKOM</t>
        </is>
      </c>
      <c r="G417" t="n">
        <v>2.3</v>
      </c>
      <c r="H417" t="n">
        <v>0</v>
      </c>
      <c r="I417" t="n">
        <v>0</v>
      </c>
      <c r="J417" t="n">
        <v>0</v>
      </c>
      <c r="K417" t="n">
        <v>0</v>
      </c>
      <c r="L417" t="n">
        <v>0</v>
      </c>
      <c r="M417" t="n">
        <v>0</v>
      </c>
      <c r="N417" t="n">
        <v>0</v>
      </c>
      <c r="O417" t="n">
        <v>0</v>
      </c>
      <c r="P417" t="n">
        <v>0</v>
      </c>
      <c r="Q417" t="n">
        <v>0</v>
      </c>
      <c r="R417" s="2" t="inlineStr"/>
    </row>
    <row r="418" ht="15" customHeight="1">
      <c r="A418" t="inlineStr">
        <is>
          <t>A 65780-2019</t>
        </is>
      </c>
      <c r="B418" s="1" t="n">
        <v>43804</v>
      </c>
      <c r="C418" s="1" t="n">
        <v>45582</v>
      </c>
      <c r="D418" t="inlineStr">
        <is>
          <t>JÄMTLANDS LÄN</t>
        </is>
      </c>
      <c r="E418" t="inlineStr">
        <is>
          <t>KROKOM</t>
        </is>
      </c>
      <c r="G418" t="n">
        <v>0.2</v>
      </c>
      <c r="H418" t="n">
        <v>0</v>
      </c>
      <c r="I418" t="n">
        <v>0</v>
      </c>
      <c r="J418" t="n">
        <v>0</v>
      </c>
      <c r="K418" t="n">
        <v>0</v>
      </c>
      <c r="L418" t="n">
        <v>0</v>
      </c>
      <c r="M418" t="n">
        <v>0</v>
      </c>
      <c r="N418" t="n">
        <v>0</v>
      </c>
      <c r="O418" t="n">
        <v>0</v>
      </c>
      <c r="P418" t="n">
        <v>0</v>
      </c>
      <c r="Q418" t="n">
        <v>0</v>
      </c>
      <c r="R418" s="2" t="inlineStr"/>
    </row>
    <row r="419" ht="15" customHeight="1">
      <c r="A419" t="inlineStr">
        <is>
          <t>A 66051-2019</t>
        </is>
      </c>
      <c r="B419" s="1" t="n">
        <v>43805</v>
      </c>
      <c r="C419" s="1" t="n">
        <v>45582</v>
      </c>
      <c r="D419" t="inlineStr">
        <is>
          <t>JÄMTLANDS LÄN</t>
        </is>
      </c>
      <c r="E419" t="inlineStr">
        <is>
          <t>KROKOM</t>
        </is>
      </c>
      <c r="G419" t="n">
        <v>12.1</v>
      </c>
      <c r="H419" t="n">
        <v>0</v>
      </c>
      <c r="I419" t="n">
        <v>0</v>
      </c>
      <c r="J419" t="n">
        <v>0</v>
      </c>
      <c r="K419" t="n">
        <v>0</v>
      </c>
      <c r="L419" t="n">
        <v>0</v>
      </c>
      <c r="M419" t="n">
        <v>0</v>
      </c>
      <c r="N419" t="n">
        <v>0</v>
      </c>
      <c r="O419" t="n">
        <v>0</v>
      </c>
      <c r="P419" t="n">
        <v>0</v>
      </c>
      <c r="Q419" t="n">
        <v>0</v>
      </c>
      <c r="R419" s="2" t="inlineStr"/>
    </row>
    <row r="420" ht="15" customHeight="1">
      <c r="A420" t="inlineStr">
        <is>
          <t>A 66444-2019</t>
        </is>
      </c>
      <c r="B420" s="1" t="n">
        <v>43809</v>
      </c>
      <c r="C420" s="1" t="n">
        <v>45582</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67323-2019</t>
        </is>
      </c>
      <c r="B421" s="1" t="n">
        <v>43810</v>
      </c>
      <c r="C421" s="1" t="n">
        <v>45582</v>
      </c>
      <c r="D421" t="inlineStr">
        <is>
          <t>JÄMTLANDS LÄN</t>
        </is>
      </c>
      <c r="E421" t="inlineStr">
        <is>
          <t>KROKOM</t>
        </is>
      </c>
      <c r="G421" t="n">
        <v>4.3</v>
      </c>
      <c r="H421" t="n">
        <v>0</v>
      </c>
      <c r="I421" t="n">
        <v>0</v>
      </c>
      <c r="J421" t="n">
        <v>0</v>
      </c>
      <c r="K421" t="n">
        <v>0</v>
      </c>
      <c r="L421" t="n">
        <v>0</v>
      </c>
      <c r="M421" t="n">
        <v>0</v>
      </c>
      <c r="N421" t="n">
        <v>0</v>
      </c>
      <c r="O421" t="n">
        <v>0</v>
      </c>
      <c r="P421" t="n">
        <v>0</v>
      </c>
      <c r="Q421" t="n">
        <v>0</v>
      </c>
      <c r="R421" s="2" t="inlineStr"/>
    </row>
    <row r="422" ht="15" customHeight="1">
      <c r="A422" t="inlineStr">
        <is>
          <t>A 67098-2019</t>
        </is>
      </c>
      <c r="B422" s="1" t="n">
        <v>43811</v>
      </c>
      <c r="C422" s="1" t="n">
        <v>45582</v>
      </c>
      <c r="D422" t="inlineStr">
        <is>
          <t>JÄMTLANDS LÄN</t>
        </is>
      </c>
      <c r="E422" t="inlineStr">
        <is>
          <t>KROKOM</t>
        </is>
      </c>
      <c r="F422" t="inlineStr">
        <is>
          <t>Övriga Aktiebolag</t>
        </is>
      </c>
      <c r="G422" t="n">
        <v>0.4</v>
      </c>
      <c r="H422" t="n">
        <v>0</v>
      </c>
      <c r="I422" t="n">
        <v>0</v>
      </c>
      <c r="J422" t="n">
        <v>0</v>
      </c>
      <c r="K422" t="n">
        <v>0</v>
      </c>
      <c r="L422" t="n">
        <v>0</v>
      </c>
      <c r="M422" t="n">
        <v>0</v>
      </c>
      <c r="N422" t="n">
        <v>0</v>
      </c>
      <c r="O422" t="n">
        <v>0</v>
      </c>
      <c r="P422" t="n">
        <v>0</v>
      </c>
      <c r="Q422" t="n">
        <v>0</v>
      </c>
      <c r="R422" s="2" t="inlineStr"/>
    </row>
    <row r="423" ht="15" customHeight="1">
      <c r="A423" t="inlineStr">
        <is>
          <t>A 67102-2019</t>
        </is>
      </c>
      <c r="B423" s="1" t="n">
        <v>43811</v>
      </c>
      <c r="C423" s="1" t="n">
        <v>45582</v>
      </c>
      <c r="D423" t="inlineStr">
        <is>
          <t>JÄMTLANDS LÄN</t>
        </is>
      </c>
      <c r="E423" t="inlineStr">
        <is>
          <t>KROKOM</t>
        </is>
      </c>
      <c r="F423" t="inlineStr">
        <is>
          <t>Övriga Aktiebolag</t>
        </is>
      </c>
      <c r="G423" t="n">
        <v>0.5</v>
      </c>
      <c r="H423" t="n">
        <v>0</v>
      </c>
      <c r="I423" t="n">
        <v>0</v>
      </c>
      <c r="J423" t="n">
        <v>0</v>
      </c>
      <c r="K423" t="n">
        <v>0</v>
      </c>
      <c r="L423" t="n">
        <v>0</v>
      </c>
      <c r="M423" t="n">
        <v>0</v>
      </c>
      <c r="N423" t="n">
        <v>0</v>
      </c>
      <c r="O423" t="n">
        <v>0</v>
      </c>
      <c r="P423" t="n">
        <v>0</v>
      </c>
      <c r="Q423" t="n">
        <v>0</v>
      </c>
      <c r="R423" s="2" t="inlineStr"/>
    </row>
    <row r="424" ht="15" customHeight="1">
      <c r="A424" t="inlineStr">
        <is>
          <t>A 67071-2019</t>
        </is>
      </c>
      <c r="B424" s="1" t="n">
        <v>43811</v>
      </c>
      <c r="C424" s="1" t="n">
        <v>45582</v>
      </c>
      <c r="D424" t="inlineStr">
        <is>
          <t>JÄMTLANDS LÄN</t>
        </is>
      </c>
      <c r="E424" t="inlineStr">
        <is>
          <t>KROKOM</t>
        </is>
      </c>
      <c r="F424" t="inlineStr">
        <is>
          <t>Övriga Aktiebolag</t>
        </is>
      </c>
      <c r="G424" t="n">
        <v>0.4</v>
      </c>
      <c r="H424" t="n">
        <v>0</v>
      </c>
      <c r="I424" t="n">
        <v>0</v>
      </c>
      <c r="J424" t="n">
        <v>0</v>
      </c>
      <c r="K424" t="n">
        <v>0</v>
      </c>
      <c r="L424" t="n">
        <v>0</v>
      </c>
      <c r="M424" t="n">
        <v>0</v>
      </c>
      <c r="N424" t="n">
        <v>0</v>
      </c>
      <c r="O424" t="n">
        <v>0</v>
      </c>
      <c r="P424" t="n">
        <v>0</v>
      </c>
      <c r="Q424" t="n">
        <v>0</v>
      </c>
      <c r="R424" s="2" t="inlineStr"/>
    </row>
    <row r="425" ht="15" customHeight="1">
      <c r="A425" t="inlineStr">
        <is>
          <t>A 67081-2019</t>
        </is>
      </c>
      <c r="B425" s="1" t="n">
        <v>43811</v>
      </c>
      <c r="C425" s="1" t="n">
        <v>45582</v>
      </c>
      <c r="D425" t="inlineStr">
        <is>
          <t>JÄMTLANDS LÄN</t>
        </is>
      </c>
      <c r="E425" t="inlineStr">
        <is>
          <t>KROKOM</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68480-2019</t>
        </is>
      </c>
      <c r="B426" s="1" t="n">
        <v>43811</v>
      </c>
      <c r="C426" s="1" t="n">
        <v>45582</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68081-2019</t>
        </is>
      </c>
      <c r="B427" s="1" t="n">
        <v>43816</v>
      </c>
      <c r="C427" s="1" t="n">
        <v>45582</v>
      </c>
      <c r="D427" t="inlineStr">
        <is>
          <t>JÄMTLANDS LÄN</t>
        </is>
      </c>
      <c r="E427" t="inlineStr">
        <is>
          <t>KROKOM</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908-2020</t>
        </is>
      </c>
      <c r="B428" s="1" t="n">
        <v>43818</v>
      </c>
      <c r="C428" s="1" t="n">
        <v>45582</v>
      </c>
      <c r="D428" t="inlineStr">
        <is>
          <t>JÄMTLANDS LÄN</t>
        </is>
      </c>
      <c r="E428" t="inlineStr">
        <is>
          <t>KROKOM</t>
        </is>
      </c>
      <c r="G428" t="n">
        <v>5.8</v>
      </c>
      <c r="H428" t="n">
        <v>0</v>
      </c>
      <c r="I428" t="n">
        <v>0</v>
      </c>
      <c r="J428" t="n">
        <v>0</v>
      </c>
      <c r="K428" t="n">
        <v>0</v>
      </c>
      <c r="L428" t="n">
        <v>0</v>
      </c>
      <c r="M428" t="n">
        <v>0</v>
      </c>
      <c r="N428" t="n">
        <v>0</v>
      </c>
      <c r="O428" t="n">
        <v>0</v>
      </c>
      <c r="P428" t="n">
        <v>0</v>
      </c>
      <c r="Q428" t="n">
        <v>0</v>
      </c>
      <c r="R428" s="2" t="inlineStr"/>
    </row>
    <row r="429" ht="15" customHeight="1">
      <c r="A429" t="inlineStr">
        <is>
          <t>A 911-2020</t>
        </is>
      </c>
      <c r="B429" s="1" t="n">
        <v>43818</v>
      </c>
      <c r="C429" s="1" t="n">
        <v>45582</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69010-2019</t>
        </is>
      </c>
      <c r="B430" s="1" t="n">
        <v>43826</v>
      </c>
      <c r="C430" s="1" t="n">
        <v>45582</v>
      </c>
      <c r="D430" t="inlineStr">
        <is>
          <t>JÄMTLANDS LÄN</t>
        </is>
      </c>
      <c r="E430" t="inlineStr">
        <is>
          <t>KROKOM</t>
        </is>
      </c>
      <c r="G430" t="n">
        <v>4.7</v>
      </c>
      <c r="H430" t="n">
        <v>0</v>
      </c>
      <c r="I430" t="n">
        <v>0</v>
      </c>
      <c r="J430" t="n">
        <v>0</v>
      </c>
      <c r="K430" t="n">
        <v>0</v>
      </c>
      <c r="L430" t="n">
        <v>0</v>
      </c>
      <c r="M430" t="n">
        <v>0</v>
      </c>
      <c r="N430" t="n">
        <v>0</v>
      </c>
      <c r="O430" t="n">
        <v>0</v>
      </c>
      <c r="P430" t="n">
        <v>0</v>
      </c>
      <c r="Q430" t="n">
        <v>0</v>
      </c>
      <c r="R430" s="2" t="inlineStr"/>
    </row>
    <row r="431" ht="15" customHeight="1">
      <c r="A431" t="inlineStr">
        <is>
          <t>A 68996-2019</t>
        </is>
      </c>
      <c r="B431" s="1" t="n">
        <v>43826</v>
      </c>
      <c r="C431" s="1" t="n">
        <v>45582</v>
      </c>
      <c r="D431" t="inlineStr">
        <is>
          <t>JÄMTLANDS LÄN</t>
        </is>
      </c>
      <c r="E431" t="inlineStr">
        <is>
          <t>KROKOM</t>
        </is>
      </c>
      <c r="G431" t="n">
        <v>5</v>
      </c>
      <c r="H431" t="n">
        <v>0</v>
      </c>
      <c r="I431" t="n">
        <v>0</v>
      </c>
      <c r="J431" t="n">
        <v>0</v>
      </c>
      <c r="K431" t="n">
        <v>0</v>
      </c>
      <c r="L431" t="n">
        <v>0</v>
      </c>
      <c r="M431" t="n">
        <v>0</v>
      </c>
      <c r="N431" t="n">
        <v>0</v>
      </c>
      <c r="O431" t="n">
        <v>0</v>
      </c>
      <c r="P431" t="n">
        <v>0</v>
      </c>
      <c r="Q431" t="n">
        <v>0</v>
      </c>
      <c r="R431" s="2" t="inlineStr"/>
    </row>
    <row r="432" ht="15" customHeight="1">
      <c r="A432" t="inlineStr">
        <is>
          <t>A 12-2020</t>
        </is>
      </c>
      <c r="B432" s="1" t="n">
        <v>43831</v>
      </c>
      <c r="C432" s="1" t="n">
        <v>45582</v>
      </c>
      <c r="D432" t="inlineStr">
        <is>
          <t>JÄMTLANDS LÄN</t>
        </is>
      </c>
      <c r="E432" t="inlineStr">
        <is>
          <t>KROKOM</t>
        </is>
      </c>
      <c r="G432" t="n">
        <v>1.3</v>
      </c>
      <c r="H432" t="n">
        <v>0</v>
      </c>
      <c r="I432" t="n">
        <v>0</v>
      </c>
      <c r="J432" t="n">
        <v>0</v>
      </c>
      <c r="K432" t="n">
        <v>0</v>
      </c>
      <c r="L432" t="n">
        <v>0</v>
      </c>
      <c r="M432" t="n">
        <v>0</v>
      </c>
      <c r="N432" t="n">
        <v>0</v>
      </c>
      <c r="O432" t="n">
        <v>0</v>
      </c>
      <c r="P432" t="n">
        <v>0</v>
      </c>
      <c r="Q432" t="n">
        <v>0</v>
      </c>
      <c r="R432" s="2" t="inlineStr"/>
    </row>
    <row r="433" ht="15" customHeight="1">
      <c r="A433" t="inlineStr">
        <is>
          <t>A 327-2020</t>
        </is>
      </c>
      <c r="B433" s="1" t="n">
        <v>43837</v>
      </c>
      <c r="C433" s="1" t="n">
        <v>45582</v>
      </c>
      <c r="D433" t="inlineStr">
        <is>
          <t>JÄMTLANDS LÄN</t>
        </is>
      </c>
      <c r="E433" t="inlineStr">
        <is>
          <t>KROKOM</t>
        </is>
      </c>
      <c r="G433" t="n">
        <v>2.9</v>
      </c>
      <c r="H433" t="n">
        <v>0</v>
      </c>
      <c r="I433" t="n">
        <v>0</v>
      </c>
      <c r="J433" t="n">
        <v>0</v>
      </c>
      <c r="K433" t="n">
        <v>0</v>
      </c>
      <c r="L433" t="n">
        <v>0</v>
      </c>
      <c r="M433" t="n">
        <v>0</v>
      </c>
      <c r="N433" t="n">
        <v>0</v>
      </c>
      <c r="O433" t="n">
        <v>0</v>
      </c>
      <c r="P433" t="n">
        <v>0</v>
      </c>
      <c r="Q433" t="n">
        <v>0</v>
      </c>
      <c r="R433" s="2" t="inlineStr"/>
    </row>
    <row r="434" ht="15" customHeight="1">
      <c r="A434" t="inlineStr">
        <is>
          <t>A 735-2020</t>
        </is>
      </c>
      <c r="B434" s="1" t="n">
        <v>43838</v>
      </c>
      <c r="C434" s="1" t="n">
        <v>45582</v>
      </c>
      <c r="D434" t="inlineStr">
        <is>
          <t>JÄMTLANDS LÄN</t>
        </is>
      </c>
      <c r="E434" t="inlineStr">
        <is>
          <t>KROKOM</t>
        </is>
      </c>
      <c r="G434" t="n">
        <v>4.5</v>
      </c>
      <c r="H434" t="n">
        <v>0</v>
      </c>
      <c r="I434" t="n">
        <v>0</v>
      </c>
      <c r="J434" t="n">
        <v>0</v>
      </c>
      <c r="K434" t="n">
        <v>0</v>
      </c>
      <c r="L434" t="n">
        <v>0</v>
      </c>
      <c r="M434" t="n">
        <v>0</v>
      </c>
      <c r="N434" t="n">
        <v>0</v>
      </c>
      <c r="O434" t="n">
        <v>0</v>
      </c>
      <c r="P434" t="n">
        <v>0</v>
      </c>
      <c r="Q434" t="n">
        <v>0</v>
      </c>
      <c r="R434" s="2" t="inlineStr"/>
    </row>
    <row r="435" ht="15" customHeight="1">
      <c r="A435" t="inlineStr">
        <is>
          <t>A 4599-2020</t>
        </is>
      </c>
      <c r="B435" s="1" t="n">
        <v>43858</v>
      </c>
      <c r="C435" s="1" t="n">
        <v>45582</v>
      </c>
      <c r="D435" t="inlineStr">
        <is>
          <t>JÄMTLANDS LÄN</t>
        </is>
      </c>
      <c r="E435" t="inlineStr">
        <is>
          <t>KROKOM</t>
        </is>
      </c>
      <c r="G435" t="n">
        <v>32.1</v>
      </c>
      <c r="H435" t="n">
        <v>0</v>
      </c>
      <c r="I435" t="n">
        <v>0</v>
      </c>
      <c r="J435" t="n">
        <v>0</v>
      </c>
      <c r="K435" t="n">
        <v>0</v>
      </c>
      <c r="L435" t="n">
        <v>0</v>
      </c>
      <c r="M435" t="n">
        <v>0</v>
      </c>
      <c r="N435" t="n">
        <v>0</v>
      </c>
      <c r="O435" t="n">
        <v>0</v>
      </c>
      <c r="P435" t="n">
        <v>0</v>
      </c>
      <c r="Q435" t="n">
        <v>0</v>
      </c>
      <c r="R435" s="2" t="inlineStr"/>
    </row>
    <row r="436" ht="15" customHeight="1">
      <c r="A436" t="inlineStr">
        <is>
          <t>A 4762-2020</t>
        </is>
      </c>
      <c r="B436" s="1" t="n">
        <v>43859</v>
      </c>
      <c r="C436" s="1" t="n">
        <v>45582</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5337-2020</t>
        </is>
      </c>
      <c r="B437" s="1" t="n">
        <v>43860</v>
      </c>
      <c r="C437" s="1" t="n">
        <v>45582</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8110-2020</t>
        </is>
      </c>
      <c r="B438" s="1" t="n">
        <v>43874</v>
      </c>
      <c r="C438" s="1" t="n">
        <v>45582</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8380-2020</t>
        </is>
      </c>
      <c r="B439" s="1" t="n">
        <v>43874</v>
      </c>
      <c r="C439" s="1" t="n">
        <v>45582</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9049-2020</t>
        </is>
      </c>
      <c r="B440" s="1" t="n">
        <v>43879</v>
      </c>
      <c r="C440" s="1" t="n">
        <v>45582</v>
      </c>
      <c r="D440" t="inlineStr">
        <is>
          <t>JÄMTLANDS LÄN</t>
        </is>
      </c>
      <c r="E440" t="inlineStr">
        <is>
          <t>KROKOM</t>
        </is>
      </c>
      <c r="G440" t="n">
        <v>9.5</v>
      </c>
      <c r="H440" t="n">
        <v>0</v>
      </c>
      <c r="I440" t="n">
        <v>0</v>
      </c>
      <c r="J440" t="n">
        <v>0</v>
      </c>
      <c r="K440" t="n">
        <v>0</v>
      </c>
      <c r="L440" t="n">
        <v>0</v>
      </c>
      <c r="M440" t="n">
        <v>0</v>
      </c>
      <c r="N440" t="n">
        <v>0</v>
      </c>
      <c r="O440" t="n">
        <v>0</v>
      </c>
      <c r="P440" t="n">
        <v>0</v>
      </c>
      <c r="Q440" t="n">
        <v>0</v>
      </c>
      <c r="R440" s="2" t="inlineStr"/>
    </row>
    <row r="441" ht="15" customHeight="1">
      <c r="A441" t="inlineStr">
        <is>
          <t>A 9412-2020</t>
        </is>
      </c>
      <c r="B441" s="1" t="n">
        <v>43880</v>
      </c>
      <c r="C441" s="1" t="n">
        <v>45582</v>
      </c>
      <c r="D441" t="inlineStr">
        <is>
          <t>JÄMTLANDS LÄN</t>
        </is>
      </c>
      <c r="E441" t="inlineStr">
        <is>
          <t>KROKOM</t>
        </is>
      </c>
      <c r="G441" t="n">
        <v>12.1</v>
      </c>
      <c r="H441" t="n">
        <v>0</v>
      </c>
      <c r="I441" t="n">
        <v>0</v>
      </c>
      <c r="J441" t="n">
        <v>0</v>
      </c>
      <c r="K441" t="n">
        <v>0</v>
      </c>
      <c r="L441" t="n">
        <v>0</v>
      </c>
      <c r="M441" t="n">
        <v>0</v>
      </c>
      <c r="N441" t="n">
        <v>0</v>
      </c>
      <c r="O441" t="n">
        <v>0</v>
      </c>
      <c r="P441" t="n">
        <v>0</v>
      </c>
      <c r="Q441" t="n">
        <v>0</v>
      </c>
      <c r="R441" s="2" t="inlineStr"/>
    </row>
    <row r="442" ht="15" customHeight="1">
      <c r="A442" t="inlineStr">
        <is>
          <t>A 10206-2020</t>
        </is>
      </c>
      <c r="B442" s="1" t="n">
        <v>43885</v>
      </c>
      <c r="C442" s="1" t="n">
        <v>45582</v>
      </c>
      <c r="D442" t="inlineStr">
        <is>
          <t>JÄMTLANDS LÄN</t>
        </is>
      </c>
      <c r="E442" t="inlineStr">
        <is>
          <t>KROKOM</t>
        </is>
      </c>
      <c r="G442" t="n">
        <v>5.4</v>
      </c>
      <c r="H442" t="n">
        <v>0</v>
      </c>
      <c r="I442" t="n">
        <v>0</v>
      </c>
      <c r="J442" t="n">
        <v>0</v>
      </c>
      <c r="K442" t="n">
        <v>0</v>
      </c>
      <c r="L442" t="n">
        <v>0</v>
      </c>
      <c r="M442" t="n">
        <v>0</v>
      </c>
      <c r="N442" t="n">
        <v>0</v>
      </c>
      <c r="O442" t="n">
        <v>0</v>
      </c>
      <c r="P442" t="n">
        <v>0</v>
      </c>
      <c r="Q442" t="n">
        <v>0</v>
      </c>
      <c r="R442" s="2" t="inlineStr"/>
    </row>
    <row r="443" ht="15" customHeight="1">
      <c r="A443" t="inlineStr">
        <is>
          <t>A 10180-2020</t>
        </is>
      </c>
      <c r="B443" s="1" t="n">
        <v>43887</v>
      </c>
      <c r="C443" s="1" t="n">
        <v>45582</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11021-2020</t>
        </is>
      </c>
      <c r="B444" s="1" t="n">
        <v>43889</v>
      </c>
      <c r="C444" s="1" t="n">
        <v>45582</v>
      </c>
      <c r="D444" t="inlineStr">
        <is>
          <t>JÄMTLANDS LÄN</t>
        </is>
      </c>
      <c r="E444" t="inlineStr">
        <is>
          <t>KROKOM</t>
        </is>
      </c>
      <c r="G444" t="n">
        <v>14.3</v>
      </c>
      <c r="H444" t="n">
        <v>0</v>
      </c>
      <c r="I444" t="n">
        <v>0</v>
      </c>
      <c r="J444" t="n">
        <v>0</v>
      </c>
      <c r="K444" t="n">
        <v>0</v>
      </c>
      <c r="L444" t="n">
        <v>0</v>
      </c>
      <c r="M444" t="n">
        <v>0</v>
      </c>
      <c r="N444" t="n">
        <v>0</v>
      </c>
      <c r="O444" t="n">
        <v>0</v>
      </c>
      <c r="P444" t="n">
        <v>0</v>
      </c>
      <c r="Q444" t="n">
        <v>0</v>
      </c>
      <c r="R444" s="2" t="inlineStr"/>
    </row>
    <row r="445" ht="15" customHeight="1">
      <c r="A445" t="inlineStr">
        <is>
          <t>A 11500-2020</t>
        </is>
      </c>
      <c r="B445" s="1" t="n">
        <v>43893</v>
      </c>
      <c r="C445" s="1" t="n">
        <v>45582</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11487-2020</t>
        </is>
      </c>
      <c r="B446" s="1" t="n">
        <v>43893</v>
      </c>
      <c r="C446" s="1" t="n">
        <v>45582</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13367-2020</t>
        </is>
      </c>
      <c r="B447" s="1" t="n">
        <v>43894</v>
      </c>
      <c r="C447" s="1" t="n">
        <v>45582</v>
      </c>
      <c r="D447" t="inlineStr">
        <is>
          <t>JÄMTLANDS LÄN</t>
        </is>
      </c>
      <c r="E447" t="inlineStr">
        <is>
          <t>KROKOM</t>
        </is>
      </c>
      <c r="G447" t="n">
        <v>3</v>
      </c>
      <c r="H447" t="n">
        <v>0</v>
      </c>
      <c r="I447" t="n">
        <v>0</v>
      </c>
      <c r="J447" t="n">
        <v>0</v>
      </c>
      <c r="K447" t="n">
        <v>0</v>
      </c>
      <c r="L447" t="n">
        <v>0</v>
      </c>
      <c r="M447" t="n">
        <v>0</v>
      </c>
      <c r="N447" t="n">
        <v>0</v>
      </c>
      <c r="O447" t="n">
        <v>0</v>
      </c>
      <c r="P447" t="n">
        <v>0</v>
      </c>
      <c r="Q447" t="n">
        <v>0</v>
      </c>
      <c r="R447" s="2" t="inlineStr"/>
    </row>
    <row r="448" ht="15" customHeight="1">
      <c r="A448" t="inlineStr">
        <is>
          <t>A 12914-2020</t>
        </is>
      </c>
      <c r="B448" s="1" t="n">
        <v>43900</v>
      </c>
      <c r="C448" s="1" t="n">
        <v>45582</v>
      </c>
      <c r="D448" t="inlineStr">
        <is>
          <t>JÄMTLANDS LÄN</t>
        </is>
      </c>
      <c r="E448" t="inlineStr">
        <is>
          <t>KROKOM</t>
        </is>
      </c>
      <c r="G448" t="n">
        <v>5.3</v>
      </c>
      <c r="H448" t="n">
        <v>0</v>
      </c>
      <c r="I448" t="n">
        <v>0</v>
      </c>
      <c r="J448" t="n">
        <v>0</v>
      </c>
      <c r="K448" t="n">
        <v>0</v>
      </c>
      <c r="L448" t="n">
        <v>0</v>
      </c>
      <c r="M448" t="n">
        <v>0</v>
      </c>
      <c r="N448" t="n">
        <v>0</v>
      </c>
      <c r="O448" t="n">
        <v>0</v>
      </c>
      <c r="P448" t="n">
        <v>0</v>
      </c>
      <c r="Q448" t="n">
        <v>0</v>
      </c>
      <c r="R448" s="2" t="inlineStr"/>
    </row>
    <row r="449" ht="15" customHeight="1">
      <c r="A449" t="inlineStr">
        <is>
          <t>A 13502-2020</t>
        </is>
      </c>
      <c r="B449" s="1" t="n">
        <v>43900</v>
      </c>
      <c r="C449" s="1" t="n">
        <v>45582</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12908-2020</t>
        </is>
      </c>
      <c r="B450" s="1" t="n">
        <v>43900</v>
      </c>
      <c r="C450" s="1" t="n">
        <v>45582</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14285-2020</t>
        </is>
      </c>
      <c r="B451" s="1" t="n">
        <v>43907</v>
      </c>
      <c r="C451" s="1" t="n">
        <v>45582</v>
      </c>
      <c r="D451" t="inlineStr">
        <is>
          <t>JÄMTLANDS LÄN</t>
        </is>
      </c>
      <c r="E451" t="inlineStr">
        <is>
          <t>KROKOM</t>
        </is>
      </c>
      <c r="G451" t="n">
        <v>13.9</v>
      </c>
      <c r="H451" t="n">
        <v>0</v>
      </c>
      <c r="I451" t="n">
        <v>0</v>
      </c>
      <c r="J451" t="n">
        <v>0</v>
      </c>
      <c r="K451" t="n">
        <v>0</v>
      </c>
      <c r="L451" t="n">
        <v>0</v>
      </c>
      <c r="M451" t="n">
        <v>0</v>
      </c>
      <c r="N451" t="n">
        <v>0</v>
      </c>
      <c r="O451" t="n">
        <v>0</v>
      </c>
      <c r="P451" t="n">
        <v>0</v>
      </c>
      <c r="Q451" t="n">
        <v>0</v>
      </c>
      <c r="R451" s="2" t="inlineStr"/>
    </row>
    <row r="452" ht="15" customHeight="1">
      <c r="A452" t="inlineStr">
        <is>
          <t>A 15315-2020</t>
        </is>
      </c>
      <c r="B452" s="1" t="n">
        <v>43913</v>
      </c>
      <c r="C452" s="1" t="n">
        <v>45582</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17527-2020</t>
        </is>
      </c>
      <c r="B453" s="1" t="n">
        <v>43920</v>
      </c>
      <c r="C453" s="1" t="n">
        <v>45582</v>
      </c>
      <c r="D453" t="inlineStr">
        <is>
          <t>JÄMTLANDS LÄN</t>
        </is>
      </c>
      <c r="E453" t="inlineStr">
        <is>
          <t>KROKOM</t>
        </is>
      </c>
      <c r="G453" t="n">
        <v>4.2</v>
      </c>
      <c r="H453" t="n">
        <v>0</v>
      </c>
      <c r="I453" t="n">
        <v>0</v>
      </c>
      <c r="J453" t="n">
        <v>0</v>
      </c>
      <c r="K453" t="n">
        <v>0</v>
      </c>
      <c r="L453" t="n">
        <v>0</v>
      </c>
      <c r="M453" t="n">
        <v>0</v>
      </c>
      <c r="N453" t="n">
        <v>0</v>
      </c>
      <c r="O453" t="n">
        <v>0</v>
      </c>
      <c r="P453" t="n">
        <v>0</v>
      </c>
      <c r="Q453" t="n">
        <v>0</v>
      </c>
      <c r="R453" s="2" t="inlineStr"/>
    </row>
    <row r="454" ht="15" customHeight="1">
      <c r="A454" t="inlineStr">
        <is>
          <t>A 18445-2020</t>
        </is>
      </c>
      <c r="B454" s="1" t="n">
        <v>43927</v>
      </c>
      <c r="C454" s="1" t="n">
        <v>45582</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18591-2020</t>
        </is>
      </c>
      <c r="B455" s="1" t="n">
        <v>43928</v>
      </c>
      <c r="C455" s="1" t="n">
        <v>45582</v>
      </c>
      <c r="D455" t="inlineStr">
        <is>
          <t>JÄMTLANDS LÄN</t>
        </is>
      </c>
      <c r="E455" t="inlineStr">
        <is>
          <t>KROKOM</t>
        </is>
      </c>
      <c r="G455" t="n">
        <v>13.6</v>
      </c>
      <c r="H455" t="n">
        <v>0</v>
      </c>
      <c r="I455" t="n">
        <v>0</v>
      </c>
      <c r="J455" t="n">
        <v>0</v>
      </c>
      <c r="K455" t="n">
        <v>0</v>
      </c>
      <c r="L455" t="n">
        <v>0</v>
      </c>
      <c r="M455" t="n">
        <v>0</v>
      </c>
      <c r="N455" t="n">
        <v>0</v>
      </c>
      <c r="O455" t="n">
        <v>0</v>
      </c>
      <c r="P455" t="n">
        <v>0</v>
      </c>
      <c r="Q455" t="n">
        <v>0</v>
      </c>
      <c r="R455" s="2" t="inlineStr"/>
    </row>
    <row r="456" ht="15" customHeight="1">
      <c r="A456" t="inlineStr">
        <is>
          <t>A 19031-2020</t>
        </is>
      </c>
      <c r="B456" s="1" t="n">
        <v>43936</v>
      </c>
      <c r="C456" s="1" t="n">
        <v>45582</v>
      </c>
      <c r="D456" t="inlineStr">
        <is>
          <t>JÄMTLANDS LÄN</t>
        </is>
      </c>
      <c r="E456" t="inlineStr">
        <is>
          <t>KROKOM</t>
        </is>
      </c>
      <c r="G456" t="n">
        <v>1.4</v>
      </c>
      <c r="H456" t="n">
        <v>0</v>
      </c>
      <c r="I456" t="n">
        <v>0</v>
      </c>
      <c r="J456" t="n">
        <v>0</v>
      </c>
      <c r="K456" t="n">
        <v>0</v>
      </c>
      <c r="L456" t="n">
        <v>0</v>
      </c>
      <c r="M456" t="n">
        <v>0</v>
      </c>
      <c r="N456" t="n">
        <v>0</v>
      </c>
      <c r="O456" t="n">
        <v>0</v>
      </c>
      <c r="P456" t="n">
        <v>0</v>
      </c>
      <c r="Q456" t="n">
        <v>0</v>
      </c>
      <c r="R456" s="2" t="inlineStr"/>
    </row>
    <row r="457" ht="15" customHeight="1">
      <c r="A457" t="inlineStr">
        <is>
          <t>A 19827-2020</t>
        </is>
      </c>
      <c r="B457" s="1" t="n">
        <v>43938</v>
      </c>
      <c r="C457" s="1" t="n">
        <v>45582</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19648-2020</t>
        </is>
      </c>
      <c r="B458" s="1" t="n">
        <v>43941</v>
      </c>
      <c r="C458" s="1" t="n">
        <v>45582</v>
      </c>
      <c r="D458" t="inlineStr">
        <is>
          <t>JÄMTLANDS LÄN</t>
        </is>
      </c>
      <c r="E458" t="inlineStr">
        <is>
          <t>KROKOM</t>
        </is>
      </c>
      <c r="G458" t="n">
        <v>21.6</v>
      </c>
      <c r="H458" t="n">
        <v>0</v>
      </c>
      <c r="I458" t="n">
        <v>0</v>
      </c>
      <c r="J458" t="n">
        <v>0</v>
      </c>
      <c r="K458" t="n">
        <v>0</v>
      </c>
      <c r="L458" t="n">
        <v>0</v>
      </c>
      <c r="M458" t="n">
        <v>0</v>
      </c>
      <c r="N458" t="n">
        <v>0</v>
      </c>
      <c r="O458" t="n">
        <v>0</v>
      </c>
      <c r="P458" t="n">
        <v>0</v>
      </c>
      <c r="Q458" t="n">
        <v>0</v>
      </c>
      <c r="R458" s="2" t="inlineStr"/>
    </row>
    <row r="459" ht="15" customHeight="1">
      <c r="A459" t="inlineStr">
        <is>
          <t>A 19768-2020</t>
        </is>
      </c>
      <c r="B459" s="1" t="n">
        <v>43942</v>
      </c>
      <c r="C459" s="1" t="n">
        <v>45582</v>
      </c>
      <c r="D459" t="inlineStr">
        <is>
          <t>JÄMTLANDS LÄN</t>
        </is>
      </c>
      <c r="E459" t="inlineStr">
        <is>
          <t>KROKOM</t>
        </is>
      </c>
      <c r="F459" t="inlineStr">
        <is>
          <t>Kyrkan</t>
        </is>
      </c>
      <c r="G459" t="n">
        <v>2</v>
      </c>
      <c r="H459" t="n">
        <v>0</v>
      </c>
      <c r="I459" t="n">
        <v>0</v>
      </c>
      <c r="J459" t="n">
        <v>0</v>
      </c>
      <c r="K459" t="n">
        <v>0</v>
      </c>
      <c r="L459" t="n">
        <v>0</v>
      </c>
      <c r="M459" t="n">
        <v>0</v>
      </c>
      <c r="N459" t="n">
        <v>0</v>
      </c>
      <c r="O459" t="n">
        <v>0</v>
      </c>
      <c r="P459" t="n">
        <v>0</v>
      </c>
      <c r="Q459" t="n">
        <v>0</v>
      </c>
      <c r="R459" s="2" t="inlineStr"/>
    </row>
    <row r="460" ht="15" customHeight="1">
      <c r="A460" t="inlineStr">
        <is>
          <t>A 21106-2020</t>
        </is>
      </c>
      <c r="B460" s="1" t="n">
        <v>43951</v>
      </c>
      <c r="C460" s="1" t="n">
        <v>45582</v>
      </c>
      <c r="D460" t="inlineStr">
        <is>
          <t>JÄMTLANDS LÄN</t>
        </is>
      </c>
      <c r="E460" t="inlineStr">
        <is>
          <t>KROKOM</t>
        </is>
      </c>
      <c r="G460" t="n">
        <v>17.7</v>
      </c>
      <c r="H460" t="n">
        <v>0</v>
      </c>
      <c r="I460" t="n">
        <v>0</v>
      </c>
      <c r="J460" t="n">
        <v>0</v>
      </c>
      <c r="K460" t="n">
        <v>0</v>
      </c>
      <c r="L460" t="n">
        <v>0</v>
      </c>
      <c r="M460" t="n">
        <v>0</v>
      </c>
      <c r="N460" t="n">
        <v>0</v>
      </c>
      <c r="O460" t="n">
        <v>0</v>
      </c>
      <c r="P460" t="n">
        <v>0</v>
      </c>
      <c r="Q460" t="n">
        <v>0</v>
      </c>
      <c r="R460" s="2" t="inlineStr"/>
    </row>
    <row r="461" ht="15" customHeight="1">
      <c r="A461" t="inlineStr">
        <is>
          <t>A 21144-2020</t>
        </is>
      </c>
      <c r="B461" s="1" t="n">
        <v>43951</v>
      </c>
      <c r="C461" s="1" t="n">
        <v>45582</v>
      </c>
      <c r="D461" t="inlineStr">
        <is>
          <t>JÄMTLANDS LÄN</t>
        </is>
      </c>
      <c r="E461" t="inlineStr">
        <is>
          <t>KROKOM</t>
        </is>
      </c>
      <c r="G461" t="n">
        <v>2.7</v>
      </c>
      <c r="H461" t="n">
        <v>0</v>
      </c>
      <c r="I461" t="n">
        <v>0</v>
      </c>
      <c r="J461" t="n">
        <v>0</v>
      </c>
      <c r="K461" t="n">
        <v>0</v>
      </c>
      <c r="L461" t="n">
        <v>0</v>
      </c>
      <c r="M461" t="n">
        <v>0</v>
      </c>
      <c r="N461" t="n">
        <v>0</v>
      </c>
      <c r="O461" t="n">
        <v>0</v>
      </c>
      <c r="P461" t="n">
        <v>0</v>
      </c>
      <c r="Q461" t="n">
        <v>0</v>
      </c>
      <c r="R461" s="2" t="inlineStr"/>
    </row>
    <row r="462" ht="15" customHeight="1">
      <c r="A462" t="inlineStr">
        <is>
          <t>A 21443-2020</t>
        </is>
      </c>
      <c r="B462" s="1" t="n">
        <v>43955</v>
      </c>
      <c r="C462" s="1" t="n">
        <v>45582</v>
      </c>
      <c r="D462" t="inlineStr">
        <is>
          <t>JÄMTLANDS LÄN</t>
        </is>
      </c>
      <c r="E462" t="inlineStr">
        <is>
          <t>KROKOM</t>
        </is>
      </c>
      <c r="G462" t="n">
        <v>7.7</v>
      </c>
      <c r="H462" t="n">
        <v>0</v>
      </c>
      <c r="I462" t="n">
        <v>0</v>
      </c>
      <c r="J462" t="n">
        <v>0</v>
      </c>
      <c r="K462" t="n">
        <v>0</v>
      </c>
      <c r="L462" t="n">
        <v>0</v>
      </c>
      <c r="M462" t="n">
        <v>0</v>
      </c>
      <c r="N462" t="n">
        <v>0</v>
      </c>
      <c r="O462" t="n">
        <v>0</v>
      </c>
      <c r="P462" t="n">
        <v>0</v>
      </c>
      <c r="Q462" t="n">
        <v>0</v>
      </c>
      <c r="R462" s="2" t="inlineStr"/>
    </row>
    <row r="463" ht="15" customHeight="1">
      <c r="A463" t="inlineStr">
        <is>
          <t>A 22005-2020</t>
        </is>
      </c>
      <c r="B463" s="1" t="n">
        <v>43959</v>
      </c>
      <c r="C463" s="1" t="n">
        <v>45582</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25520-2020</t>
        </is>
      </c>
      <c r="B464" s="1" t="n">
        <v>43983</v>
      </c>
      <c r="C464" s="1" t="n">
        <v>45582</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25489-2020</t>
        </is>
      </c>
      <c r="B465" s="1" t="n">
        <v>43983</v>
      </c>
      <c r="C465" s="1" t="n">
        <v>45582</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27056-2020</t>
        </is>
      </c>
      <c r="B466" s="1" t="n">
        <v>43991</v>
      </c>
      <c r="C466" s="1" t="n">
        <v>45582</v>
      </c>
      <c r="D466" t="inlineStr">
        <is>
          <t>JÄMTLANDS LÄN</t>
        </is>
      </c>
      <c r="E466" t="inlineStr">
        <is>
          <t>KROKOM</t>
        </is>
      </c>
      <c r="F466" t="inlineStr">
        <is>
          <t>Övriga Aktiebolag</t>
        </is>
      </c>
      <c r="G466" t="n">
        <v>4.7</v>
      </c>
      <c r="H466" t="n">
        <v>0</v>
      </c>
      <c r="I466" t="n">
        <v>0</v>
      </c>
      <c r="J466" t="n">
        <v>0</v>
      </c>
      <c r="K466" t="n">
        <v>0</v>
      </c>
      <c r="L466" t="n">
        <v>0</v>
      </c>
      <c r="M466" t="n">
        <v>0</v>
      </c>
      <c r="N466" t="n">
        <v>0</v>
      </c>
      <c r="O466" t="n">
        <v>0</v>
      </c>
      <c r="P466" t="n">
        <v>0</v>
      </c>
      <c r="Q466" t="n">
        <v>0</v>
      </c>
      <c r="R466" s="2" t="inlineStr"/>
    </row>
    <row r="467" ht="15" customHeight="1">
      <c r="A467" t="inlineStr">
        <is>
          <t>A 30368-2020</t>
        </is>
      </c>
      <c r="B467" s="1" t="n">
        <v>44007</v>
      </c>
      <c r="C467" s="1" t="n">
        <v>45582</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31421-2020</t>
        </is>
      </c>
      <c r="B468" s="1" t="n">
        <v>44013</v>
      </c>
      <c r="C468" s="1" t="n">
        <v>45582</v>
      </c>
      <c r="D468" t="inlineStr">
        <is>
          <t>JÄMTLANDS LÄN</t>
        </is>
      </c>
      <c r="E468" t="inlineStr">
        <is>
          <t>KROKOM</t>
        </is>
      </c>
      <c r="G468" t="n">
        <v>14.1</v>
      </c>
      <c r="H468" t="n">
        <v>0</v>
      </c>
      <c r="I468" t="n">
        <v>0</v>
      </c>
      <c r="J468" t="n">
        <v>0</v>
      </c>
      <c r="K468" t="n">
        <v>0</v>
      </c>
      <c r="L468" t="n">
        <v>0</v>
      </c>
      <c r="M468" t="n">
        <v>0</v>
      </c>
      <c r="N468" t="n">
        <v>0</v>
      </c>
      <c r="O468" t="n">
        <v>0</v>
      </c>
      <c r="P468" t="n">
        <v>0</v>
      </c>
      <c r="Q468" t="n">
        <v>0</v>
      </c>
      <c r="R468" s="2" t="inlineStr"/>
    </row>
    <row r="469" ht="15" customHeight="1">
      <c r="A469" t="inlineStr">
        <is>
          <t>A 32084-2020</t>
        </is>
      </c>
      <c r="B469" s="1" t="n">
        <v>44015</v>
      </c>
      <c r="C469" s="1" t="n">
        <v>45582</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34469-2020</t>
        </is>
      </c>
      <c r="B470" s="1" t="n">
        <v>44032</v>
      </c>
      <c r="C470" s="1" t="n">
        <v>45582</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34619-2020</t>
        </is>
      </c>
      <c r="B471" s="1" t="n">
        <v>44033</v>
      </c>
      <c r="C471" s="1" t="n">
        <v>45582</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34954-2020</t>
        </is>
      </c>
      <c r="B472" s="1" t="n">
        <v>44038</v>
      </c>
      <c r="C472" s="1" t="n">
        <v>45582</v>
      </c>
      <c r="D472" t="inlineStr">
        <is>
          <t>JÄMTLANDS LÄN</t>
        </is>
      </c>
      <c r="E472" t="inlineStr">
        <is>
          <t>KROKOM</t>
        </is>
      </c>
      <c r="G472" t="n">
        <v>14.3</v>
      </c>
      <c r="H472" t="n">
        <v>0</v>
      </c>
      <c r="I472" t="n">
        <v>0</v>
      </c>
      <c r="J472" t="n">
        <v>0</v>
      </c>
      <c r="K472" t="n">
        <v>0</v>
      </c>
      <c r="L472" t="n">
        <v>0</v>
      </c>
      <c r="M472" t="n">
        <v>0</v>
      </c>
      <c r="N472" t="n">
        <v>0</v>
      </c>
      <c r="O472" t="n">
        <v>0</v>
      </c>
      <c r="P472" t="n">
        <v>0</v>
      </c>
      <c r="Q472" t="n">
        <v>0</v>
      </c>
      <c r="R472" s="2" t="inlineStr"/>
    </row>
    <row r="473" ht="15" customHeight="1">
      <c r="A473" t="inlineStr">
        <is>
          <t>A 36098-2020</t>
        </is>
      </c>
      <c r="B473" s="1" t="n">
        <v>44048</v>
      </c>
      <c r="C473" s="1" t="n">
        <v>45582</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36698-2020</t>
        </is>
      </c>
      <c r="B474" s="1" t="n">
        <v>44050</v>
      </c>
      <c r="C474" s="1" t="n">
        <v>45582</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36523-2020</t>
        </is>
      </c>
      <c r="B475" s="1" t="n">
        <v>44050</v>
      </c>
      <c r="C475" s="1" t="n">
        <v>45582</v>
      </c>
      <c r="D475" t="inlineStr">
        <is>
          <t>JÄMTLANDS LÄN</t>
        </is>
      </c>
      <c r="E475" t="inlineStr">
        <is>
          <t>KROKOM</t>
        </is>
      </c>
      <c r="G475" t="n">
        <v>5.1</v>
      </c>
      <c r="H475" t="n">
        <v>0</v>
      </c>
      <c r="I475" t="n">
        <v>0</v>
      </c>
      <c r="J475" t="n">
        <v>0</v>
      </c>
      <c r="K475" t="n">
        <v>0</v>
      </c>
      <c r="L475" t="n">
        <v>0</v>
      </c>
      <c r="M475" t="n">
        <v>0</v>
      </c>
      <c r="N475" t="n">
        <v>0</v>
      </c>
      <c r="O475" t="n">
        <v>0</v>
      </c>
      <c r="P475" t="n">
        <v>0</v>
      </c>
      <c r="Q475" t="n">
        <v>0</v>
      </c>
      <c r="R475" s="2" t="inlineStr"/>
    </row>
    <row r="476" ht="15" customHeight="1">
      <c r="A476" t="inlineStr">
        <is>
          <t>A 36696-2020</t>
        </is>
      </c>
      <c r="B476" s="1" t="n">
        <v>44050</v>
      </c>
      <c r="C476" s="1" t="n">
        <v>45582</v>
      </c>
      <c r="D476" t="inlineStr">
        <is>
          <t>JÄMTLANDS LÄN</t>
        </is>
      </c>
      <c r="E476" t="inlineStr">
        <is>
          <t>KROKOM</t>
        </is>
      </c>
      <c r="G476" t="n">
        <v>8</v>
      </c>
      <c r="H476" t="n">
        <v>0</v>
      </c>
      <c r="I476" t="n">
        <v>0</v>
      </c>
      <c r="J476" t="n">
        <v>0</v>
      </c>
      <c r="K476" t="n">
        <v>0</v>
      </c>
      <c r="L476" t="n">
        <v>0</v>
      </c>
      <c r="M476" t="n">
        <v>0</v>
      </c>
      <c r="N476" t="n">
        <v>0</v>
      </c>
      <c r="O476" t="n">
        <v>0</v>
      </c>
      <c r="P476" t="n">
        <v>0</v>
      </c>
      <c r="Q476" t="n">
        <v>0</v>
      </c>
      <c r="R476" s="2" t="inlineStr"/>
    </row>
    <row r="477" ht="15" customHeight="1">
      <c r="A477" t="inlineStr">
        <is>
          <t>A 38001-2020</t>
        </is>
      </c>
      <c r="B477" s="1" t="n">
        <v>44057</v>
      </c>
      <c r="C477" s="1" t="n">
        <v>45582</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38720-2020</t>
        </is>
      </c>
      <c r="B478" s="1" t="n">
        <v>44061</v>
      </c>
      <c r="C478" s="1" t="n">
        <v>45582</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38866-2020</t>
        </is>
      </c>
      <c r="B479" s="1" t="n">
        <v>44062</v>
      </c>
      <c r="C479" s="1" t="n">
        <v>45582</v>
      </c>
      <c r="D479" t="inlineStr">
        <is>
          <t>JÄMTLANDS LÄN</t>
        </is>
      </c>
      <c r="E479" t="inlineStr">
        <is>
          <t>KROKOM</t>
        </is>
      </c>
      <c r="F479" t="inlineStr">
        <is>
          <t>Övriga Aktiebolag</t>
        </is>
      </c>
      <c r="G479" t="n">
        <v>4.6</v>
      </c>
      <c r="H479" t="n">
        <v>0</v>
      </c>
      <c r="I479" t="n">
        <v>0</v>
      </c>
      <c r="J479" t="n">
        <v>0</v>
      </c>
      <c r="K479" t="n">
        <v>0</v>
      </c>
      <c r="L479" t="n">
        <v>0</v>
      </c>
      <c r="M479" t="n">
        <v>0</v>
      </c>
      <c r="N479" t="n">
        <v>0</v>
      </c>
      <c r="O479" t="n">
        <v>0</v>
      </c>
      <c r="P479" t="n">
        <v>0</v>
      </c>
      <c r="Q479" t="n">
        <v>0</v>
      </c>
      <c r="R479" s="2" t="inlineStr"/>
    </row>
    <row r="480" ht="15" customHeight="1">
      <c r="A480" t="inlineStr">
        <is>
          <t>A 42385-2020</t>
        </is>
      </c>
      <c r="B480" s="1" t="n">
        <v>44076</v>
      </c>
      <c r="C480" s="1" t="n">
        <v>45582</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42550-2020</t>
        </is>
      </c>
      <c r="B481" s="1" t="n">
        <v>44077</v>
      </c>
      <c r="C481" s="1" t="n">
        <v>45582</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45602-2020</t>
        </is>
      </c>
      <c r="B482" s="1" t="n">
        <v>44090</v>
      </c>
      <c r="C482" s="1" t="n">
        <v>45582</v>
      </c>
      <c r="D482" t="inlineStr">
        <is>
          <t>JÄMTLANDS LÄN</t>
        </is>
      </c>
      <c r="E482" t="inlineStr">
        <is>
          <t>KROKOM</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46589-2020</t>
        </is>
      </c>
      <c r="B483" s="1" t="n">
        <v>44095</v>
      </c>
      <c r="C483" s="1" t="n">
        <v>45582</v>
      </c>
      <c r="D483" t="inlineStr">
        <is>
          <t>JÄMTLANDS LÄN</t>
        </is>
      </c>
      <c r="E483" t="inlineStr">
        <is>
          <t>KROKOM</t>
        </is>
      </c>
      <c r="G483" t="n">
        <v>8.5</v>
      </c>
      <c r="H483" t="n">
        <v>0</v>
      </c>
      <c r="I483" t="n">
        <v>0</v>
      </c>
      <c r="J483" t="n">
        <v>0</v>
      </c>
      <c r="K483" t="n">
        <v>0</v>
      </c>
      <c r="L483" t="n">
        <v>0</v>
      </c>
      <c r="M483" t="n">
        <v>0</v>
      </c>
      <c r="N483" t="n">
        <v>0</v>
      </c>
      <c r="O483" t="n">
        <v>0</v>
      </c>
      <c r="P483" t="n">
        <v>0</v>
      </c>
      <c r="Q483" t="n">
        <v>0</v>
      </c>
      <c r="R483" s="2" t="inlineStr"/>
    </row>
    <row r="484" ht="15" customHeight="1">
      <c r="A484" t="inlineStr">
        <is>
          <t>A 46597-2020</t>
        </is>
      </c>
      <c r="B484" s="1" t="n">
        <v>44095</v>
      </c>
      <c r="C484" s="1" t="n">
        <v>45582</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49037-2020</t>
        </is>
      </c>
      <c r="B485" s="1" t="n">
        <v>44102</v>
      </c>
      <c r="C485" s="1" t="n">
        <v>45582</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48610-2020</t>
        </is>
      </c>
      <c r="B486" s="1" t="n">
        <v>44103</v>
      </c>
      <c r="C486" s="1" t="n">
        <v>45582</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49697-2020</t>
        </is>
      </c>
      <c r="B487" s="1" t="n">
        <v>44106</v>
      </c>
      <c r="C487" s="1" t="n">
        <v>45582</v>
      </c>
      <c r="D487" t="inlineStr">
        <is>
          <t>JÄMTLANDS LÄN</t>
        </is>
      </c>
      <c r="E487" t="inlineStr">
        <is>
          <t>KROKOM</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51719-2020</t>
        </is>
      </c>
      <c r="B488" s="1" t="n">
        <v>44113</v>
      </c>
      <c r="C488" s="1" t="n">
        <v>45582</v>
      </c>
      <c r="D488" t="inlineStr">
        <is>
          <t>JÄMTLANDS LÄN</t>
        </is>
      </c>
      <c r="E488" t="inlineStr">
        <is>
          <t>KROKOM</t>
        </is>
      </c>
      <c r="F488" t="inlineStr">
        <is>
          <t>SCA</t>
        </is>
      </c>
      <c r="G488" t="n">
        <v>9</v>
      </c>
      <c r="H488" t="n">
        <v>0</v>
      </c>
      <c r="I488" t="n">
        <v>0</v>
      </c>
      <c r="J488" t="n">
        <v>0</v>
      </c>
      <c r="K488" t="n">
        <v>0</v>
      </c>
      <c r="L488" t="n">
        <v>0</v>
      </c>
      <c r="M488" t="n">
        <v>0</v>
      </c>
      <c r="N488" t="n">
        <v>0</v>
      </c>
      <c r="O488" t="n">
        <v>0</v>
      </c>
      <c r="P488" t="n">
        <v>0</v>
      </c>
      <c r="Q488" t="n">
        <v>0</v>
      </c>
      <c r="R488" s="2" t="inlineStr"/>
    </row>
    <row r="489" ht="15" customHeight="1">
      <c r="A489" t="inlineStr">
        <is>
          <t>A 51717-2020</t>
        </is>
      </c>
      <c r="B489" s="1" t="n">
        <v>44113</v>
      </c>
      <c r="C489" s="1" t="n">
        <v>45582</v>
      </c>
      <c r="D489" t="inlineStr">
        <is>
          <t>JÄMTLANDS LÄN</t>
        </is>
      </c>
      <c r="E489" t="inlineStr">
        <is>
          <t>KROKOM</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52487-2020</t>
        </is>
      </c>
      <c r="B490" s="1" t="n">
        <v>44113</v>
      </c>
      <c r="C490" s="1" t="n">
        <v>45582</v>
      </c>
      <c r="D490" t="inlineStr">
        <is>
          <t>JÄMTLANDS LÄN</t>
        </is>
      </c>
      <c r="E490" t="inlineStr">
        <is>
          <t>KROKOM</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52491-2020</t>
        </is>
      </c>
      <c r="B491" s="1" t="n">
        <v>44113</v>
      </c>
      <c r="C491" s="1" t="n">
        <v>45582</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52626-2020</t>
        </is>
      </c>
      <c r="B492" s="1" t="n">
        <v>44119</v>
      </c>
      <c r="C492" s="1" t="n">
        <v>45582</v>
      </c>
      <c r="D492" t="inlineStr">
        <is>
          <t>JÄMTLANDS LÄN</t>
        </is>
      </c>
      <c r="E492" t="inlineStr">
        <is>
          <t>KROKOM</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53241-2020</t>
        </is>
      </c>
      <c r="B493" s="1" t="n">
        <v>44123</v>
      </c>
      <c r="C493" s="1" t="n">
        <v>45582</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53501-2020</t>
        </is>
      </c>
      <c r="B494" s="1" t="n">
        <v>44123</v>
      </c>
      <c r="C494" s="1" t="n">
        <v>45582</v>
      </c>
      <c r="D494" t="inlineStr">
        <is>
          <t>JÄMTLANDS LÄN</t>
        </is>
      </c>
      <c r="E494" t="inlineStr">
        <is>
          <t>KROKOM</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53499-2020</t>
        </is>
      </c>
      <c r="B495" s="1" t="n">
        <v>44123</v>
      </c>
      <c r="C495" s="1" t="n">
        <v>45582</v>
      </c>
      <c r="D495" t="inlineStr">
        <is>
          <t>JÄMTLANDS LÄN</t>
        </is>
      </c>
      <c r="E495" t="inlineStr">
        <is>
          <t>KROKOM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53500-2020</t>
        </is>
      </c>
      <c r="B496" s="1" t="n">
        <v>44123</v>
      </c>
      <c r="C496" s="1" t="n">
        <v>45582</v>
      </c>
      <c r="D496" t="inlineStr">
        <is>
          <t>JÄMTLANDS LÄN</t>
        </is>
      </c>
      <c r="E496" t="inlineStr">
        <is>
          <t>KROKOM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54575-2020</t>
        </is>
      </c>
      <c r="B497" s="1" t="n">
        <v>44126</v>
      </c>
      <c r="C497" s="1" t="n">
        <v>45582</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54582-2020</t>
        </is>
      </c>
      <c r="B498" s="1" t="n">
        <v>44127</v>
      </c>
      <c r="C498" s="1" t="n">
        <v>45582</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56203-2020</t>
        </is>
      </c>
      <c r="B499" s="1" t="n">
        <v>44133</v>
      </c>
      <c r="C499" s="1" t="n">
        <v>45582</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56596-2020</t>
        </is>
      </c>
      <c r="B500" s="1" t="n">
        <v>44133</v>
      </c>
      <c r="C500" s="1" t="n">
        <v>45582</v>
      </c>
      <c r="D500" t="inlineStr">
        <is>
          <t>JÄMTLANDS LÄN</t>
        </is>
      </c>
      <c r="E500" t="inlineStr">
        <is>
          <t>KROKOM</t>
        </is>
      </c>
      <c r="G500" t="n">
        <v>7.2</v>
      </c>
      <c r="H500" t="n">
        <v>0</v>
      </c>
      <c r="I500" t="n">
        <v>0</v>
      </c>
      <c r="J500" t="n">
        <v>0</v>
      </c>
      <c r="K500" t="n">
        <v>0</v>
      </c>
      <c r="L500" t="n">
        <v>0</v>
      </c>
      <c r="M500" t="n">
        <v>0</v>
      </c>
      <c r="N500" t="n">
        <v>0</v>
      </c>
      <c r="O500" t="n">
        <v>0</v>
      </c>
      <c r="P500" t="n">
        <v>0</v>
      </c>
      <c r="Q500" t="n">
        <v>0</v>
      </c>
      <c r="R500" s="2" t="inlineStr"/>
    </row>
    <row r="501" ht="15" customHeight="1">
      <c r="A501" t="inlineStr">
        <is>
          <t>A 56168-2020</t>
        </is>
      </c>
      <c r="B501" s="1" t="n">
        <v>44133</v>
      </c>
      <c r="C501" s="1" t="n">
        <v>45582</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57375-2020</t>
        </is>
      </c>
      <c r="B502" s="1" t="n">
        <v>44139</v>
      </c>
      <c r="C502" s="1" t="n">
        <v>45582</v>
      </c>
      <c r="D502" t="inlineStr">
        <is>
          <t>JÄMTLANDS LÄN</t>
        </is>
      </c>
      <c r="E502" t="inlineStr">
        <is>
          <t>KROKOM</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57726-2020</t>
        </is>
      </c>
      <c r="B503" s="1" t="n">
        <v>44140</v>
      </c>
      <c r="C503" s="1" t="n">
        <v>45582</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57728-2020</t>
        </is>
      </c>
      <c r="B504" s="1" t="n">
        <v>44140</v>
      </c>
      <c r="C504" s="1" t="n">
        <v>45582</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58378-2020</t>
        </is>
      </c>
      <c r="B505" s="1" t="n">
        <v>44141</v>
      </c>
      <c r="C505" s="1" t="n">
        <v>45582</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58569-2020</t>
        </is>
      </c>
      <c r="B506" s="1" t="n">
        <v>44141</v>
      </c>
      <c r="C506" s="1" t="n">
        <v>45582</v>
      </c>
      <c r="D506" t="inlineStr">
        <is>
          <t>JÄMTLANDS LÄN</t>
        </is>
      </c>
      <c r="E506" t="inlineStr">
        <is>
          <t>KROKOM</t>
        </is>
      </c>
      <c r="G506" t="n">
        <v>52.8</v>
      </c>
      <c r="H506" t="n">
        <v>0</v>
      </c>
      <c r="I506" t="n">
        <v>0</v>
      </c>
      <c r="J506" t="n">
        <v>0</v>
      </c>
      <c r="K506" t="n">
        <v>0</v>
      </c>
      <c r="L506" t="n">
        <v>0</v>
      </c>
      <c r="M506" t="n">
        <v>0</v>
      </c>
      <c r="N506" t="n">
        <v>0</v>
      </c>
      <c r="O506" t="n">
        <v>0</v>
      </c>
      <c r="P506" t="n">
        <v>0</v>
      </c>
      <c r="Q506" t="n">
        <v>0</v>
      </c>
      <c r="R506" s="2" t="inlineStr"/>
    </row>
    <row r="507" ht="15" customHeight="1">
      <c r="A507" t="inlineStr">
        <is>
          <t>A 58868-2020</t>
        </is>
      </c>
      <c r="B507" s="1" t="n">
        <v>44146</v>
      </c>
      <c r="C507" s="1" t="n">
        <v>45582</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59778-2020</t>
        </is>
      </c>
      <c r="B508" s="1" t="n">
        <v>44148</v>
      </c>
      <c r="C508" s="1" t="n">
        <v>45582</v>
      </c>
      <c r="D508" t="inlineStr">
        <is>
          <t>JÄMTLANDS LÄN</t>
        </is>
      </c>
      <c r="E508" t="inlineStr">
        <is>
          <t>KROKOM</t>
        </is>
      </c>
      <c r="G508" t="n">
        <v>39.3</v>
      </c>
      <c r="H508" t="n">
        <v>0</v>
      </c>
      <c r="I508" t="n">
        <v>0</v>
      </c>
      <c r="J508" t="n">
        <v>0</v>
      </c>
      <c r="K508" t="n">
        <v>0</v>
      </c>
      <c r="L508" t="n">
        <v>0</v>
      </c>
      <c r="M508" t="n">
        <v>0</v>
      </c>
      <c r="N508" t="n">
        <v>0</v>
      </c>
      <c r="O508" t="n">
        <v>0</v>
      </c>
      <c r="P508" t="n">
        <v>0</v>
      </c>
      <c r="Q508" t="n">
        <v>0</v>
      </c>
      <c r="R508" s="2" t="inlineStr"/>
    </row>
    <row r="509" ht="15" customHeight="1">
      <c r="A509" t="inlineStr">
        <is>
          <t>A 59718-2020</t>
        </is>
      </c>
      <c r="B509" s="1" t="n">
        <v>44151</v>
      </c>
      <c r="C509" s="1" t="n">
        <v>45582</v>
      </c>
      <c r="D509" t="inlineStr">
        <is>
          <t>JÄMTLANDS LÄN</t>
        </is>
      </c>
      <c r="E509" t="inlineStr">
        <is>
          <t>KROKOM</t>
        </is>
      </c>
      <c r="G509" t="n">
        <v>3.7</v>
      </c>
      <c r="H509" t="n">
        <v>0</v>
      </c>
      <c r="I509" t="n">
        <v>0</v>
      </c>
      <c r="J509" t="n">
        <v>0</v>
      </c>
      <c r="K509" t="n">
        <v>0</v>
      </c>
      <c r="L509" t="n">
        <v>0</v>
      </c>
      <c r="M509" t="n">
        <v>0</v>
      </c>
      <c r="N509" t="n">
        <v>0</v>
      </c>
      <c r="O509" t="n">
        <v>0</v>
      </c>
      <c r="P509" t="n">
        <v>0</v>
      </c>
      <c r="Q509" t="n">
        <v>0</v>
      </c>
      <c r="R509" s="2" t="inlineStr"/>
    </row>
    <row r="510" ht="15" customHeight="1">
      <c r="A510" t="inlineStr">
        <is>
          <t>A 59706-2020</t>
        </is>
      </c>
      <c r="B510" s="1" t="n">
        <v>44151</v>
      </c>
      <c r="C510" s="1" t="n">
        <v>45582</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61091-2020</t>
        </is>
      </c>
      <c r="B511" s="1" t="n">
        <v>44153</v>
      </c>
      <c r="C511" s="1" t="n">
        <v>45582</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61609-2020</t>
        </is>
      </c>
      <c r="B512" s="1" t="n">
        <v>44154</v>
      </c>
      <c r="C512" s="1" t="n">
        <v>45582</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60928-2020</t>
        </is>
      </c>
      <c r="B513" s="1" t="n">
        <v>44154</v>
      </c>
      <c r="C513" s="1" t="n">
        <v>45582</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62406-2020</t>
        </is>
      </c>
      <c r="B514" s="1" t="n">
        <v>44159</v>
      </c>
      <c r="C514" s="1" t="n">
        <v>45582</v>
      </c>
      <c r="D514" t="inlineStr">
        <is>
          <t>JÄMTLANDS LÄN</t>
        </is>
      </c>
      <c r="E514" t="inlineStr">
        <is>
          <t>KROKOM</t>
        </is>
      </c>
      <c r="G514" t="n">
        <v>4</v>
      </c>
      <c r="H514" t="n">
        <v>0</v>
      </c>
      <c r="I514" t="n">
        <v>0</v>
      </c>
      <c r="J514" t="n">
        <v>0</v>
      </c>
      <c r="K514" t="n">
        <v>0</v>
      </c>
      <c r="L514" t="n">
        <v>0</v>
      </c>
      <c r="M514" t="n">
        <v>0</v>
      </c>
      <c r="N514" t="n">
        <v>0</v>
      </c>
      <c r="O514" t="n">
        <v>0</v>
      </c>
      <c r="P514" t="n">
        <v>0</v>
      </c>
      <c r="Q514" t="n">
        <v>0</v>
      </c>
      <c r="R514" s="2" t="inlineStr"/>
    </row>
    <row r="515" ht="15" customHeight="1">
      <c r="A515" t="inlineStr">
        <is>
          <t>A 63821-2020</t>
        </is>
      </c>
      <c r="B515" s="1" t="n">
        <v>44161</v>
      </c>
      <c r="C515" s="1" t="n">
        <v>45582</v>
      </c>
      <c r="D515" t="inlineStr">
        <is>
          <t>JÄMTLANDS LÄN</t>
        </is>
      </c>
      <c r="E515" t="inlineStr">
        <is>
          <t>KROKOM</t>
        </is>
      </c>
      <c r="G515" t="n">
        <v>6.8</v>
      </c>
      <c r="H515" t="n">
        <v>0</v>
      </c>
      <c r="I515" t="n">
        <v>0</v>
      </c>
      <c r="J515" t="n">
        <v>0</v>
      </c>
      <c r="K515" t="n">
        <v>0</v>
      </c>
      <c r="L515" t="n">
        <v>0</v>
      </c>
      <c r="M515" t="n">
        <v>0</v>
      </c>
      <c r="N515" t="n">
        <v>0</v>
      </c>
      <c r="O515" t="n">
        <v>0</v>
      </c>
      <c r="P515" t="n">
        <v>0</v>
      </c>
      <c r="Q515" t="n">
        <v>0</v>
      </c>
      <c r="R515" s="2" t="inlineStr"/>
    </row>
    <row r="516" ht="15" customHeight="1">
      <c r="A516" t="inlineStr">
        <is>
          <t>A 63701-2020</t>
        </is>
      </c>
      <c r="B516" s="1" t="n">
        <v>44162</v>
      </c>
      <c r="C516" s="1" t="n">
        <v>45582</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63787-2020</t>
        </is>
      </c>
      <c r="B517" s="1" t="n">
        <v>44162</v>
      </c>
      <c r="C517" s="1" t="n">
        <v>45582</v>
      </c>
      <c r="D517" t="inlineStr">
        <is>
          <t>JÄMTLANDS LÄN</t>
        </is>
      </c>
      <c r="E517" t="inlineStr">
        <is>
          <t>KROKOM</t>
        </is>
      </c>
      <c r="G517" t="n">
        <v>60.3</v>
      </c>
      <c r="H517" t="n">
        <v>0</v>
      </c>
      <c r="I517" t="n">
        <v>0</v>
      </c>
      <c r="J517" t="n">
        <v>0</v>
      </c>
      <c r="K517" t="n">
        <v>0</v>
      </c>
      <c r="L517" t="n">
        <v>0</v>
      </c>
      <c r="M517" t="n">
        <v>0</v>
      </c>
      <c r="N517" t="n">
        <v>0</v>
      </c>
      <c r="O517" t="n">
        <v>0</v>
      </c>
      <c r="P517" t="n">
        <v>0</v>
      </c>
      <c r="Q517" t="n">
        <v>0</v>
      </c>
      <c r="R517" s="2" t="inlineStr"/>
    </row>
    <row r="518" ht="15" customHeight="1">
      <c r="A518" t="inlineStr">
        <is>
          <t>A 64777-2020</t>
        </is>
      </c>
      <c r="B518" s="1" t="n">
        <v>44167</v>
      </c>
      <c r="C518" s="1" t="n">
        <v>45582</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65433-2020</t>
        </is>
      </c>
      <c r="B519" s="1" t="n">
        <v>44169</v>
      </c>
      <c r="C519" s="1" t="n">
        <v>45582</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65451-2020</t>
        </is>
      </c>
      <c r="B520" s="1" t="n">
        <v>44169</v>
      </c>
      <c r="C520" s="1" t="n">
        <v>45582</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65787-2020</t>
        </is>
      </c>
      <c r="B521" s="1" t="n">
        <v>44172</v>
      </c>
      <c r="C521" s="1" t="n">
        <v>45582</v>
      </c>
      <c r="D521" t="inlineStr">
        <is>
          <t>JÄMTLANDS LÄN</t>
        </is>
      </c>
      <c r="E521" t="inlineStr">
        <is>
          <t>KROKOM</t>
        </is>
      </c>
      <c r="G521" t="n">
        <v>5.8</v>
      </c>
      <c r="H521" t="n">
        <v>0</v>
      </c>
      <c r="I521" t="n">
        <v>0</v>
      </c>
      <c r="J521" t="n">
        <v>0</v>
      </c>
      <c r="K521" t="n">
        <v>0</v>
      </c>
      <c r="L521" t="n">
        <v>0</v>
      </c>
      <c r="M521" t="n">
        <v>0</v>
      </c>
      <c r="N521" t="n">
        <v>0</v>
      </c>
      <c r="O521" t="n">
        <v>0</v>
      </c>
      <c r="P521" t="n">
        <v>0</v>
      </c>
      <c r="Q521" t="n">
        <v>0</v>
      </c>
      <c r="R521" s="2" t="inlineStr"/>
    </row>
    <row r="522" ht="15" customHeight="1">
      <c r="A522" t="inlineStr">
        <is>
          <t>A 65783-2020</t>
        </is>
      </c>
      <c r="B522" s="1" t="n">
        <v>44172</v>
      </c>
      <c r="C522" s="1" t="n">
        <v>45582</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65316-2020</t>
        </is>
      </c>
      <c r="B523" s="1" t="n">
        <v>44173</v>
      </c>
      <c r="C523" s="1" t="n">
        <v>45582</v>
      </c>
      <c r="D523" t="inlineStr">
        <is>
          <t>JÄMTLANDS LÄN</t>
        </is>
      </c>
      <c r="E523" t="inlineStr">
        <is>
          <t>KROKOM</t>
        </is>
      </c>
      <c r="F523" t="inlineStr">
        <is>
          <t>Övriga Aktiebolag</t>
        </is>
      </c>
      <c r="G523" t="n">
        <v>12.5</v>
      </c>
      <c r="H523" t="n">
        <v>0</v>
      </c>
      <c r="I523" t="n">
        <v>0</v>
      </c>
      <c r="J523" t="n">
        <v>0</v>
      </c>
      <c r="K523" t="n">
        <v>0</v>
      </c>
      <c r="L523" t="n">
        <v>0</v>
      </c>
      <c r="M523" t="n">
        <v>0</v>
      </c>
      <c r="N523" t="n">
        <v>0</v>
      </c>
      <c r="O523" t="n">
        <v>0</v>
      </c>
      <c r="P523" t="n">
        <v>0</v>
      </c>
      <c r="Q523" t="n">
        <v>0</v>
      </c>
      <c r="R523" s="2" t="inlineStr"/>
    </row>
    <row r="524" ht="15" customHeight="1">
      <c r="A524" t="inlineStr">
        <is>
          <t>A 66784-2020</t>
        </is>
      </c>
      <c r="B524" s="1" t="n">
        <v>44175</v>
      </c>
      <c r="C524" s="1" t="n">
        <v>45582</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66774-2020</t>
        </is>
      </c>
      <c r="B525" s="1" t="n">
        <v>44175</v>
      </c>
      <c r="C525" s="1" t="n">
        <v>45582</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67730-2020</t>
        </is>
      </c>
      <c r="B526" s="1" t="n">
        <v>44179</v>
      </c>
      <c r="C526" s="1" t="n">
        <v>45582</v>
      </c>
      <c r="D526" t="inlineStr">
        <is>
          <t>JÄMTLANDS LÄN</t>
        </is>
      </c>
      <c r="E526" t="inlineStr">
        <is>
          <t>KROKOM</t>
        </is>
      </c>
      <c r="G526" t="n">
        <v>7.5</v>
      </c>
      <c r="H526" t="n">
        <v>0</v>
      </c>
      <c r="I526" t="n">
        <v>0</v>
      </c>
      <c r="J526" t="n">
        <v>0</v>
      </c>
      <c r="K526" t="n">
        <v>0</v>
      </c>
      <c r="L526" t="n">
        <v>0</v>
      </c>
      <c r="M526" t="n">
        <v>0</v>
      </c>
      <c r="N526" t="n">
        <v>0</v>
      </c>
      <c r="O526" t="n">
        <v>0</v>
      </c>
      <c r="P526" t="n">
        <v>0</v>
      </c>
      <c r="Q526" t="n">
        <v>0</v>
      </c>
      <c r="R526" s="2" t="inlineStr"/>
    </row>
    <row r="527" ht="15" customHeight="1">
      <c r="A527" t="inlineStr">
        <is>
          <t>A 68060-2020</t>
        </is>
      </c>
      <c r="B527" s="1" t="n">
        <v>44183</v>
      </c>
      <c r="C527" s="1" t="n">
        <v>45582</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68387-2020</t>
        </is>
      </c>
      <c r="B528" s="1" t="n">
        <v>44183</v>
      </c>
      <c r="C528" s="1" t="n">
        <v>45582</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68393-2020</t>
        </is>
      </c>
      <c r="B529" s="1" t="n">
        <v>44183</v>
      </c>
      <c r="C529" s="1" t="n">
        <v>45582</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68433-2020</t>
        </is>
      </c>
      <c r="B530" s="1" t="n">
        <v>44183</v>
      </c>
      <c r="C530" s="1" t="n">
        <v>45582</v>
      </c>
      <c r="D530" t="inlineStr">
        <is>
          <t>JÄMTLANDS LÄN</t>
        </is>
      </c>
      <c r="E530" t="inlineStr">
        <is>
          <t>KROKOM</t>
        </is>
      </c>
      <c r="G530" t="n">
        <v>7.4</v>
      </c>
      <c r="H530" t="n">
        <v>0</v>
      </c>
      <c r="I530" t="n">
        <v>0</v>
      </c>
      <c r="J530" t="n">
        <v>0</v>
      </c>
      <c r="K530" t="n">
        <v>0</v>
      </c>
      <c r="L530" t="n">
        <v>0</v>
      </c>
      <c r="M530" t="n">
        <v>0</v>
      </c>
      <c r="N530" t="n">
        <v>0</v>
      </c>
      <c r="O530" t="n">
        <v>0</v>
      </c>
      <c r="P530" t="n">
        <v>0</v>
      </c>
      <c r="Q530" t="n">
        <v>0</v>
      </c>
      <c r="R530" s="2" t="inlineStr"/>
    </row>
    <row r="531" ht="15" customHeight="1">
      <c r="A531" t="inlineStr">
        <is>
          <t>A 68395-2020</t>
        </is>
      </c>
      <c r="B531" s="1" t="n">
        <v>44183</v>
      </c>
      <c r="C531" s="1" t="n">
        <v>45582</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68658-2020</t>
        </is>
      </c>
      <c r="B532" s="1" t="n">
        <v>44186</v>
      </c>
      <c r="C532" s="1" t="n">
        <v>45582</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68764-2020</t>
        </is>
      </c>
      <c r="B533" s="1" t="n">
        <v>44186</v>
      </c>
      <c r="C533" s="1" t="n">
        <v>45582</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69120-2020</t>
        </is>
      </c>
      <c r="B534" s="1" t="n">
        <v>44188</v>
      </c>
      <c r="C534" s="1" t="n">
        <v>45582</v>
      </c>
      <c r="D534" t="inlineStr">
        <is>
          <t>JÄMTLANDS LÄN</t>
        </is>
      </c>
      <c r="E534" t="inlineStr">
        <is>
          <t>KROKOM</t>
        </is>
      </c>
      <c r="G534" t="n">
        <v>4.1</v>
      </c>
      <c r="H534" t="n">
        <v>0</v>
      </c>
      <c r="I534" t="n">
        <v>0</v>
      </c>
      <c r="J534" t="n">
        <v>0</v>
      </c>
      <c r="K534" t="n">
        <v>0</v>
      </c>
      <c r="L534" t="n">
        <v>0</v>
      </c>
      <c r="M534" t="n">
        <v>0</v>
      </c>
      <c r="N534" t="n">
        <v>0</v>
      </c>
      <c r="O534" t="n">
        <v>0</v>
      </c>
      <c r="P534" t="n">
        <v>0</v>
      </c>
      <c r="Q534" t="n">
        <v>0</v>
      </c>
      <c r="R534" s="2" t="inlineStr"/>
    </row>
    <row r="535" ht="15" customHeight="1">
      <c r="A535" t="inlineStr">
        <is>
          <t>A 327-2021</t>
        </is>
      </c>
      <c r="B535" s="1" t="n">
        <v>44200</v>
      </c>
      <c r="C535" s="1" t="n">
        <v>45582</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688-2021</t>
        </is>
      </c>
      <c r="B536" s="1" t="n">
        <v>44203</v>
      </c>
      <c r="C536" s="1" t="n">
        <v>45582</v>
      </c>
      <c r="D536" t="inlineStr">
        <is>
          <t>JÄMTLANDS LÄN</t>
        </is>
      </c>
      <c r="E536" t="inlineStr">
        <is>
          <t>KROKOM</t>
        </is>
      </c>
      <c r="G536" t="n">
        <v>7.8</v>
      </c>
      <c r="H536" t="n">
        <v>0</v>
      </c>
      <c r="I536" t="n">
        <v>0</v>
      </c>
      <c r="J536" t="n">
        <v>0</v>
      </c>
      <c r="K536" t="n">
        <v>0</v>
      </c>
      <c r="L536" t="n">
        <v>0</v>
      </c>
      <c r="M536" t="n">
        <v>0</v>
      </c>
      <c r="N536" t="n">
        <v>0</v>
      </c>
      <c r="O536" t="n">
        <v>0</v>
      </c>
      <c r="P536" t="n">
        <v>0</v>
      </c>
      <c r="Q536" t="n">
        <v>0</v>
      </c>
      <c r="R536" s="2" t="inlineStr"/>
    </row>
    <row r="537" ht="15" customHeight="1">
      <c r="A537" t="inlineStr">
        <is>
          <t>A 884-2021</t>
        </is>
      </c>
      <c r="B537" s="1" t="n">
        <v>44206</v>
      </c>
      <c r="C537" s="1" t="n">
        <v>45582</v>
      </c>
      <c r="D537" t="inlineStr">
        <is>
          <t>JÄMTLANDS LÄN</t>
        </is>
      </c>
      <c r="E537" t="inlineStr">
        <is>
          <t>KROKOM</t>
        </is>
      </c>
      <c r="G537" t="n">
        <v>0.2</v>
      </c>
      <c r="H537" t="n">
        <v>0</v>
      </c>
      <c r="I537" t="n">
        <v>0</v>
      </c>
      <c r="J537" t="n">
        <v>0</v>
      </c>
      <c r="K537" t="n">
        <v>0</v>
      </c>
      <c r="L537" t="n">
        <v>0</v>
      </c>
      <c r="M537" t="n">
        <v>0</v>
      </c>
      <c r="N537" t="n">
        <v>0</v>
      </c>
      <c r="O537" t="n">
        <v>0</v>
      </c>
      <c r="P537" t="n">
        <v>0</v>
      </c>
      <c r="Q537" t="n">
        <v>0</v>
      </c>
      <c r="R537" s="2" t="inlineStr"/>
    </row>
    <row r="538" ht="15" customHeight="1">
      <c r="A538" t="inlineStr">
        <is>
          <t>A 913-2021</t>
        </is>
      </c>
      <c r="B538" s="1" t="n">
        <v>44207</v>
      </c>
      <c r="C538" s="1" t="n">
        <v>45582</v>
      </c>
      <c r="D538" t="inlineStr">
        <is>
          <t>JÄMTLANDS LÄN</t>
        </is>
      </c>
      <c r="E538" t="inlineStr">
        <is>
          <t>KROKOM</t>
        </is>
      </c>
      <c r="F538" t="inlineStr">
        <is>
          <t>Övriga Aktiebolag</t>
        </is>
      </c>
      <c r="G538" t="n">
        <v>50.8</v>
      </c>
      <c r="H538" t="n">
        <v>0</v>
      </c>
      <c r="I538" t="n">
        <v>0</v>
      </c>
      <c r="J538" t="n">
        <v>0</v>
      </c>
      <c r="K538" t="n">
        <v>0</v>
      </c>
      <c r="L538" t="n">
        <v>0</v>
      </c>
      <c r="M538" t="n">
        <v>0</v>
      </c>
      <c r="N538" t="n">
        <v>0</v>
      </c>
      <c r="O538" t="n">
        <v>0</v>
      </c>
      <c r="P538" t="n">
        <v>0</v>
      </c>
      <c r="Q538" t="n">
        <v>0</v>
      </c>
      <c r="R538" s="2" t="inlineStr"/>
    </row>
    <row r="539" ht="15" customHeight="1">
      <c r="A539" t="inlineStr">
        <is>
          <t>A 981-2021</t>
        </is>
      </c>
      <c r="B539" s="1" t="n">
        <v>44207</v>
      </c>
      <c r="C539" s="1" t="n">
        <v>45582</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915-2021</t>
        </is>
      </c>
      <c r="B540" s="1" t="n">
        <v>44207</v>
      </c>
      <c r="C540" s="1" t="n">
        <v>45582</v>
      </c>
      <c r="D540" t="inlineStr">
        <is>
          <t>JÄMTLANDS LÄN</t>
        </is>
      </c>
      <c r="E540" t="inlineStr">
        <is>
          <t>KROKOM</t>
        </is>
      </c>
      <c r="F540" t="inlineStr">
        <is>
          <t>Övriga Aktiebolag</t>
        </is>
      </c>
      <c r="G540" t="n">
        <v>107.9</v>
      </c>
      <c r="H540" t="n">
        <v>0</v>
      </c>
      <c r="I540" t="n">
        <v>0</v>
      </c>
      <c r="J540" t="n">
        <v>0</v>
      </c>
      <c r="K540" t="n">
        <v>0</v>
      </c>
      <c r="L540" t="n">
        <v>0</v>
      </c>
      <c r="M540" t="n">
        <v>0</v>
      </c>
      <c r="N540" t="n">
        <v>0</v>
      </c>
      <c r="O540" t="n">
        <v>0</v>
      </c>
      <c r="P540" t="n">
        <v>0</v>
      </c>
      <c r="Q540" t="n">
        <v>0</v>
      </c>
      <c r="R540" s="2" t="inlineStr"/>
    </row>
    <row r="541" ht="15" customHeight="1">
      <c r="A541" t="inlineStr">
        <is>
          <t>A 1287-2021</t>
        </is>
      </c>
      <c r="B541" s="1" t="n">
        <v>44207</v>
      </c>
      <c r="C541" s="1" t="n">
        <v>45582</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1696-2021</t>
        </is>
      </c>
      <c r="B542" s="1" t="n">
        <v>44209</v>
      </c>
      <c r="C542" s="1" t="n">
        <v>45582</v>
      </c>
      <c r="D542" t="inlineStr">
        <is>
          <t>JÄMTLANDS LÄN</t>
        </is>
      </c>
      <c r="E542" t="inlineStr">
        <is>
          <t>KROKOM</t>
        </is>
      </c>
      <c r="G542" t="n">
        <v>3.1</v>
      </c>
      <c r="H542" t="n">
        <v>0</v>
      </c>
      <c r="I542" t="n">
        <v>0</v>
      </c>
      <c r="J542" t="n">
        <v>0</v>
      </c>
      <c r="K542" t="n">
        <v>0</v>
      </c>
      <c r="L542" t="n">
        <v>0</v>
      </c>
      <c r="M542" t="n">
        <v>0</v>
      </c>
      <c r="N542" t="n">
        <v>0</v>
      </c>
      <c r="O542" t="n">
        <v>0</v>
      </c>
      <c r="P542" t="n">
        <v>0</v>
      </c>
      <c r="Q542" t="n">
        <v>0</v>
      </c>
      <c r="R542" s="2" t="inlineStr"/>
    </row>
    <row r="543" ht="15" customHeight="1">
      <c r="A543" t="inlineStr">
        <is>
          <t>A 1718-2021</t>
        </is>
      </c>
      <c r="B543" s="1" t="n">
        <v>44209</v>
      </c>
      <c r="C543" s="1" t="n">
        <v>45582</v>
      </c>
      <c r="D543" t="inlineStr">
        <is>
          <t>JÄMTLANDS LÄN</t>
        </is>
      </c>
      <c r="E543" t="inlineStr">
        <is>
          <t>KROKOM</t>
        </is>
      </c>
      <c r="G543" t="n">
        <v>8</v>
      </c>
      <c r="H543" t="n">
        <v>0</v>
      </c>
      <c r="I543" t="n">
        <v>0</v>
      </c>
      <c r="J543" t="n">
        <v>0</v>
      </c>
      <c r="K543" t="n">
        <v>0</v>
      </c>
      <c r="L543" t="n">
        <v>0</v>
      </c>
      <c r="M543" t="n">
        <v>0</v>
      </c>
      <c r="N543" t="n">
        <v>0</v>
      </c>
      <c r="O543" t="n">
        <v>0</v>
      </c>
      <c r="P543" t="n">
        <v>0</v>
      </c>
      <c r="Q543" t="n">
        <v>0</v>
      </c>
      <c r="R543" s="2" t="inlineStr"/>
    </row>
    <row r="544" ht="15" customHeight="1">
      <c r="A544" t="inlineStr">
        <is>
          <t>A 1753-2021</t>
        </is>
      </c>
      <c r="B544" s="1" t="n">
        <v>44209</v>
      </c>
      <c r="C544" s="1" t="n">
        <v>45582</v>
      </c>
      <c r="D544" t="inlineStr">
        <is>
          <t>JÄMTLANDS LÄN</t>
        </is>
      </c>
      <c r="E544" t="inlineStr">
        <is>
          <t>KROKOM</t>
        </is>
      </c>
      <c r="G544" t="n">
        <v>17.2</v>
      </c>
      <c r="H544" t="n">
        <v>0</v>
      </c>
      <c r="I544" t="n">
        <v>0</v>
      </c>
      <c r="J544" t="n">
        <v>0</v>
      </c>
      <c r="K544" t="n">
        <v>0</v>
      </c>
      <c r="L544" t="n">
        <v>0</v>
      </c>
      <c r="M544" t="n">
        <v>0</v>
      </c>
      <c r="N544" t="n">
        <v>0</v>
      </c>
      <c r="O544" t="n">
        <v>0</v>
      </c>
      <c r="P544" t="n">
        <v>0</v>
      </c>
      <c r="Q544" t="n">
        <v>0</v>
      </c>
      <c r="R544" s="2" t="inlineStr"/>
    </row>
    <row r="545" ht="15" customHeight="1">
      <c r="A545" t="inlineStr">
        <is>
          <t>A 1756-2021</t>
        </is>
      </c>
      <c r="B545" s="1" t="n">
        <v>44209</v>
      </c>
      <c r="C545" s="1" t="n">
        <v>45582</v>
      </c>
      <c r="D545" t="inlineStr">
        <is>
          <t>JÄMTLANDS LÄN</t>
        </is>
      </c>
      <c r="E545" t="inlineStr">
        <is>
          <t>KROKOM</t>
        </is>
      </c>
      <c r="G545" t="n">
        <v>7.4</v>
      </c>
      <c r="H545" t="n">
        <v>0</v>
      </c>
      <c r="I545" t="n">
        <v>0</v>
      </c>
      <c r="J545" t="n">
        <v>0</v>
      </c>
      <c r="K545" t="n">
        <v>0</v>
      </c>
      <c r="L545" t="n">
        <v>0</v>
      </c>
      <c r="M545" t="n">
        <v>0</v>
      </c>
      <c r="N545" t="n">
        <v>0</v>
      </c>
      <c r="O545" t="n">
        <v>0</v>
      </c>
      <c r="P545" t="n">
        <v>0</v>
      </c>
      <c r="Q545" t="n">
        <v>0</v>
      </c>
      <c r="R545" s="2" t="inlineStr"/>
    </row>
    <row r="546" ht="15" customHeight="1">
      <c r="A546" t="inlineStr">
        <is>
          <t>A 2062-2021</t>
        </is>
      </c>
      <c r="B546" s="1" t="n">
        <v>44211</v>
      </c>
      <c r="C546" s="1" t="n">
        <v>45582</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2356-2021</t>
        </is>
      </c>
      <c r="B547" s="1" t="n">
        <v>44214</v>
      </c>
      <c r="C547" s="1" t="n">
        <v>45582</v>
      </c>
      <c r="D547" t="inlineStr">
        <is>
          <t>JÄMTLANDS LÄN</t>
        </is>
      </c>
      <c r="E547" t="inlineStr">
        <is>
          <t>KROKOM</t>
        </is>
      </c>
      <c r="G547" t="n">
        <v>22.6</v>
      </c>
      <c r="H547" t="n">
        <v>0</v>
      </c>
      <c r="I547" t="n">
        <v>0</v>
      </c>
      <c r="J547" t="n">
        <v>0</v>
      </c>
      <c r="K547" t="n">
        <v>0</v>
      </c>
      <c r="L547" t="n">
        <v>0</v>
      </c>
      <c r="M547" t="n">
        <v>0</v>
      </c>
      <c r="N547" t="n">
        <v>0</v>
      </c>
      <c r="O547" t="n">
        <v>0</v>
      </c>
      <c r="P547" t="n">
        <v>0</v>
      </c>
      <c r="Q547" t="n">
        <v>0</v>
      </c>
      <c r="R547" s="2" t="inlineStr"/>
    </row>
    <row r="548" ht="15" customHeight="1">
      <c r="A548" t="inlineStr">
        <is>
          <t>A 2410-2021</t>
        </is>
      </c>
      <c r="B548" s="1" t="n">
        <v>44214</v>
      </c>
      <c r="C548" s="1" t="n">
        <v>45582</v>
      </c>
      <c r="D548" t="inlineStr">
        <is>
          <t>JÄMTLANDS LÄN</t>
        </is>
      </c>
      <c r="E548" t="inlineStr">
        <is>
          <t>KROKOM</t>
        </is>
      </c>
      <c r="G548" t="n">
        <v>32.7</v>
      </c>
      <c r="H548" t="n">
        <v>0</v>
      </c>
      <c r="I548" t="n">
        <v>0</v>
      </c>
      <c r="J548" t="n">
        <v>0</v>
      </c>
      <c r="K548" t="n">
        <v>0</v>
      </c>
      <c r="L548" t="n">
        <v>0</v>
      </c>
      <c r="M548" t="n">
        <v>0</v>
      </c>
      <c r="N548" t="n">
        <v>0</v>
      </c>
      <c r="O548" t="n">
        <v>0</v>
      </c>
      <c r="P548" t="n">
        <v>0</v>
      </c>
      <c r="Q548" t="n">
        <v>0</v>
      </c>
      <c r="R548" s="2" t="inlineStr"/>
    </row>
    <row r="549" ht="15" customHeight="1">
      <c r="A549" t="inlineStr">
        <is>
          <t>A 2427-2021</t>
        </is>
      </c>
      <c r="B549" s="1" t="n">
        <v>44214</v>
      </c>
      <c r="C549" s="1" t="n">
        <v>45582</v>
      </c>
      <c r="D549" t="inlineStr">
        <is>
          <t>JÄMTLANDS LÄN</t>
        </is>
      </c>
      <c r="E549" t="inlineStr">
        <is>
          <t>KROKOM</t>
        </is>
      </c>
      <c r="G549" t="n">
        <v>20.5</v>
      </c>
      <c r="H549" t="n">
        <v>0</v>
      </c>
      <c r="I549" t="n">
        <v>0</v>
      </c>
      <c r="J549" t="n">
        <v>0</v>
      </c>
      <c r="K549" t="n">
        <v>0</v>
      </c>
      <c r="L549" t="n">
        <v>0</v>
      </c>
      <c r="M549" t="n">
        <v>0</v>
      </c>
      <c r="N549" t="n">
        <v>0</v>
      </c>
      <c r="O549" t="n">
        <v>0</v>
      </c>
      <c r="P549" t="n">
        <v>0</v>
      </c>
      <c r="Q549" t="n">
        <v>0</v>
      </c>
      <c r="R549" s="2" t="inlineStr"/>
    </row>
    <row r="550" ht="15" customHeight="1">
      <c r="A550" t="inlineStr">
        <is>
          <t>A 2442-2021</t>
        </is>
      </c>
      <c r="B550" s="1" t="n">
        <v>44214</v>
      </c>
      <c r="C550" s="1" t="n">
        <v>45582</v>
      </c>
      <c r="D550" t="inlineStr">
        <is>
          <t>JÄMTLANDS LÄN</t>
        </is>
      </c>
      <c r="E550" t="inlineStr">
        <is>
          <t>KROKOM</t>
        </is>
      </c>
      <c r="G550" t="n">
        <v>25.4</v>
      </c>
      <c r="H550" t="n">
        <v>0</v>
      </c>
      <c r="I550" t="n">
        <v>0</v>
      </c>
      <c r="J550" t="n">
        <v>0</v>
      </c>
      <c r="K550" t="n">
        <v>0</v>
      </c>
      <c r="L550" t="n">
        <v>0</v>
      </c>
      <c r="M550" t="n">
        <v>0</v>
      </c>
      <c r="N550" t="n">
        <v>0</v>
      </c>
      <c r="O550" t="n">
        <v>0</v>
      </c>
      <c r="P550" t="n">
        <v>0</v>
      </c>
      <c r="Q550" t="n">
        <v>0</v>
      </c>
      <c r="R550" s="2" t="inlineStr"/>
    </row>
    <row r="551" ht="15" customHeight="1">
      <c r="A551" t="inlineStr">
        <is>
          <t>A 2451-2021</t>
        </is>
      </c>
      <c r="B551" s="1" t="n">
        <v>44214</v>
      </c>
      <c r="C551" s="1" t="n">
        <v>45582</v>
      </c>
      <c r="D551" t="inlineStr">
        <is>
          <t>JÄMTLANDS LÄN</t>
        </is>
      </c>
      <c r="E551" t="inlineStr">
        <is>
          <t>KROKOM</t>
        </is>
      </c>
      <c r="G551" t="n">
        <v>29.5</v>
      </c>
      <c r="H551" t="n">
        <v>0</v>
      </c>
      <c r="I551" t="n">
        <v>0</v>
      </c>
      <c r="J551" t="n">
        <v>0</v>
      </c>
      <c r="K551" t="n">
        <v>0</v>
      </c>
      <c r="L551" t="n">
        <v>0</v>
      </c>
      <c r="M551" t="n">
        <v>0</v>
      </c>
      <c r="N551" t="n">
        <v>0</v>
      </c>
      <c r="O551" t="n">
        <v>0</v>
      </c>
      <c r="P551" t="n">
        <v>0</v>
      </c>
      <c r="Q551" t="n">
        <v>0</v>
      </c>
      <c r="R551" s="2" t="inlineStr"/>
    </row>
    <row r="552" ht="15" customHeight="1">
      <c r="A552" t="inlineStr">
        <is>
          <t>A 2568-2021</t>
        </is>
      </c>
      <c r="B552" s="1" t="n">
        <v>44214</v>
      </c>
      <c r="C552" s="1" t="n">
        <v>45582</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5422-2021</t>
        </is>
      </c>
      <c r="B553" s="1" t="n">
        <v>44228</v>
      </c>
      <c r="C553" s="1" t="n">
        <v>45582</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8154-2021</t>
        </is>
      </c>
      <c r="B554" s="1" t="n">
        <v>44243</v>
      </c>
      <c r="C554" s="1" t="n">
        <v>45582</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8302-2021</t>
        </is>
      </c>
      <c r="B555" s="1" t="n">
        <v>44244</v>
      </c>
      <c r="C555" s="1" t="n">
        <v>45582</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10008-2021</t>
        </is>
      </c>
      <c r="B556" s="1" t="n">
        <v>44255</v>
      </c>
      <c r="C556" s="1" t="n">
        <v>45582</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10303-2021</t>
        </is>
      </c>
      <c r="B557" s="1" t="n">
        <v>44256</v>
      </c>
      <c r="C557" s="1" t="n">
        <v>45582</v>
      </c>
      <c r="D557" t="inlineStr">
        <is>
          <t>JÄMTLANDS LÄN</t>
        </is>
      </c>
      <c r="E557" t="inlineStr">
        <is>
          <t>KROKOM</t>
        </is>
      </c>
      <c r="G557" t="n">
        <v>1.1</v>
      </c>
      <c r="H557" t="n">
        <v>0</v>
      </c>
      <c r="I557" t="n">
        <v>0</v>
      </c>
      <c r="J557" t="n">
        <v>0</v>
      </c>
      <c r="K557" t="n">
        <v>0</v>
      </c>
      <c r="L557" t="n">
        <v>0</v>
      </c>
      <c r="M557" t="n">
        <v>0</v>
      </c>
      <c r="N557" t="n">
        <v>0</v>
      </c>
      <c r="O557" t="n">
        <v>0</v>
      </c>
      <c r="P557" t="n">
        <v>0</v>
      </c>
      <c r="Q557" t="n">
        <v>0</v>
      </c>
      <c r="R557" s="2" t="inlineStr"/>
    </row>
    <row r="558" ht="15" customHeight="1">
      <c r="A558" t="inlineStr">
        <is>
          <t>A 11117-2021</t>
        </is>
      </c>
      <c r="B558" s="1" t="n">
        <v>44260</v>
      </c>
      <c r="C558" s="1" t="n">
        <v>45582</v>
      </c>
      <c r="D558" t="inlineStr">
        <is>
          <t>JÄMTLANDS LÄN</t>
        </is>
      </c>
      <c r="E558" t="inlineStr">
        <is>
          <t>KROKOM</t>
        </is>
      </c>
      <c r="G558" t="n">
        <v>8</v>
      </c>
      <c r="H558" t="n">
        <v>0</v>
      </c>
      <c r="I558" t="n">
        <v>0</v>
      </c>
      <c r="J558" t="n">
        <v>0</v>
      </c>
      <c r="K558" t="n">
        <v>0</v>
      </c>
      <c r="L558" t="n">
        <v>0</v>
      </c>
      <c r="M558" t="n">
        <v>0</v>
      </c>
      <c r="N558" t="n">
        <v>0</v>
      </c>
      <c r="O558" t="n">
        <v>0</v>
      </c>
      <c r="P558" t="n">
        <v>0</v>
      </c>
      <c r="Q558" t="n">
        <v>0</v>
      </c>
      <c r="R558" s="2" t="inlineStr"/>
    </row>
    <row r="559" ht="15" customHeight="1">
      <c r="A559" t="inlineStr">
        <is>
          <t>A 11530-2021</t>
        </is>
      </c>
      <c r="B559" s="1" t="n">
        <v>44263</v>
      </c>
      <c r="C559" s="1" t="n">
        <v>45582</v>
      </c>
      <c r="D559" t="inlineStr">
        <is>
          <t>JÄMTLANDS LÄN</t>
        </is>
      </c>
      <c r="E559" t="inlineStr">
        <is>
          <t>KROKOM</t>
        </is>
      </c>
      <c r="G559" t="n">
        <v>9</v>
      </c>
      <c r="H559" t="n">
        <v>0</v>
      </c>
      <c r="I559" t="n">
        <v>0</v>
      </c>
      <c r="J559" t="n">
        <v>0</v>
      </c>
      <c r="K559" t="n">
        <v>0</v>
      </c>
      <c r="L559" t="n">
        <v>0</v>
      </c>
      <c r="M559" t="n">
        <v>0</v>
      </c>
      <c r="N559" t="n">
        <v>0</v>
      </c>
      <c r="O559" t="n">
        <v>0</v>
      </c>
      <c r="P559" t="n">
        <v>0</v>
      </c>
      <c r="Q559" t="n">
        <v>0</v>
      </c>
      <c r="R559" s="2" t="inlineStr"/>
    </row>
    <row r="560" ht="15" customHeight="1">
      <c r="A560" t="inlineStr">
        <is>
          <t>A 12721-2021</t>
        </is>
      </c>
      <c r="B560" s="1" t="n">
        <v>44270</v>
      </c>
      <c r="C560" s="1" t="n">
        <v>45582</v>
      </c>
      <c r="D560" t="inlineStr">
        <is>
          <t>JÄMTLANDS LÄN</t>
        </is>
      </c>
      <c r="E560" t="inlineStr">
        <is>
          <t>KROKOM</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12884-2021</t>
        </is>
      </c>
      <c r="B561" s="1" t="n">
        <v>44271</v>
      </c>
      <c r="C561" s="1" t="n">
        <v>45582</v>
      </c>
      <c r="D561" t="inlineStr">
        <is>
          <t>JÄMTLANDS LÄN</t>
        </is>
      </c>
      <c r="E561" t="inlineStr">
        <is>
          <t>KROKOM</t>
        </is>
      </c>
      <c r="G561" t="n">
        <v>5.5</v>
      </c>
      <c r="H561" t="n">
        <v>0</v>
      </c>
      <c r="I561" t="n">
        <v>0</v>
      </c>
      <c r="J561" t="n">
        <v>0</v>
      </c>
      <c r="K561" t="n">
        <v>0</v>
      </c>
      <c r="L561" t="n">
        <v>0</v>
      </c>
      <c r="M561" t="n">
        <v>0</v>
      </c>
      <c r="N561" t="n">
        <v>0</v>
      </c>
      <c r="O561" t="n">
        <v>0</v>
      </c>
      <c r="P561" t="n">
        <v>0</v>
      </c>
      <c r="Q561" t="n">
        <v>0</v>
      </c>
      <c r="R561" s="2" t="inlineStr"/>
    </row>
    <row r="562" ht="15" customHeight="1">
      <c r="A562" t="inlineStr">
        <is>
          <t>A 12889-2021</t>
        </is>
      </c>
      <c r="B562" s="1" t="n">
        <v>44271</v>
      </c>
      <c r="C562" s="1" t="n">
        <v>45582</v>
      </c>
      <c r="D562" t="inlineStr">
        <is>
          <t>JÄMTLANDS LÄN</t>
        </is>
      </c>
      <c r="E562" t="inlineStr">
        <is>
          <t>KROKOM</t>
        </is>
      </c>
      <c r="G562" t="n">
        <v>0.3</v>
      </c>
      <c r="H562" t="n">
        <v>0</v>
      </c>
      <c r="I562" t="n">
        <v>0</v>
      </c>
      <c r="J562" t="n">
        <v>0</v>
      </c>
      <c r="K562" t="n">
        <v>0</v>
      </c>
      <c r="L562" t="n">
        <v>0</v>
      </c>
      <c r="M562" t="n">
        <v>0</v>
      </c>
      <c r="N562" t="n">
        <v>0</v>
      </c>
      <c r="O562" t="n">
        <v>0</v>
      </c>
      <c r="P562" t="n">
        <v>0</v>
      </c>
      <c r="Q562" t="n">
        <v>0</v>
      </c>
      <c r="R562" s="2" t="inlineStr"/>
    </row>
    <row r="563" ht="15" customHeight="1">
      <c r="A563" t="inlineStr">
        <is>
          <t>A 13395-2021</t>
        </is>
      </c>
      <c r="B563" s="1" t="n">
        <v>44273</v>
      </c>
      <c r="C563" s="1" t="n">
        <v>45582</v>
      </c>
      <c r="D563" t="inlineStr">
        <is>
          <t>JÄMTLANDS LÄN</t>
        </is>
      </c>
      <c r="E563" t="inlineStr">
        <is>
          <t>KROKOM</t>
        </is>
      </c>
      <c r="G563" t="n">
        <v>13.7</v>
      </c>
      <c r="H563" t="n">
        <v>0</v>
      </c>
      <c r="I563" t="n">
        <v>0</v>
      </c>
      <c r="J563" t="n">
        <v>0</v>
      </c>
      <c r="K563" t="n">
        <v>0</v>
      </c>
      <c r="L563" t="n">
        <v>0</v>
      </c>
      <c r="M563" t="n">
        <v>0</v>
      </c>
      <c r="N563" t="n">
        <v>0</v>
      </c>
      <c r="O563" t="n">
        <v>0</v>
      </c>
      <c r="P563" t="n">
        <v>0</v>
      </c>
      <c r="Q563" t="n">
        <v>0</v>
      </c>
      <c r="R563" s="2" t="inlineStr"/>
    </row>
    <row r="564" ht="15" customHeight="1">
      <c r="A564" t="inlineStr">
        <is>
          <t>A 13989-2021</t>
        </is>
      </c>
      <c r="B564" s="1" t="n">
        <v>44277</v>
      </c>
      <c r="C564" s="1" t="n">
        <v>45582</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14167-2021</t>
        </is>
      </c>
      <c r="B565" s="1" t="n">
        <v>44278</v>
      </c>
      <c r="C565" s="1" t="n">
        <v>45582</v>
      </c>
      <c r="D565" t="inlineStr">
        <is>
          <t>JÄMTLANDS LÄN</t>
        </is>
      </c>
      <c r="E565" t="inlineStr">
        <is>
          <t>KROKOM</t>
        </is>
      </c>
      <c r="G565" t="n">
        <v>5.4</v>
      </c>
      <c r="H565" t="n">
        <v>0</v>
      </c>
      <c r="I565" t="n">
        <v>0</v>
      </c>
      <c r="J565" t="n">
        <v>0</v>
      </c>
      <c r="K565" t="n">
        <v>0</v>
      </c>
      <c r="L565" t="n">
        <v>0</v>
      </c>
      <c r="M565" t="n">
        <v>0</v>
      </c>
      <c r="N565" t="n">
        <v>0</v>
      </c>
      <c r="O565" t="n">
        <v>0</v>
      </c>
      <c r="P565" t="n">
        <v>0</v>
      </c>
      <c r="Q565" t="n">
        <v>0</v>
      </c>
      <c r="R565" s="2" t="inlineStr"/>
    </row>
    <row r="566" ht="15" customHeight="1">
      <c r="A566" t="inlineStr">
        <is>
          <t>A 14593-2021</t>
        </is>
      </c>
      <c r="B566" s="1" t="n">
        <v>44279</v>
      </c>
      <c r="C566" s="1" t="n">
        <v>45582</v>
      </c>
      <c r="D566" t="inlineStr">
        <is>
          <t>JÄMTLANDS LÄN</t>
        </is>
      </c>
      <c r="E566" t="inlineStr">
        <is>
          <t>KROKOM</t>
        </is>
      </c>
      <c r="G566" t="n">
        <v>3.1</v>
      </c>
      <c r="H566" t="n">
        <v>0</v>
      </c>
      <c r="I566" t="n">
        <v>0</v>
      </c>
      <c r="J566" t="n">
        <v>0</v>
      </c>
      <c r="K566" t="n">
        <v>0</v>
      </c>
      <c r="L566" t="n">
        <v>0</v>
      </c>
      <c r="M566" t="n">
        <v>0</v>
      </c>
      <c r="N566" t="n">
        <v>0</v>
      </c>
      <c r="O566" t="n">
        <v>0</v>
      </c>
      <c r="P566" t="n">
        <v>0</v>
      </c>
      <c r="Q566" t="n">
        <v>0</v>
      </c>
      <c r="R566" s="2" t="inlineStr"/>
    </row>
    <row r="567" ht="15" customHeight="1">
      <c r="A567" t="inlineStr">
        <is>
          <t>A 14598-2021</t>
        </is>
      </c>
      <c r="B567" s="1" t="n">
        <v>44279</v>
      </c>
      <c r="C567" s="1" t="n">
        <v>45582</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14591-2021</t>
        </is>
      </c>
      <c r="B568" s="1" t="n">
        <v>44279</v>
      </c>
      <c r="C568" s="1" t="n">
        <v>45582</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14595-2021</t>
        </is>
      </c>
      <c r="B569" s="1" t="n">
        <v>44279</v>
      </c>
      <c r="C569" s="1" t="n">
        <v>45582</v>
      </c>
      <c r="D569" t="inlineStr">
        <is>
          <t>JÄMTLANDS LÄN</t>
        </is>
      </c>
      <c r="E569" t="inlineStr">
        <is>
          <t>KROKOM</t>
        </is>
      </c>
      <c r="G569" t="n">
        <v>4.5</v>
      </c>
      <c r="H569" t="n">
        <v>0</v>
      </c>
      <c r="I569" t="n">
        <v>0</v>
      </c>
      <c r="J569" t="n">
        <v>0</v>
      </c>
      <c r="K569" t="n">
        <v>0</v>
      </c>
      <c r="L569" t="n">
        <v>0</v>
      </c>
      <c r="M569" t="n">
        <v>0</v>
      </c>
      <c r="N569" t="n">
        <v>0</v>
      </c>
      <c r="O569" t="n">
        <v>0</v>
      </c>
      <c r="P569" t="n">
        <v>0</v>
      </c>
      <c r="Q569" t="n">
        <v>0</v>
      </c>
      <c r="R569" s="2" t="inlineStr"/>
    </row>
    <row r="570" ht="15" customHeight="1">
      <c r="A570" t="inlineStr">
        <is>
          <t>A 14592-2021</t>
        </is>
      </c>
      <c r="B570" s="1" t="n">
        <v>44279</v>
      </c>
      <c r="C570" s="1" t="n">
        <v>45582</v>
      </c>
      <c r="D570" t="inlineStr">
        <is>
          <t>JÄMTLANDS LÄN</t>
        </is>
      </c>
      <c r="E570" t="inlineStr">
        <is>
          <t>KROKOM</t>
        </is>
      </c>
      <c r="G570" t="n">
        <v>5.6</v>
      </c>
      <c r="H570" t="n">
        <v>0</v>
      </c>
      <c r="I570" t="n">
        <v>0</v>
      </c>
      <c r="J570" t="n">
        <v>0</v>
      </c>
      <c r="K570" t="n">
        <v>0</v>
      </c>
      <c r="L570" t="n">
        <v>0</v>
      </c>
      <c r="M570" t="n">
        <v>0</v>
      </c>
      <c r="N570" t="n">
        <v>0</v>
      </c>
      <c r="O570" t="n">
        <v>0</v>
      </c>
      <c r="P570" t="n">
        <v>0</v>
      </c>
      <c r="Q570" t="n">
        <v>0</v>
      </c>
      <c r="R570" s="2" t="inlineStr"/>
    </row>
    <row r="571" ht="15" customHeight="1">
      <c r="A571" t="inlineStr">
        <is>
          <t>A 14596-2021</t>
        </is>
      </c>
      <c r="B571" s="1" t="n">
        <v>44279</v>
      </c>
      <c r="C571" s="1" t="n">
        <v>45582</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15425-2021</t>
        </is>
      </c>
      <c r="B572" s="1" t="n">
        <v>44284</v>
      </c>
      <c r="C572" s="1" t="n">
        <v>45582</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15452-2021</t>
        </is>
      </c>
      <c r="B573" s="1" t="n">
        <v>44285</v>
      </c>
      <c r="C573" s="1" t="n">
        <v>45582</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15455-2021</t>
        </is>
      </c>
      <c r="B574" s="1" t="n">
        <v>44285</v>
      </c>
      <c r="C574" s="1" t="n">
        <v>45582</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15451-2021</t>
        </is>
      </c>
      <c r="B575" s="1" t="n">
        <v>44285</v>
      </c>
      <c r="C575" s="1" t="n">
        <v>45582</v>
      </c>
      <c r="D575" t="inlineStr">
        <is>
          <t>JÄMTLANDS LÄN</t>
        </is>
      </c>
      <c r="E575" t="inlineStr">
        <is>
          <t>KROKOM</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15748-2021</t>
        </is>
      </c>
      <c r="B576" s="1" t="n">
        <v>44286</v>
      </c>
      <c r="C576" s="1" t="n">
        <v>45582</v>
      </c>
      <c r="D576" t="inlineStr">
        <is>
          <t>JÄMTLANDS LÄN</t>
        </is>
      </c>
      <c r="E576" t="inlineStr">
        <is>
          <t>KROKOM</t>
        </is>
      </c>
      <c r="G576" t="n">
        <v>2.5</v>
      </c>
      <c r="H576" t="n">
        <v>0</v>
      </c>
      <c r="I576" t="n">
        <v>0</v>
      </c>
      <c r="J576" t="n">
        <v>0</v>
      </c>
      <c r="K576" t="n">
        <v>0</v>
      </c>
      <c r="L576" t="n">
        <v>0</v>
      </c>
      <c r="M576" t="n">
        <v>0</v>
      </c>
      <c r="N576" t="n">
        <v>0</v>
      </c>
      <c r="O576" t="n">
        <v>0</v>
      </c>
      <c r="P576" t="n">
        <v>0</v>
      </c>
      <c r="Q576" t="n">
        <v>0</v>
      </c>
      <c r="R576" s="2" t="inlineStr"/>
    </row>
    <row r="577" ht="15" customHeight="1">
      <c r="A577" t="inlineStr">
        <is>
          <t>A 16188-2021</t>
        </is>
      </c>
      <c r="B577" s="1" t="n">
        <v>44287</v>
      </c>
      <c r="C577" s="1" t="n">
        <v>45582</v>
      </c>
      <c r="D577" t="inlineStr">
        <is>
          <t>JÄMTLANDS LÄN</t>
        </is>
      </c>
      <c r="E577" t="inlineStr">
        <is>
          <t>KROKOM</t>
        </is>
      </c>
      <c r="G577" t="n">
        <v>30.5</v>
      </c>
      <c r="H577" t="n">
        <v>0</v>
      </c>
      <c r="I577" t="n">
        <v>0</v>
      </c>
      <c r="J577" t="n">
        <v>0</v>
      </c>
      <c r="K577" t="n">
        <v>0</v>
      </c>
      <c r="L577" t="n">
        <v>0</v>
      </c>
      <c r="M577" t="n">
        <v>0</v>
      </c>
      <c r="N577" t="n">
        <v>0</v>
      </c>
      <c r="O577" t="n">
        <v>0</v>
      </c>
      <c r="P577" t="n">
        <v>0</v>
      </c>
      <c r="Q577" t="n">
        <v>0</v>
      </c>
      <c r="R577" s="2" t="inlineStr"/>
    </row>
    <row r="578" ht="15" customHeight="1">
      <c r="A578" t="inlineStr">
        <is>
          <t>A 16242-2021</t>
        </is>
      </c>
      <c r="B578" s="1" t="n">
        <v>44292</v>
      </c>
      <c r="C578" s="1" t="n">
        <v>45582</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17599-2021</t>
        </is>
      </c>
      <c r="B579" s="1" t="n">
        <v>44299</v>
      </c>
      <c r="C579" s="1" t="n">
        <v>45582</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17726-2021</t>
        </is>
      </c>
      <c r="B580" s="1" t="n">
        <v>44300</v>
      </c>
      <c r="C580" s="1" t="n">
        <v>45582</v>
      </c>
      <c r="D580" t="inlineStr">
        <is>
          <t>JÄMTLANDS LÄN</t>
        </is>
      </c>
      <c r="E580" t="inlineStr">
        <is>
          <t>KROKOM</t>
        </is>
      </c>
      <c r="G580" t="n">
        <v>30.7</v>
      </c>
      <c r="H580" t="n">
        <v>0</v>
      </c>
      <c r="I580" t="n">
        <v>0</v>
      </c>
      <c r="J580" t="n">
        <v>0</v>
      </c>
      <c r="K580" t="n">
        <v>0</v>
      </c>
      <c r="L580" t="n">
        <v>0</v>
      </c>
      <c r="M580" t="n">
        <v>0</v>
      </c>
      <c r="N580" t="n">
        <v>0</v>
      </c>
      <c r="O580" t="n">
        <v>0</v>
      </c>
      <c r="P580" t="n">
        <v>0</v>
      </c>
      <c r="Q580" t="n">
        <v>0</v>
      </c>
      <c r="R580" s="2" t="inlineStr"/>
    </row>
    <row r="581" ht="15" customHeight="1">
      <c r="A581" t="inlineStr">
        <is>
          <t>A 18544-2021</t>
        </is>
      </c>
      <c r="B581" s="1" t="n">
        <v>44306</v>
      </c>
      <c r="C581" s="1" t="n">
        <v>45582</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18731-2021</t>
        </is>
      </c>
      <c r="B582" s="1" t="n">
        <v>44307</v>
      </c>
      <c r="C582" s="1" t="n">
        <v>45582</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20405-2021</t>
        </is>
      </c>
      <c r="B583" s="1" t="n">
        <v>44312</v>
      </c>
      <c r="C583" s="1" t="n">
        <v>45582</v>
      </c>
      <c r="D583" t="inlineStr">
        <is>
          <t>JÄMTLANDS LÄN</t>
        </is>
      </c>
      <c r="E583" t="inlineStr">
        <is>
          <t>KROKOM</t>
        </is>
      </c>
      <c r="G583" t="n">
        <v>7.1</v>
      </c>
      <c r="H583" t="n">
        <v>0</v>
      </c>
      <c r="I583" t="n">
        <v>0</v>
      </c>
      <c r="J583" t="n">
        <v>0</v>
      </c>
      <c r="K583" t="n">
        <v>0</v>
      </c>
      <c r="L583" t="n">
        <v>0</v>
      </c>
      <c r="M583" t="n">
        <v>0</v>
      </c>
      <c r="N583" t="n">
        <v>0</v>
      </c>
      <c r="O583" t="n">
        <v>0</v>
      </c>
      <c r="P583" t="n">
        <v>0</v>
      </c>
      <c r="Q583" t="n">
        <v>0</v>
      </c>
      <c r="R583" s="2" t="inlineStr"/>
    </row>
    <row r="584" ht="15" customHeight="1">
      <c r="A584" t="inlineStr">
        <is>
          <t>A 19984-2021</t>
        </is>
      </c>
      <c r="B584" s="1" t="n">
        <v>44313</v>
      </c>
      <c r="C584" s="1" t="n">
        <v>45582</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21000-2021</t>
        </is>
      </c>
      <c r="B585" s="1" t="n">
        <v>44316</v>
      </c>
      <c r="C585" s="1" t="n">
        <v>45582</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22083-2021</t>
        </is>
      </c>
      <c r="B586" s="1" t="n">
        <v>44323</v>
      </c>
      <c r="C586" s="1" t="n">
        <v>45582</v>
      </c>
      <c r="D586" t="inlineStr">
        <is>
          <t>JÄMTLANDS LÄN</t>
        </is>
      </c>
      <c r="E586" t="inlineStr">
        <is>
          <t>KROKOM</t>
        </is>
      </c>
      <c r="G586" t="n">
        <v>12.3</v>
      </c>
      <c r="H586" t="n">
        <v>0</v>
      </c>
      <c r="I586" t="n">
        <v>0</v>
      </c>
      <c r="J586" t="n">
        <v>0</v>
      </c>
      <c r="K586" t="n">
        <v>0</v>
      </c>
      <c r="L586" t="n">
        <v>0</v>
      </c>
      <c r="M586" t="n">
        <v>0</v>
      </c>
      <c r="N586" t="n">
        <v>0</v>
      </c>
      <c r="O586" t="n">
        <v>0</v>
      </c>
      <c r="P586" t="n">
        <v>0</v>
      </c>
      <c r="Q586" t="n">
        <v>0</v>
      </c>
      <c r="R586" s="2" t="inlineStr"/>
    </row>
    <row r="587" ht="15" customHeight="1">
      <c r="A587" t="inlineStr">
        <is>
          <t>A 22078-2021</t>
        </is>
      </c>
      <c r="B587" s="1" t="n">
        <v>44323</v>
      </c>
      <c r="C587" s="1" t="n">
        <v>45582</v>
      </c>
      <c r="D587" t="inlineStr">
        <is>
          <t>JÄMTLANDS LÄN</t>
        </is>
      </c>
      <c r="E587" t="inlineStr">
        <is>
          <t>KROKOM</t>
        </is>
      </c>
      <c r="G587" t="n">
        <v>5.9</v>
      </c>
      <c r="H587" t="n">
        <v>0</v>
      </c>
      <c r="I587" t="n">
        <v>0</v>
      </c>
      <c r="J587" t="n">
        <v>0</v>
      </c>
      <c r="K587" t="n">
        <v>0</v>
      </c>
      <c r="L587" t="n">
        <v>0</v>
      </c>
      <c r="M587" t="n">
        <v>0</v>
      </c>
      <c r="N587" t="n">
        <v>0</v>
      </c>
      <c r="O587" t="n">
        <v>0</v>
      </c>
      <c r="P587" t="n">
        <v>0</v>
      </c>
      <c r="Q587" t="n">
        <v>0</v>
      </c>
      <c r="R587" s="2" t="inlineStr"/>
    </row>
    <row r="588" ht="15" customHeight="1">
      <c r="A588" t="inlineStr">
        <is>
          <t>A 22511-2021</t>
        </is>
      </c>
      <c r="B588" s="1" t="n">
        <v>44326</v>
      </c>
      <c r="C588" s="1" t="n">
        <v>45582</v>
      </c>
      <c r="D588" t="inlineStr">
        <is>
          <t>JÄMTLANDS LÄN</t>
        </is>
      </c>
      <c r="E588" t="inlineStr">
        <is>
          <t>KROKOM</t>
        </is>
      </c>
      <c r="G588" t="n">
        <v>6.9</v>
      </c>
      <c r="H588" t="n">
        <v>0</v>
      </c>
      <c r="I588" t="n">
        <v>0</v>
      </c>
      <c r="J588" t="n">
        <v>0</v>
      </c>
      <c r="K588" t="n">
        <v>0</v>
      </c>
      <c r="L588" t="n">
        <v>0</v>
      </c>
      <c r="M588" t="n">
        <v>0</v>
      </c>
      <c r="N588" t="n">
        <v>0</v>
      </c>
      <c r="O588" t="n">
        <v>0</v>
      </c>
      <c r="P588" t="n">
        <v>0</v>
      </c>
      <c r="Q588" t="n">
        <v>0</v>
      </c>
      <c r="R588" s="2" t="inlineStr"/>
    </row>
    <row r="589" ht="15" customHeight="1">
      <c r="A589" t="inlineStr">
        <is>
          <t>A 23139-2021</t>
        </is>
      </c>
      <c r="B589" s="1" t="n">
        <v>44331</v>
      </c>
      <c r="C589" s="1" t="n">
        <v>45582</v>
      </c>
      <c r="D589" t="inlineStr">
        <is>
          <t>JÄMTLANDS LÄN</t>
        </is>
      </c>
      <c r="E589" t="inlineStr">
        <is>
          <t>KROKOM</t>
        </is>
      </c>
      <c r="G589" t="n">
        <v>0.6</v>
      </c>
      <c r="H589" t="n">
        <v>0</v>
      </c>
      <c r="I589" t="n">
        <v>0</v>
      </c>
      <c r="J589" t="n">
        <v>0</v>
      </c>
      <c r="K589" t="n">
        <v>0</v>
      </c>
      <c r="L589" t="n">
        <v>0</v>
      </c>
      <c r="M589" t="n">
        <v>0</v>
      </c>
      <c r="N589" t="n">
        <v>0</v>
      </c>
      <c r="O589" t="n">
        <v>0</v>
      </c>
      <c r="P589" t="n">
        <v>0</v>
      </c>
      <c r="Q589" t="n">
        <v>0</v>
      </c>
      <c r="R589" s="2" t="inlineStr"/>
    </row>
    <row r="590" ht="15" customHeight="1">
      <c r="A590" t="inlineStr">
        <is>
          <t>A 23601-2021</t>
        </is>
      </c>
      <c r="B590" s="1" t="n">
        <v>44334</v>
      </c>
      <c r="C590" s="1" t="n">
        <v>45582</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23832-2021</t>
        </is>
      </c>
      <c r="B591" s="1" t="n">
        <v>44335</v>
      </c>
      <c r="C591" s="1" t="n">
        <v>45582</v>
      </c>
      <c r="D591" t="inlineStr">
        <is>
          <t>JÄMTLANDS LÄN</t>
        </is>
      </c>
      <c r="E591" t="inlineStr">
        <is>
          <t>KROKOM</t>
        </is>
      </c>
      <c r="G591" t="n">
        <v>20</v>
      </c>
      <c r="H591" t="n">
        <v>0</v>
      </c>
      <c r="I591" t="n">
        <v>0</v>
      </c>
      <c r="J591" t="n">
        <v>0</v>
      </c>
      <c r="K591" t="n">
        <v>0</v>
      </c>
      <c r="L591" t="n">
        <v>0</v>
      </c>
      <c r="M591" t="n">
        <v>0</v>
      </c>
      <c r="N591" t="n">
        <v>0</v>
      </c>
      <c r="O591" t="n">
        <v>0</v>
      </c>
      <c r="P591" t="n">
        <v>0</v>
      </c>
      <c r="Q591" t="n">
        <v>0</v>
      </c>
      <c r="R591" s="2" t="inlineStr"/>
    </row>
    <row r="592" ht="15" customHeight="1">
      <c r="A592" t="inlineStr">
        <is>
          <t>A 24436-2021</t>
        </is>
      </c>
      <c r="B592" s="1" t="n">
        <v>44337</v>
      </c>
      <c r="C592" s="1" t="n">
        <v>45582</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24677-2021</t>
        </is>
      </c>
      <c r="B593" s="1" t="n">
        <v>44337</v>
      </c>
      <c r="C593" s="1" t="n">
        <v>45582</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26077-2021</t>
        </is>
      </c>
      <c r="B594" s="1" t="n">
        <v>44344</v>
      </c>
      <c r="C594" s="1" t="n">
        <v>45582</v>
      </c>
      <c r="D594" t="inlineStr">
        <is>
          <t>JÄMTLANDS LÄN</t>
        </is>
      </c>
      <c r="E594" t="inlineStr">
        <is>
          <t>KROKOM</t>
        </is>
      </c>
      <c r="G594" t="n">
        <v>7.6</v>
      </c>
      <c r="H594" t="n">
        <v>0</v>
      </c>
      <c r="I594" t="n">
        <v>0</v>
      </c>
      <c r="J594" t="n">
        <v>0</v>
      </c>
      <c r="K594" t="n">
        <v>0</v>
      </c>
      <c r="L594" t="n">
        <v>0</v>
      </c>
      <c r="M594" t="n">
        <v>0</v>
      </c>
      <c r="N594" t="n">
        <v>0</v>
      </c>
      <c r="O594" t="n">
        <v>0</v>
      </c>
      <c r="P594" t="n">
        <v>0</v>
      </c>
      <c r="Q594" t="n">
        <v>0</v>
      </c>
      <c r="R594" s="2" t="inlineStr"/>
    </row>
    <row r="595" ht="15" customHeight="1">
      <c r="A595" t="inlineStr">
        <is>
          <t>A 26508-2021</t>
        </is>
      </c>
      <c r="B595" s="1" t="n">
        <v>44348</v>
      </c>
      <c r="C595" s="1" t="n">
        <v>45582</v>
      </c>
      <c r="D595" t="inlineStr">
        <is>
          <t>JÄMTLANDS LÄN</t>
        </is>
      </c>
      <c r="E595" t="inlineStr">
        <is>
          <t>KROKOM</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27000-2021</t>
        </is>
      </c>
      <c r="B596" s="1" t="n">
        <v>44349</v>
      </c>
      <c r="C596" s="1" t="n">
        <v>45582</v>
      </c>
      <c r="D596" t="inlineStr">
        <is>
          <t>JÄMTLANDS LÄN</t>
        </is>
      </c>
      <c r="E596" t="inlineStr">
        <is>
          <t>KROKOM</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28990-2021</t>
        </is>
      </c>
      <c r="B597" s="1" t="n">
        <v>44358</v>
      </c>
      <c r="C597" s="1" t="n">
        <v>45582</v>
      </c>
      <c r="D597" t="inlineStr">
        <is>
          <t>JÄMTLANDS LÄN</t>
        </is>
      </c>
      <c r="E597" t="inlineStr">
        <is>
          <t>KROKOM</t>
        </is>
      </c>
      <c r="G597" t="n">
        <v>4.3</v>
      </c>
      <c r="H597" t="n">
        <v>0</v>
      </c>
      <c r="I597" t="n">
        <v>0</v>
      </c>
      <c r="J597" t="n">
        <v>0</v>
      </c>
      <c r="K597" t="n">
        <v>0</v>
      </c>
      <c r="L597" t="n">
        <v>0</v>
      </c>
      <c r="M597" t="n">
        <v>0</v>
      </c>
      <c r="N597" t="n">
        <v>0</v>
      </c>
      <c r="O597" t="n">
        <v>0</v>
      </c>
      <c r="P597" t="n">
        <v>0</v>
      </c>
      <c r="Q597" t="n">
        <v>0</v>
      </c>
      <c r="R597" s="2" t="inlineStr"/>
    </row>
    <row r="598" ht="15" customHeight="1">
      <c r="A598" t="inlineStr">
        <is>
          <t>A 29146-2021</t>
        </is>
      </c>
      <c r="B598" s="1" t="n">
        <v>44358</v>
      </c>
      <c r="C598" s="1" t="n">
        <v>45582</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29896-2021</t>
        </is>
      </c>
      <c r="B599" s="1" t="n">
        <v>44362</v>
      </c>
      <c r="C599" s="1" t="n">
        <v>45582</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30145-2021</t>
        </is>
      </c>
      <c r="B600" s="1" t="n">
        <v>44363</v>
      </c>
      <c r="C600" s="1" t="n">
        <v>45582</v>
      </c>
      <c r="D600" t="inlineStr">
        <is>
          <t>JÄMTLANDS LÄN</t>
        </is>
      </c>
      <c r="E600" t="inlineStr">
        <is>
          <t>KROKOM</t>
        </is>
      </c>
      <c r="G600" t="n">
        <v>5.1</v>
      </c>
      <c r="H600" t="n">
        <v>0</v>
      </c>
      <c r="I600" t="n">
        <v>0</v>
      </c>
      <c r="J600" t="n">
        <v>0</v>
      </c>
      <c r="K600" t="n">
        <v>0</v>
      </c>
      <c r="L600" t="n">
        <v>0</v>
      </c>
      <c r="M600" t="n">
        <v>0</v>
      </c>
      <c r="N600" t="n">
        <v>0</v>
      </c>
      <c r="O600" t="n">
        <v>0</v>
      </c>
      <c r="P600" t="n">
        <v>0</v>
      </c>
      <c r="Q600" t="n">
        <v>0</v>
      </c>
      <c r="R600" s="2" t="inlineStr"/>
    </row>
    <row r="601" ht="15" customHeight="1">
      <c r="A601" t="inlineStr">
        <is>
          <t>A 31467-2021</t>
        </is>
      </c>
      <c r="B601" s="1" t="n">
        <v>44369</v>
      </c>
      <c r="C601" s="1" t="n">
        <v>45582</v>
      </c>
      <c r="D601" t="inlineStr">
        <is>
          <t>JÄMTLANDS LÄN</t>
        </is>
      </c>
      <c r="E601" t="inlineStr">
        <is>
          <t>KROKOM</t>
        </is>
      </c>
      <c r="G601" t="n">
        <v>24.7</v>
      </c>
      <c r="H601" t="n">
        <v>0</v>
      </c>
      <c r="I601" t="n">
        <v>0</v>
      </c>
      <c r="J601" t="n">
        <v>0</v>
      </c>
      <c r="K601" t="n">
        <v>0</v>
      </c>
      <c r="L601" t="n">
        <v>0</v>
      </c>
      <c r="M601" t="n">
        <v>0</v>
      </c>
      <c r="N601" t="n">
        <v>0</v>
      </c>
      <c r="O601" t="n">
        <v>0</v>
      </c>
      <c r="P601" t="n">
        <v>0</v>
      </c>
      <c r="Q601" t="n">
        <v>0</v>
      </c>
      <c r="R601" s="2" t="inlineStr"/>
    </row>
    <row r="602" ht="15" customHeight="1">
      <c r="A602" t="inlineStr">
        <is>
          <t>A 31858-2021</t>
        </is>
      </c>
      <c r="B602" s="1" t="n">
        <v>44370</v>
      </c>
      <c r="C602" s="1" t="n">
        <v>45582</v>
      </c>
      <c r="D602" t="inlineStr">
        <is>
          <t>JÄMTLANDS LÄN</t>
        </is>
      </c>
      <c r="E602" t="inlineStr">
        <is>
          <t>KROKOM</t>
        </is>
      </c>
      <c r="G602" t="n">
        <v>3.5</v>
      </c>
      <c r="H602" t="n">
        <v>0</v>
      </c>
      <c r="I602" t="n">
        <v>0</v>
      </c>
      <c r="J602" t="n">
        <v>0</v>
      </c>
      <c r="K602" t="n">
        <v>0</v>
      </c>
      <c r="L602" t="n">
        <v>0</v>
      </c>
      <c r="M602" t="n">
        <v>0</v>
      </c>
      <c r="N602" t="n">
        <v>0</v>
      </c>
      <c r="O602" t="n">
        <v>0</v>
      </c>
      <c r="P602" t="n">
        <v>0</v>
      </c>
      <c r="Q602" t="n">
        <v>0</v>
      </c>
      <c r="R602" s="2" t="inlineStr"/>
    </row>
    <row r="603" ht="15" customHeight="1">
      <c r="A603" t="inlineStr">
        <is>
          <t>A 31905-2021</t>
        </is>
      </c>
      <c r="B603" s="1" t="n">
        <v>44370</v>
      </c>
      <c r="C603" s="1" t="n">
        <v>45582</v>
      </c>
      <c r="D603" t="inlineStr">
        <is>
          <t>JÄMTLANDS LÄN</t>
        </is>
      </c>
      <c r="E603" t="inlineStr">
        <is>
          <t>KROKOM</t>
        </is>
      </c>
      <c r="G603" t="n">
        <v>12.9</v>
      </c>
      <c r="H603" t="n">
        <v>0</v>
      </c>
      <c r="I603" t="n">
        <v>0</v>
      </c>
      <c r="J603" t="n">
        <v>0</v>
      </c>
      <c r="K603" t="n">
        <v>0</v>
      </c>
      <c r="L603" t="n">
        <v>0</v>
      </c>
      <c r="M603" t="n">
        <v>0</v>
      </c>
      <c r="N603" t="n">
        <v>0</v>
      </c>
      <c r="O603" t="n">
        <v>0</v>
      </c>
      <c r="P603" t="n">
        <v>0</v>
      </c>
      <c r="Q603" t="n">
        <v>0</v>
      </c>
      <c r="R603" s="2" t="inlineStr"/>
    </row>
    <row r="604" ht="15" customHeight="1">
      <c r="A604" t="inlineStr">
        <is>
          <t>A 32472-2021</t>
        </is>
      </c>
      <c r="B604" s="1" t="n">
        <v>44371</v>
      </c>
      <c r="C604" s="1" t="n">
        <v>45582</v>
      </c>
      <c r="D604" t="inlineStr">
        <is>
          <t>JÄMTLANDS LÄN</t>
        </is>
      </c>
      <c r="E604" t="inlineStr">
        <is>
          <t>KROKOM</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32693-2021</t>
        </is>
      </c>
      <c r="B605" s="1" t="n">
        <v>44375</v>
      </c>
      <c r="C605" s="1" t="n">
        <v>45582</v>
      </c>
      <c r="D605" t="inlineStr">
        <is>
          <t>JÄMTLANDS LÄN</t>
        </is>
      </c>
      <c r="E605" t="inlineStr">
        <is>
          <t>KROKOM</t>
        </is>
      </c>
      <c r="G605" t="n">
        <v>5.7</v>
      </c>
      <c r="H605" t="n">
        <v>0</v>
      </c>
      <c r="I605" t="n">
        <v>0</v>
      </c>
      <c r="J605" t="n">
        <v>0</v>
      </c>
      <c r="K605" t="n">
        <v>0</v>
      </c>
      <c r="L605" t="n">
        <v>0</v>
      </c>
      <c r="M605" t="n">
        <v>0</v>
      </c>
      <c r="N605" t="n">
        <v>0</v>
      </c>
      <c r="O605" t="n">
        <v>0</v>
      </c>
      <c r="P605" t="n">
        <v>0</v>
      </c>
      <c r="Q605" t="n">
        <v>0</v>
      </c>
      <c r="R605" s="2" t="inlineStr"/>
    </row>
    <row r="606" ht="15" customHeight="1">
      <c r="A606" t="inlineStr">
        <is>
          <t>A 33189-2021</t>
        </is>
      </c>
      <c r="B606" s="1" t="n">
        <v>44376</v>
      </c>
      <c r="C606" s="1" t="n">
        <v>45582</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33320-2021</t>
        </is>
      </c>
      <c r="B607" s="1" t="n">
        <v>44377</v>
      </c>
      <c r="C607" s="1" t="n">
        <v>45582</v>
      </c>
      <c r="D607" t="inlineStr">
        <is>
          <t>JÄMTLANDS LÄN</t>
        </is>
      </c>
      <c r="E607" t="inlineStr">
        <is>
          <t>KROKOM</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33333-2021</t>
        </is>
      </c>
      <c r="B608" s="1" t="n">
        <v>44377</v>
      </c>
      <c r="C608" s="1" t="n">
        <v>45582</v>
      </c>
      <c r="D608" t="inlineStr">
        <is>
          <t>JÄMTLANDS LÄN</t>
        </is>
      </c>
      <c r="E608" t="inlineStr">
        <is>
          <t>KROKOM</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33347-2021</t>
        </is>
      </c>
      <c r="B609" s="1" t="n">
        <v>44377</v>
      </c>
      <c r="C609" s="1" t="n">
        <v>45582</v>
      </c>
      <c r="D609" t="inlineStr">
        <is>
          <t>JÄMTLANDS LÄN</t>
        </is>
      </c>
      <c r="E609" t="inlineStr">
        <is>
          <t>KROKOM</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33364-2021</t>
        </is>
      </c>
      <c r="B610" s="1" t="n">
        <v>44377</v>
      </c>
      <c r="C610" s="1" t="n">
        <v>45582</v>
      </c>
      <c r="D610" t="inlineStr">
        <is>
          <t>JÄMTLANDS LÄN</t>
        </is>
      </c>
      <c r="E610" t="inlineStr">
        <is>
          <t>KROKOM</t>
        </is>
      </c>
      <c r="F610" t="inlineStr">
        <is>
          <t>Övriga Aktiebolag</t>
        </is>
      </c>
      <c r="G610" t="n">
        <v>12.7</v>
      </c>
      <c r="H610" t="n">
        <v>0</v>
      </c>
      <c r="I610" t="n">
        <v>0</v>
      </c>
      <c r="J610" t="n">
        <v>0</v>
      </c>
      <c r="K610" t="n">
        <v>0</v>
      </c>
      <c r="L610" t="n">
        <v>0</v>
      </c>
      <c r="M610" t="n">
        <v>0</v>
      </c>
      <c r="N610" t="n">
        <v>0</v>
      </c>
      <c r="O610" t="n">
        <v>0</v>
      </c>
      <c r="P610" t="n">
        <v>0</v>
      </c>
      <c r="Q610" t="n">
        <v>0</v>
      </c>
      <c r="R610" s="2" t="inlineStr"/>
    </row>
    <row r="611" ht="15" customHeight="1">
      <c r="A611" t="inlineStr">
        <is>
          <t>A 33469-2021</t>
        </is>
      </c>
      <c r="B611" s="1" t="n">
        <v>44377</v>
      </c>
      <c r="C611" s="1" t="n">
        <v>45582</v>
      </c>
      <c r="D611" t="inlineStr">
        <is>
          <t>JÄMTLANDS LÄN</t>
        </is>
      </c>
      <c r="E611" t="inlineStr">
        <is>
          <t>KROKOM</t>
        </is>
      </c>
      <c r="F611" t="inlineStr">
        <is>
          <t>Övriga Aktiebolag</t>
        </is>
      </c>
      <c r="G611" t="n">
        <v>19.1</v>
      </c>
      <c r="H611" t="n">
        <v>0</v>
      </c>
      <c r="I611" t="n">
        <v>0</v>
      </c>
      <c r="J611" t="n">
        <v>0</v>
      </c>
      <c r="K611" t="n">
        <v>0</v>
      </c>
      <c r="L611" t="n">
        <v>0</v>
      </c>
      <c r="M611" t="n">
        <v>0</v>
      </c>
      <c r="N611" t="n">
        <v>0</v>
      </c>
      <c r="O611" t="n">
        <v>0</v>
      </c>
      <c r="P611" t="n">
        <v>0</v>
      </c>
      <c r="Q611" t="n">
        <v>0</v>
      </c>
      <c r="R611" s="2" t="inlineStr"/>
    </row>
    <row r="612" ht="15" customHeight="1">
      <c r="A612" t="inlineStr">
        <is>
          <t>A 33802-2021</t>
        </is>
      </c>
      <c r="B612" s="1" t="n">
        <v>44377</v>
      </c>
      <c r="C612" s="1" t="n">
        <v>45582</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34279-2021</t>
        </is>
      </c>
      <c r="B613" s="1" t="n">
        <v>44379</v>
      </c>
      <c r="C613" s="1" t="n">
        <v>45582</v>
      </c>
      <c r="D613" t="inlineStr">
        <is>
          <t>JÄMTLANDS LÄN</t>
        </is>
      </c>
      <c r="E613" t="inlineStr">
        <is>
          <t>KROKOM</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34289-2021</t>
        </is>
      </c>
      <c r="B614" s="1" t="n">
        <v>44379</v>
      </c>
      <c r="C614" s="1" t="n">
        <v>45582</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34769-2021</t>
        </is>
      </c>
      <c r="B615" s="1" t="n">
        <v>44383</v>
      </c>
      <c r="C615" s="1" t="n">
        <v>45582</v>
      </c>
      <c r="D615" t="inlineStr">
        <is>
          <t>JÄMTLANDS LÄN</t>
        </is>
      </c>
      <c r="E615" t="inlineStr">
        <is>
          <t>KROKOM</t>
        </is>
      </c>
      <c r="G615" t="n">
        <v>14.5</v>
      </c>
      <c r="H615" t="n">
        <v>0</v>
      </c>
      <c r="I615" t="n">
        <v>0</v>
      </c>
      <c r="J615" t="n">
        <v>0</v>
      </c>
      <c r="K615" t="n">
        <v>0</v>
      </c>
      <c r="L615" t="n">
        <v>0</v>
      </c>
      <c r="M615" t="n">
        <v>0</v>
      </c>
      <c r="N615" t="n">
        <v>0</v>
      </c>
      <c r="O615" t="n">
        <v>0</v>
      </c>
      <c r="P615" t="n">
        <v>0</v>
      </c>
      <c r="Q615" t="n">
        <v>0</v>
      </c>
      <c r="R615" s="2" t="inlineStr"/>
    </row>
    <row r="616" ht="15" customHeight="1">
      <c r="A616" t="inlineStr">
        <is>
          <t>A 36079-2021</t>
        </is>
      </c>
      <c r="B616" s="1" t="n">
        <v>44389</v>
      </c>
      <c r="C616" s="1" t="n">
        <v>45582</v>
      </c>
      <c r="D616" t="inlineStr">
        <is>
          <t>JÄMTLANDS LÄN</t>
        </is>
      </c>
      <c r="E616" t="inlineStr">
        <is>
          <t>KROKOM</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36248-2021</t>
        </is>
      </c>
      <c r="B617" s="1" t="n">
        <v>44389</v>
      </c>
      <c r="C617" s="1" t="n">
        <v>45582</v>
      </c>
      <c r="D617" t="inlineStr">
        <is>
          <t>JÄMTLANDS LÄN</t>
        </is>
      </c>
      <c r="E617" t="inlineStr">
        <is>
          <t>KROKOM</t>
        </is>
      </c>
      <c r="G617" t="n">
        <v>17.1</v>
      </c>
      <c r="H617" t="n">
        <v>0</v>
      </c>
      <c r="I617" t="n">
        <v>0</v>
      </c>
      <c r="J617" t="n">
        <v>0</v>
      </c>
      <c r="K617" t="n">
        <v>0</v>
      </c>
      <c r="L617" t="n">
        <v>0</v>
      </c>
      <c r="M617" t="n">
        <v>0</v>
      </c>
      <c r="N617" t="n">
        <v>0</v>
      </c>
      <c r="O617" t="n">
        <v>0</v>
      </c>
      <c r="P617" t="n">
        <v>0</v>
      </c>
      <c r="Q617" t="n">
        <v>0</v>
      </c>
      <c r="R617" s="2" t="inlineStr"/>
    </row>
    <row r="618" ht="15" customHeight="1">
      <c r="A618" t="inlineStr">
        <is>
          <t>A 36491-2021</t>
        </is>
      </c>
      <c r="B618" s="1" t="n">
        <v>44390</v>
      </c>
      <c r="C618" s="1" t="n">
        <v>45582</v>
      </c>
      <c r="D618" t="inlineStr">
        <is>
          <t>JÄMTLANDS LÄN</t>
        </is>
      </c>
      <c r="E618" t="inlineStr">
        <is>
          <t>KROKOM</t>
        </is>
      </c>
      <c r="G618" t="n">
        <v>5.4</v>
      </c>
      <c r="H618" t="n">
        <v>0</v>
      </c>
      <c r="I618" t="n">
        <v>0</v>
      </c>
      <c r="J618" t="n">
        <v>0</v>
      </c>
      <c r="K618" t="n">
        <v>0</v>
      </c>
      <c r="L618" t="n">
        <v>0</v>
      </c>
      <c r="M618" t="n">
        <v>0</v>
      </c>
      <c r="N618" t="n">
        <v>0</v>
      </c>
      <c r="O618" t="n">
        <v>0</v>
      </c>
      <c r="P618" t="n">
        <v>0</v>
      </c>
      <c r="Q618" t="n">
        <v>0</v>
      </c>
      <c r="R618" s="2" t="inlineStr"/>
    </row>
    <row r="619" ht="15" customHeight="1">
      <c r="A619" t="inlineStr">
        <is>
          <t>A 36567-2021</t>
        </is>
      </c>
      <c r="B619" s="1" t="n">
        <v>44391</v>
      </c>
      <c r="C619" s="1" t="n">
        <v>45582</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36577-2021</t>
        </is>
      </c>
      <c r="B620" s="1" t="n">
        <v>44391</v>
      </c>
      <c r="C620" s="1" t="n">
        <v>45582</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37641-2021</t>
        </is>
      </c>
      <c r="B621" s="1" t="n">
        <v>44400</v>
      </c>
      <c r="C621" s="1" t="n">
        <v>45582</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38511-2021</t>
        </is>
      </c>
      <c r="B622" s="1" t="n">
        <v>44407</v>
      </c>
      <c r="C622" s="1" t="n">
        <v>45582</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42369-2021</t>
        </is>
      </c>
      <c r="B623" s="1" t="n">
        <v>44427</v>
      </c>
      <c r="C623" s="1" t="n">
        <v>45582</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46625-2021</t>
        </is>
      </c>
      <c r="B624" s="1" t="n">
        <v>44445</v>
      </c>
      <c r="C624" s="1" t="n">
        <v>45582</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44374-2021</t>
        </is>
      </c>
      <c r="B625" s="1" t="n">
        <v>44447</v>
      </c>
      <c r="C625" s="1" t="n">
        <v>45582</v>
      </c>
      <c r="D625" t="inlineStr">
        <is>
          <t>JÄMTLANDS LÄN</t>
        </is>
      </c>
      <c r="E625" t="inlineStr">
        <is>
          <t>KROKOM</t>
        </is>
      </c>
      <c r="G625" t="n">
        <v>7.8</v>
      </c>
      <c r="H625" t="n">
        <v>0</v>
      </c>
      <c r="I625" t="n">
        <v>0</v>
      </c>
      <c r="J625" t="n">
        <v>0</v>
      </c>
      <c r="K625" t="n">
        <v>0</v>
      </c>
      <c r="L625" t="n">
        <v>0</v>
      </c>
      <c r="M625" t="n">
        <v>0</v>
      </c>
      <c r="N625" t="n">
        <v>0</v>
      </c>
      <c r="O625" t="n">
        <v>0</v>
      </c>
      <c r="P625" t="n">
        <v>0</v>
      </c>
      <c r="Q625" t="n">
        <v>0</v>
      </c>
      <c r="R625" s="2" t="inlineStr"/>
    </row>
    <row r="626" ht="15" customHeight="1">
      <c r="A626" t="inlineStr">
        <is>
          <t>A 48440-2021</t>
        </is>
      </c>
      <c r="B626" s="1" t="n">
        <v>44449</v>
      </c>
      <c r="C626" s="1" t="n">
        <v>45582</v>
      </c>
      <c r="D626" t="inlineStr">
        <is>
          <t>JÄMTLANDS LÄN</t>
        </is>
      </c>
      <c r="E626" t="inlineStr">
        <is>
          <t>KROKOM</t>
        </is>
      </c>
      <c r="G626" t="n">
        <v>8.6</v>
      </c>
      <c r="H626" t="n">
        <v>0</v>
      </c>
      <c r="I626" t="n">
        <v>0</v>
      </c>
      <c r="J626" t="n">
        <v>0</v>
      </c>
      <c r="K626" t="n">
        <v>0</v>
      </c>
      <c r="L626" t="n">
        <v>0</v>
      </c>
      <c r="M626" t="n">
        <v>0</v>
      </c>
      <c r="N626" t="n">
        <v>0</v>
      </c>
      <c r="O626" t="n">
        <v>0</v>
      </c>
      <c r="P626" t="n">
        <v>0</v>
      </c>
      <c r="Q626" t="n">
        <v>0</v>
      </c>
      <c r="R626" s="2" t="inlineStr"/>
    </row>
    <row r="627" ht="15" customHeight="1">
      <c r="A627" t="inlineStr">
        <is>
          <t>A 50177-2021</t>
        </is>
      </c>
      <c r="B627" s="1" t="n">
        <v>44456</v>
      </c>
      <c r="C627" s="1" t="n">
        <v>45582</v>
      </c>
      <c r="D627" t="inlineStr">
        <is>
          <t>JÄMTLANDS LÄN</t>
        </is>
      </c>
      <c r="E627" t="inlineStr">
        <is>
          <t>KROKOM</t>
        </is>
      </c>
      <c r="G627" t="n">
        <v>1.5</v>
      </c>
      <c r="H627" t="n">
        <v>0</v>
      </c>
      <c r="I627" t="n">
        <v>0</v>
      </c>
      <c r="J627" t="n">
        <v>0</v>
      </c>
      <c r="K627" t="n">
        <v>0</v>
      </c>
      <c r="L627" t="n">
        <v>0</v>
      </c>
      <c r="M627" t="n">
        <v>0</v>
      </c>
      <c r="N627" t="n">
        <v>0</v>
      </c>
      <c r="O627" t="n">
        <v>0</v>
      </c>
      <c r="P627" t="n">
        <v>0</v>
      </c>
      <c r="Q627" t="n">
        <v>0</v>
      </c>
      <c r="R627" s="2" t="inlineStr"/>
    </row>
    <row r="628" ht="15" customHeight="1">
      <c r="A628" t="inlineStr">
        <is>
          <t>A 50476-2021</t>
        </is>
      </c>
      <c r="B628" s="1" t="n">
        <v>44459</v>
      </c>
      <c r="C628" s="1" t="n">
        <v>45582</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50887-2021</t>
        </is>
      </c>
      <c r="B629" s="1" t="n">
        <v>44459</v>
      </c>
      <c r="C629" s="1" t="n">
        <v>45582</v>
      </c>
      <c r="D629" t="inlineStr">
        <is>
          <t>JÄMTLANDS LÄN</t>
        </is>
      </c>
      <c r="E629" t="inlineStr">
        <is>
          <t>KROKOM</t>
        </is>
      </c>
      <c r="G629" t="n">
        <v>4.5</v>
      </c>
      <c r="H629" t="n">
        <v>0</v>
      </c>
      <c r="I629" t="n">
        <v>0</v>
      </c>
      <c r="J629" t="n">
        <v>0</v>
      </c>
      <c r="K629" t="n">
        <v>0</v>
      </c>
      <c r="L629" t="n">
        <v>0</v>
      </c>
      <c r="M629" t="n">
        <v>0</v>
      </c>
      <c r="N629" t="n">
        <v>0</v>
      </c>
      <c r="O629" t="n">
        <v>0</v>
      </c>
      <c r="P629" t="n">
        <v>0</v>
      </c>
      <c r="Q629" t="n">
        <v>0</v>
      </c>
      <c r="R629" s="2" t="inlineStr"/>
    </row>
    <row r="630" ht="15" customHeight="1">
      <c r="A630" t="inlineStr">
        <is>
          <t>A 50790-2021</t>
        </is>
      </c>
      <c r="B630" s="1" t="n">
        <v>44460</v>
      </c>
      <c r="C630" s="1" t="n">
        <v>45582</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52557-2021</t>
        </is>
      </c>
      <c r="B631" s="1" t="n">
        <v>44466</v>
      </c>
      <c r="C631" s="1" t="n">
        <v>45582</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52578-2021</t>
        </is>
      </c>
      <c r="B632" s="1" t="n">
        <v>44466</v>
      </c>
      <c r="C632" s="1" t="n">
        <v>45582</v>
      </c>
      <c r="D632" t="inlineStr">
        <is>
          <t>JÄMTLANDS LÄN</t>
        </is>
      </c>
      <c r="E632" t="inlineStr">
        <is>
          <t>KROKOM</t>
        </is>
      </c>
      <c r="G632" t="n">
        <v>17.1</v>
      </c>
      <c r="H632" t="n">
        <v>0</v>
      </c>
      <c r="I632" t="n">
        <v>0</v>
      </c>
      <c r="J632" t="n">
        <v>0</v>
      </c>
      <c r="K632" t="n">
        <v>0</v>
      </c>
      <c r="L632" t="n">
        <v>0</v>
      </c>
      <c r="M632" t="n">
        <v>0</v>
      </c>
      <c r="N632" t="n">
        <v>0</v>
      </c>
      <c r="O632" t="n">
        <v>0</v>
      </c>
      <c r="P632" t="n">
        <v>0</v>
      </c>
      <c r="Q632" t="n">
        <v>0</v>
      </c>
      <c r="R632" s="2" t="inlineStr"/>
    </row>
    <row r="633" ht="15" customHeight="1">
      <c r="A633" t="inlineStr">
        <is>
          <t>A 53191-2021</t>
        </is>
      </c>
      <c r="B633" s="1" t="n">
        <v>44468</v>
      </c>
      <c r="C633" s="1" t="n">
        <v>45582</v>
      </c>
      <c r="D633" t="inlineStr">
        <is>
          <t>JÄMTLANDS LÄN</t>
        </is>
      </c>
      <c r="E633" t="inlineStr">
        <is>
          <t>KROKOM</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54039-2021</t>
        </is>
      </c>
      <c r="B634" s="1" t="n">
        <v>44470</v>
      </c>
      <c r="C634" s="1" t="n">
        <v>45582</v>
      </c>
      <c r="D634" t="inlineStr">
        <is>
          <t>JÄMTLANDS LÄN</t>
        </is>
      </c>
      <c r="E634" t="inlineStr">
        <is>
          <t>KROKOM</t>
        </is>
      </c>
      <c r="G634" t="n">
        <v>9.9</v>
      </c>
      <c r="H634" t="n">
        <v>0</v>
      </c>
      <c r="I634" t="n">
        <v>0</v>
      </c>
      <c r="J634" t="n">
        <v>0</v>
      </c>
      <c r="K634" t="n">
        <v>0</v>
      </c>
      <c r="L634" t="n">
        <v>0</v>
      </c>
      <c r="M634" t="n">
        <v>0</v>
      </c>
      <c r="N634" t="n">
        <v>0</v>
      </c>
      <c r="O634" t="n">
        <v>0</v>
      </c>
      <c r="P634" t="n">
        <v>0</v>
      </c>
      <c r="Q634" t="n">
        <v>0</v>
      </c>
      <c r="R634" s="2" t="inlineStr"/>
    </row>
    <row r="635" ht="15" customHeight="1">
      <c r="A635" t="inlineStr">
        <is>
          <t>A 54037-2021</t>
        </is>
      </c>
      <c r="B635" s="1" t="n">
        <v>44470</v>
      </c>
      <c r="C635" s="1" t="n">
        <v>45582</v>
      </c>
      <c r="D635" t="inlineStr">
        <is>
          <t>JÄMTLANDS LÄN</t>
        </is>
      </c>
      <c r="E635" t="inlineStr">
        <is>
          <t>KROKOM</t>
        </is>
      </c>
      <c r="G635" t="n">
        <v>6.3</v>
      </c>
      <c r="H635" t="n">
        <v>0</v>
      </c>
      <c r="I635" t="n">
        <v>0</v>
      </c>
      <c r="J635" t="n">
        <v>0</v>
      </c>
      <c r="K635" t="n">
        <v>0</v>
      </c>
      <c r="L635" t="n">
        <v>0</v>
      </c>
      <c r="M635" t="n">
        <v>0</v>
      </c>
      <c r="N635" t="n">
        <v>0</v>
      </c>
      <c r="O635" t="n">
        <v>0</v>
      </c>
      <c r="P635" t="n">
        <v>0</v>
      </c>
      <c r="Q635" t="n">
        <v>0</v>
      </c>
      <c r="R635" s="2" t="inlineStr"/>
    </row>
    <row r="636" ht="15" customHeight="1">
      <c r="A636" t="inlineStr">
        <is>
          <t>A 54152-2021</t>
        </is>
      </c>
      <c r="B636" s="1" t="n">
        <v>44470</v>
      </c>
      <c r="C636" s="1" t="n">
        <v>45582</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54516-2021</t>
        </is>
      </c>
      <c r="B637" s="1" t="n">
        <v>44473</v>
      </c>
      <c r="C637" s="1" t="n">
        <v>45582</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54438-2021</t>
        </is>
      </c>
      <c r="B638" s="1" t="n">
        <v>44473</v>
      </c>
      <c r="C638" s="1" t="n">
        <v>45582</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54499-2021</t>
        </is>
      </c>
      <c r="B639" s="1" t="n">
        <v>44473</v>
      </c>
      <c r="C639" s="1" t="n">
        <v>45582</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54497-2021</t>
        </is>
      </c>
      <c r="B640" s="1" t="n">
        <v>44473</v>
      </c>
      <c r="C640" s="1" t="n">
        <v>45582</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54526-2021</t>
        </is>
      </c>
      <c r="B641" s="1" t="n">
        <v>44473</v>
      </c>
      <c r="C641" s="1" t="n">
        <v>45582</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54573-2021</t>
        </is>
      </c>
      <c r="B642" s="1" t="n">
        <v>44473</v>
      </c>
      <c r="C642" s="1" t="n">
        <v>45582</v>
      </c>
      <c r="D642" t="inlineStr">
        <is>
          <t>JÄMTLANDS LÄN</t>
        </is>
      </c>
      <c r="E642" t="inlineStr">
        <is>
          <t>KROKOM</t>
        </is>
      </c>
      <c r="G642" t="n">
        <v>7</v>
      </c>
      <c r="H642" t="n">
        <v>0</v>
      </c>
      <c r="I642" t="n">
        <v>0</v>
      </c>
      <c r="J642" t="n">
        <v>0</v>
      </c>
      <c r="K642" t="n">
        <v>0</v>
      </c>
      <c r="L642" t="n">
        <v>0</v>
      </c>
      <c r="M642" t="n">
        <v>0</v>
      </c>
      <c r="N642" t="n">
        <v>0</v>
      </c>
      <c r="O642" t="n">
        <v>0</v>
      </c>
      <c r="P642" t="n">
        <v>0</v>
      </c>
      <c r="Q642" t="n">
        <v>0</v>
      </c>
      <c r="R642" s="2" t="inlineStr"/>
    </row>
    <row r="643" ht="15" customHeight="1">
      <c r="A643" t="inlineStr">
        <is>
          <t>A 56577-2021</t>
        </is>
      </c>
      <c r="B643" s="1" t="n">
        <v>44480</v>
      </c>
      <c r="C643" s="1" t="n">
        <v>45582</v>
      </c>
      <c r="D643" t="inlineStr">
        <is>
          <t>JÄMTLANDS LÄN</t>
        </is>
      </c>
      <c r="E643" t="inlineStr">
        <is>
          <t>KROKOM</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57304-2021</t>
        </is>
      </c>
      <c r="B644" s="1" t="n">
        <v>44483</v>
      </c>
      <c r="C644" s="1" t="n">
        <v>45582</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58390-2021</t>
        </is>
      </c>
      <c r="B645" s="1" t="n">
        <v>44488</v>
      </c>
      <c r="C645" s="1" t="n">
        <v>45582</v>
      </c>
      <c r="D645" t="inlineStr">
        <is>
          <t>JÄMTLANDS LÄN</t>
        </is>
      </c>
      <c r="E645" t="inlineStr">
        <is>
          <t>KROKOM</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59506-2021</t>
        </is>
      </c>
      <c r="B646" s="1" t="n">
        <v>44491</v>
      </c>
      <c r="C646" s="1" t="n">
        <v>45582</v>
      </c>
      <c r="D646" t="inlineStr">
        <is>
          <t>JÄMTLANDS LÄN</t>
        </is>
      </c>
      <c r="E646" t="inlineStr">
        <is>
          <t>KROKOM</t>
        </is>
      </c>
      <c r="G646" t="n">
        <v>6</v>
      </c>
      <c r="H646" t="n">
        <v>0</v>
      </c>
      <c r="I646" t="n">
        <v>0</v>
      </c>
      <c r="J646" t="n">
        <v>0</v>
      </c>
      <c r="K646" t="n">
        <v>0</v>
      </c>
      <c r="L646" t="n">
        <v>0</v>
      </c>
      <c r="M646" t="n">
        <v>0</v>
      </c>
      <c r="N646" t="n">
        <v>0</v>
      </c>
      <c r="O646" t="n">
        <v>0</v>
      </c>
      <c r="P646" t="n">
        <v>0</v>
      </c>
      <c r="Q646" t="n">
        <v>0</v>
      </c>
      <c r="R646" s="2" t="inlineStr"/>
    </row>
    <row r="647" ht="15" customHeight="1">
      <c r="A647" t="inlineStr">
        <is>
          <t>A 59916-2021</t>
        </is>
      </c>
      <c r="B647" s="1" t="n">
        <v>44494</v>
      </c>
      <c r="C647" s="1" t="n">
        <v>45582</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59913-2021</t>
        </is>
      </c>
      <c r="B648" s="1" t="n">
        <v>44494</v>
      </c>
      <c r="C648" s="1" t="n">
        <v>45582</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60348-2021</t>
        </is>
      </c>
      <c r="B649" s="1" t="n">
        <v>44495</v>
      </c>
      <c r="C649" s="1" t="n">
        <v>45582</v>
      </c>
      <c r="D649" t="inlineStr">
        <is>
          <t>JÄMTLANDS LÄN</t>
        </is>
      </c>
      <c r="E649" t="inlineStr">
        <is>
          <t>KROKOM</t>
        </is>
      </c>
      <c r="G649" t="n">
        <v>11.2</v>
      </c>
      <c r="H649" t="n">
        <v>0</v>
      </c>
      <c r="I649" t="n">
        <v>0</v>
      </c>
      <c r="J649" t="n">
        <v>0</v>
      </c>
      <c r="K649" t="n">
        <v>0</v>
      </c>
      <c r="L649" t="n">
        <v>0</v>
      </c>
      <c r="M649" t="n">
        <v>0</v>
      </c>
      <c r="N649" t="n">
        <v>0</v>
      </c>
      <c r="O649" t="n">
        <v>0</v>
      </c>
      <c r="P649" t="n">
        <v>0</v>
      </c>
      <c r="Q649" t="n">
        <v>0</v>
      </c>
      <c r="R649" s="2" t="inlineStr"/>
    </row>
    <row r="650" ht="15" customHeight="1">
      <c r="A650" t="inlineStr">
        <is>
          <t>A 60351-2021</t>
        </is>
      </c>
      <c r="B650" s="1" t="n">
        <v>44495</v>
      </c>
      <c r="C650" s="1" t="n">
        <v>45582</v>
      </c>
      <c r="D650" t="inlineStr">
        <is>
          <t>JÄMTLANDS LÄN</t>
        </is>
      </c>
      <c r="E650" t="inlineStr">
        <is>
          <t>KROKOM</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61230-2021</t>
        </is>
      </c>
      <c r="B651" s="1" t="n">
        <v>44498</v>
      </c>
      <c r="C651" s="1" t="n">
        <v>45582</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61182-2021</t>
        </is>
      </c>
      <c r="B652" s="1" t="n">
        <v>44498</v>
      </c>
      <c r="C652" s="1" t="n">
        <v>45582</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61732-2021</t>
        </is>
      </c>
      <c r="B653" s="1" t="n">
        <v>44498</v>
      </c>
      <c r="C653" s="1" t="n">
        <v>45582</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62205-2021</t>
        </is>
      </c>
      <c r="B654" s="1" t="n">
        <v>44502</v>
      </c>
      <c r="C654" s="1" t="n">
        <v>45582</v>
      </c>
      <c r="D654" t="inlineStr">
        <is>
          <t>JÄMTLANDS LÄN</t>
        </is>
      </c>
      <c r="E654" t="inlineStr">
        <is>
          <t>KROKOM</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62206-2021</t>
        </is>
      </c>
      <c r="B655" s="1" t="n">
        <v>44502</v>
      </c>
      <c r="C655" s="1" t="n">
        <v>45582</v>
      </c>
      <c r="D655" t="inlineStr">
        <is>
          <t>JÄMTLANDS LÄN</t>
        </is>
      </c>
      <c r="E655" t="inlineStr">
        <is>
          <t>KROKOM</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62201-2021</t>
        </is>
      </c>
      <c r="B656" s="1" t="n">
        <v>44502</v>
      </c>
      <c r="C656" s="1" t="n">
        <v>45582</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62739-2021</t>
        </is>
      </c>
      <c r="B657" s="1" t="n">
        <v>44504</v>
      </c>
      <c r="C657" s="1" t="n">
        <v>45582</v>
      </c>
      <c r="D657" t="inlineStr">
        <is>
          <t>JÄMTLANDS LÄN</t>
        </is>
      </c>
      <c r="E657" t="inlineStr">
        <is>
          <t>KROKOM</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64299-2021</t>
        </is>
      </c>
      <c r="B658" s="1" t="n">
        <v>44510</v>
      </c>
      <c r="C658" s="1" t="n">
        <v>45582</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64298-2021</t>
        </is>
      </c>
      <c r="B659" s="1" t="n">
        <v>44510</v>
      </c>
      <c r="C659" s="1" t="n">
        <v>45582</v>
      </c>
      <c r="D659" t="inlineStr">
        <is>
          <t>JÄMTLANDS LÄN</t>
        </is>
      </c>
      <c r="E659" t="inlineStr">
        <is>
          <t>KROKOM</t>
        </is>
      </c>
      <c r="G659" t="n">
        <v>3.2</v>
      </c>
      <c r="H659" t="n">
        <v>0</v>
      </c>
      <c r="I659" t="n">
        <v>0</v>
      </c>
      <c r="J659" t="n">
        <v>0</v>
      </c>
      <c r="K659" t="n">
        <v>0</v>
      </c>
      <c r="L659" t="n">
        <v>0</v>
      </c>
      <c r="M659" t="n">
        <v>0</v>
      </c>
      <c r="N659" t="n">
        <v>0</v>
      </c>
      <c r="O659" t="n">
        <v>0</v>
      </c>
      <c r="P659" t="n">
        <v>0</v>
      </c>
      <c r="Q659" t="n">
        <v>0</v>
      </c>
      <c r="R659" s="2" t="inlineStr"/>
    </row>
    <row r="660" ht="15" customHeight="1">
      <c r="A660" t="inlineStr">
        <is>
          <t>A 64953-2021</t>
        </is>
      </c>
      <c r="B660" s="1" t="n">
        <v>44512</v>
      </c>
      <c r="C660" s="1" t="n">
        <v>45582</v>
      </c>
      <c r="D660" t="inlineStr">
        <is>
          <t>JÄMTLANDS LÄN</t>
        </is>
      </c>
      <c r="E660" t="inlineStr">
        <is>
          <t>KROKOM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64966-2021</t>
        </is>
      </c>
      <c r="B661" s="1" t="n">
        <v>44512</v>
      </c>
      <c r="C661" s="1" t="n">
        <v>45582</v>
      </c>
      <c r="D661" t="inlineStr">
        <is>
          <t>JÄMTLANDS LÄN</t>
        </is>
      </c>
      <c r="E661" t="inlineStr">
        <is>
          <t>KROKOM</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45582</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66477-2021</t>
        </is>
      </c>
      <c r="B663" s="1" t="n">
        <v>44518</v>
      </c>
      <c r="C663" s="1" t="n">
        <v>45582</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66476-2021</t>
        </is>
      </c>
      <c r="B664" s="1" t="n">
        <v>44518</v>
      </c>
      <c r="C664" s="1" t="n">
        <v>45582</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66683-2021</t>
        </is>
      </c>
      <c r="B665" s="1" t="n">
        <v>44519</v>
      </c>
      <c r="C665" s="1" t="n">
        <v>45582</v>
      </c>
      <c r="D665" t="inlineStr">
        <is>
          <t>JÄMTLANDS LÄN</t>
        </is>
      </c>
      <c r="E665" t="inlineStr">
        <is>
          <t>KROKOM</t>
        </is>
      </c>
      <c r="G665" t="n">
        <v>5.4</v>
      </c>
      <c r="H665" t="n">
        <v>0</v>
      </c>
      <c r="I665" t="n">
        <v>0</v>
      </c>
      <c r="J665" t="n">
        <v>0</v>
      </c>
      <c r="K665" t="n">
        <v>0</v>
      </c>
      <c r="L665" t="n">
        <v>0</v>
      </c>
      <c r="M665" t="n">
        <v>0</v>
      </c>
      <c r="N665" t="n">
        <v>0</v>
      </c>
      <c r="O665" t="n">
        <v>0</v>
      </c>
      <c r="P665" t="n">
        <v>0</v>
      </c>
      <c r="Q665" t="n">
        <v>0</v>
      </c>
      <c r="R665" s="2" t="inlineStr"/>
    </row>
    <row r="666" ht="15" customHeight="1">
      <c r="A666" t="inlineStr">
        <is>
          <t>A 66880-2021</t>
        </is>
      </c>
      <c r="B666" s="1" t="n">
        <v>44522</v>
      </c>
      <c r="C666" s="1" t="n">
        <v>45582</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67488-2021</t>
        </is>
      </c>
      <c r="B667" s="1" t="n">
        <v>44524</v>
      </c>
      <c r="C667" s="1" t="n">
        <v>45582</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67740-2021</t>
        </is>
      </c>
      <c r="B668" s="1" t="n">
        <v>44524</v>
      </c>
      <c r="C668" s="1" t="n">
        <v>45582</v>
      </c>
      <c r="D668" t="inlineStr">
        <is>
          <t>JÄMTLANDS LÄN</t>
        </is>
      </c>
      <c r="E668" t="inlineStr">
        <is>
          <t>KROKOM</t>
        </is>
      </c>
      <c r="G668" t="n">
        <v>12.3</v>
      </c>
      <c r="H668" t="n">
        <v>0</v>
      </c>
      <c r="I668" t="n">
        <v>0</v>
      </c>
      <c r="J668" t="n">
        <v>0</v>
      </c>
      <c r="K668" t="n">
        <v>0</v>
      </c>
      <c r="L668" t="n">
        <v>0</v>
      </c>
      <c r="M668" t="n">
        <v>0</v>
      </c>
      <c r="N668" t="n">
        <v>0</v>
      </c>
      <c r="O668" t="n">
        <v>0</v>
      </c>
      <c r="P668" t="n">
        <v>0</v>
      </c>
      <c r="Q668" t="n">
        <v>0</v>
      </c>
      <c r="R668" s="2" t="inlineStr"/>
    </row>
    <row r="669" ht="15" customHeight="1">
      <c r="A669" t="inlineStr">
        <is>
          <t>A 67797-2021</t>
        </is>
      </c>
      <c r="B669" s="1" t="n">
        <v>44524</v>
      </c>
      <c r="C669" s="1" t="n">
        <v>45582</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67722-2021</t>
        </is>
      </c>
      <c r="B670" s="1" t="n">
        <v>44525</v>
      </c>
      <c r="C670" s="1" t="n">
        <v>45582</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68686-2021</t>
        </is>
      </c>
      <c r="B671" s="1" t="n">
        <v>44526</v>
      </c>
      <c r="C671" s="1" t="n">
        <v>45582</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69751-2021</t>
        </is>
      </c>
      <c r="B672" s="1" t="n">
        <v>44532</v>
      </c>
      <c r="C672" s="1" t="n">
        <v>45582</v>
      </c>
      <c r="D672" t="inlineStr">
        <is>
          <t>JÄMTLANDS LÄN</t>
        </is>
      </c>
      <c r="E672" t="inlineStr">
        <is>
          <t>KROKOM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69949-2021</t>
        </is>
      </c>
      <c r="B673" s="1" t="n">
        <v>44533</v>
      </c>
      <c r="C673" s="1" t="n">
        <v>45582</v>
      </c>
      <c r="D673" t="inlineStr">
        <is>
          <t>JÄMTLANDS LÄN</t>
        </is>
      </c>
      <c r="E673" t="inlineStr">
        <is>
          <t>KROKOM</t>
        </is>
      </c>
      <c r="G673" t="n">
        <v>15.8</v>
      </c>
      <c r="H673" t="n">
        <v>0</v>
      </c>
      <c r="I673" t="n">
        <v>0</v>
      </c>
      <c r="J673" t="n">
        <v>0</v>
      </c>
      <c r="K673" t="n">
        <v>0</v>
      </c>
      <c r="L673" t="n">
        <v>0</v>
      </c>
      <c r="M673" t="n">
        <v>0</v>
      </c>
      <c r="N673" t="n">
        <v>0</v>
      </c>
      <c r="O673" t="n">
        <v>0</v>
      </c>
      <c r="P673" t="n">
        <v>0</v>
      </c>
      <c r="Q673" t="n">
        <v>0</v>
      </c>
      <c r="R673" s="2" t="inlineStr"/>
    </row>
    <row r="674" ht="15" customHeight="1">
      <c r="A674" t="inlineStr">
        <is>
          <t>A 69972-2021</t>
        </is>
      </c>
      <c r="B674" s="1" t="n">
        <v>44533</v>
      </c>
      <c r="C674" s="1" t="n">
        <v>45582</v>
      </c>
      <c r="D674" t="inlineStr">
        <is>
          <t>JÄMTLANDS LÄN</t>
        </is>
      </c>
      <c r="E674" t="inlineStr">
        <is>
          <t>KROKOM</t>
        </is>
      </c>
      <c r="G674" t="n">
        <v>22.9</v>
      </c>
      <c r="H674" t="n">
        <v>0</v>
      </c>
      <c r="I674" t="n">
        <v>0</v>
      </c>
      <c r="J674" t="n">
        <v>0</v>
      </c>
      <c r="K674" t="n">
        <v>0</v>
      </c>
      <c r="L674" t="n">
        <v>0</v>
      </c>
      <c r="M674" t="n">
        <v>0</v>
      </c>
      <c r="N674" t="n">
        <v>0</v>
      </c>
      <c r="O674" t="n">
        <v>0</v>
      </c>
      <c r="P674" t="n">
        <v>0</v>
      </c>
      <c r="Q674" t="n">
        <v>0</v>
      </c>
      <c r="R674" s="2" t="inlineStr"/>
    </row>
    <row r="675" ht="15" customHeight="1">
      <c r="A675" t="inlineStr">
        <is>
          <t>A 70222-2021</t>
        </is>
      </c>
      <c r="B675" s="1" t="n">
        <v>44535</v>
      </c>
      <c r="C675" s="1" t="n">
        <v>45582</v>
      </c>
      <c r="D675" t="inlineStr">
        <is>
          <t>JÄMTLANDS LÄN</t>
        </is>
      </c>
      <c r="E675" t="inlineStr">
        <is>
          <t>KROKOM</t>
        </is>
      </c>
      <c r="G675" t="n">
        <v>2.3</v>
      </c>
      <c r="H675" t="n">
        <v>0</v>
      </c>
      <c r="I675" t="n">
        <v>0</v>
      </c>
      <c r="J675" t="n">
        <v>0</v>
      </c>
      <c r="K675" t="n">
        <v>0</v>
      </c>
      <c r="L675" t="n">
        <v>0</v>
      </c>
      <c r="M675" t="n">
        <v>0</v>
      </c>
      <c r="N675" t="n">
        <v>0</v>
      </c>
      <c r="O675" t="n">
        <v>0</v>
      </c>
      <c r="P675" t="n">
        <v>0</v>
      </c>
      <c r="Q675" t="n">
        <v>0</v>
      </c>
      <c r="R675" s="2" t="inlineStr"/>
    </row>
    <row r="676" ht="15" customHeight="1">
      <c r="A676" t="inlineStr">
        <is>
          <t>A 71307-2021</t>
        </is>
      </c>
      <c r="B676" s="1" t="n">
        <v>44539</v>
      </c>
      <c r="C676" s="1" t="n">
        <v>45582</v>
      </c>
      <c r="D676" t="inlineStr">
        <is>
          <t>JÄMTLANDS LÄN</t>
        </is>
      </c>
      <c r="E676" t="inlineStr">
        <is>
          <t>KROKOM</t>
        </is>
      </c>
      <c r="G676" t="n">
        <v>21.5</v>
      </c>
      <c r="H676" t="n">
        <v>0</v>
      </c>
      <c r="I676" t="n">
        <v>0</v>
      </c>
      <c r="J676" t="n">
        <v>0</v>
      </c>
      <c r="K676" t="n">
        <v>0</v>
      </c>
      <c r="L676" t="n">
        <v>0</v>
      </c>
      <c r="M676" t="n">
        <v>0</v>
      </c>
      <c r="N676" t="n">
        <v>0</v>
      </c>
      <c r="O676" t="n">
        <v>0</v>
      </c>
      <c r="P676" t="n">
        <v>0</v>
      </c>
      <c r="Q676" t="n">
        <v>0</v>
      </c>
      <c r="R676" s="2" t="inlineStr"/>
    </row>
    <row r="677" ht="15" customHeight="1">
      <c r="A677" t="inlineStr">
        <is>
          <t>A 71246-2021</t>
        </is>
      </c>
      <c r="B677" s="1" t="n">
        <v>44539</v>
      </c>
      <c r="C677" s="1" t="n">
        <v>45582</v>
      </c>
      <c r="D677" t="inlineStr">
        <is>
          <t>JÄMTLANDS LÄN</t>
        </is>
      </c>
      <c r="E677" t="inlineStr">
        <is>
          <t>KROKOM</t>
        </is>
      </c>
      <c r="G677" t="n">
        <v>0.7</v>
      </c>
      <c r="H677" t="n">
        <v>0</v>
      </c>
      <c r="I677" t="n">
        <v>0</v>
      </c>
      <c r="J677" t="n">
        <v>0</v>
      </c>
      <c r="K677" t="n">
        <v>0</v>
      </c>
      <c r="L677" t="n">
        <v>0</v>
      </c>
      <c r="M677" t="n">
        <v>0</v>
      </c>
      <c r="N677" t="n">
        <v>0</v>
      </c>
      <c r="O677" t="n">
        <v>0</v>
      </c>
      <c r="P677" t="n">
        <v>0</v>
      </c>
      <c r="Q677" t="n">
        <v>0</v>
      </c>
      <c r="R677" s="2" t="inlineStr"/>
    </row>
    <row r="678" ht="15" customHeight="1">
      <c r="A678" t="inlineStr">
        <is>
          <t>A 71572-2021</t>
        </is>
      </c>
      <c r="B678" s="1" t="n">
        <v>44540</v>
      </c>
      <c r="C678" s="1" t="n">
        <v>45582</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71654-2021</t>
        </is>
      </c>
      <c r="B679" s="1" t="n">
        <v>44543</v>
      </c>
      <c r="C679" s="1" t="n">
        <v>45582</v>
      </c>
      <c r="D679" t="inlineStr">
        <is>
          <t>JÄMTLANDS LÄN</t>
        </is>
      </c>
      <c r="E679" t="inlineStr">
        <is>
          <t>KROKOM</t>
        </is>
      </c>
      <c r="G679" t="n">
        <v>4.4</v>
      </c>
      <c r="H679" t="n">
        <v>0</v>
      </c>
      <c r="I679" t="n">
        <v>0</v>
      </c>
      <c r="J679" t="n">
        <v>0</v>
      </c>
      <c r="K679" t="n">
        <v>0</v>
      </c>
      <c r="L679" t="n">
        <v>0</v>
      </c>
      <c r="M679" t="n">
        <v>0</v>
      </c>
      <c r="N679" t="n">
        <v>0</v>
      </c>
      <c r="O679" t="n">
        <v>0</v>
      </c>
      <c r="P679" t="n">
        <v>0</v>
      </c>
      <c r="Q679" t="n">
        <v>0</v>
      </c>
      <c r="R679" s="2" t="inlineStr"/>
    </row>
    <row r="680" ht="15" customHeight="1">
      <c r="A680" t="inlineStr">
        <is>
          <t>A 72286-2021</t>
        </is>
      </c>
      <c r="B680" s="1" t="n">
        <v>44543</v>
      </c>
      <c r="C680" s="1" t="n">
        <v>45582</v>
      </c>
      <c r="D680" t="inlineStr">
        <is>
          <t>JÄMTLANDS LÄN</t>
        </is>
      </c>
      <c r="E680" t="inlineStr">
        <is>
          <t>KROKOM</t>
        </is>
      </c>
      <c r="G680" t="n">
        <v>2.3</v>
      </c>
      <c r="H680" t="n">
        <v>0</v>
      </c>
      <c r="I680" t="n">
        <v>0</v>
      </c>
      <c r="J680" t="n">
        <v>0</v>
      </c>
      <c r="K680" t="n">
        <v>0</v>
      </c>
      <c r="L680" t="n">
        <v>0</v>
      </c>
      <c r="M680" t="n">
        <v>0</v>
      </c>
      <c r="N680" t="n">
        <v>0</v>
      </c>
      <c r="O680" t="n">
        <v>0</v>
      </c>
      <c r="P680" t="n">
        <v>0</v>
      </c>
      <c r="Q680" t="n">
        <v>0</v>
      </c>
      <c r="R680" s="2" t="inlineStr"/>
    </row>
    <row r="681" ht="15" customHeight="1">
      <c r="A681" t="inlineStr">
        <is>
          <t>A 72064-2021</t>
        </is>
      </c>
      <c r="B681" s="1" t="n">
        <v>44544</v>
      </c>
      <c r="C681" s="1" t="n">
        <v>45582</v>
      </c>
      <c r="D681" t="inlineStr">
        <is>
          <t>JÄMTLANDS LÄN</t>
        </is>
      </c>
      <c r="E681" t="inlineStr">
        <is>
          <t>KROKOM</t>
        </is>
      </c>
      <c r="G681" t="n">
        <v>18.7</v>
      </c>
      <c r="H681" t="n">
        <v>0</v>
      </c>
      <c r="I681" t="n">
        <v>0</v>
      </c>
      <c r="J681" t="n">
        <v>0</v>
      </c>
      <c r="K681" t="n">
        <v>0</v>
      </c>
      <c r="L681" t="n">
        <v>0</v>
      </c>
      <c r="M681" t="n">
        <v>0</v>
      </c>
      <c r="N681" t="n">
        <v>0</v>
      </c>
      <c r="O681" t="n">
        <v>0</v>
      </c>
      <c r="P681" t="n">
        <v>0</v>
      </c>
      <c r="Q681" t="n">
        <v>0</v>
      </c>
      <c r="R681" s="2" t="inlineStr"/>
    </row>
    <row r="682" ht="15" customHeight="1">
      <c r="A682" t="inlineStr">
        <is>
          <t>A 72599-2021</t>
        </is>
      </c>
      <c r="B682" s="1" t="n">
        <v>44544</v>
      </c>
      <c r="C682" s="1" t="n">
        <v>45582</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72591-2021</t>
        </is>
      </c>
      <c r="B683" s="1" t="n">
        <v>44544</v>
      </c>
      <c r="C683" s="1" t="n">
        <v>45582</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72482-2021</t>
        </is>
      </c>
      <c r="B684" s="1" t="n">
        <v>44545</v>
      </c>
      <c r="C684" s="1" t="n">
        <v>45582</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73174-2021</t>
        </is>
      </c>
      <c r="B685" s="1" t="n">
        <v>44550</v>
      </c>
      <c r="C685" s="1" t="n">
        <v>45582</v>
      </c>
      <c r="D685" t="inlineStr">
        <is>
          <t>JÄMTLANDS LÄN</t>
        </is>
      </c>
      <c r="E685" t="inlineStr">
        <is>
          <t>KROKOM</t>
        </is>
      </c>
      <c r="G685" t="n">
        <v>152.9</v>
      </c>
      <c r="H685" t="n">
        <v>0</v>
      </c>
      <c r="I685" t="n">
        <v>0</v>
      </c>
      <c r="J685" t="n">
        <v>0</v>
      </c>
      <c r="K685" t="n">
        <v>0</v>
      </c>
      <c r="L685" t="n">
        <v>0</v>
      </c>
      <c r="M685" t="n">
        <v>0</v>
      </c>
      <c r="N685" t="n">
        <v>0</v>
      </c>
      <c r="O685" t="n">
        <v>0</v>
      </c>
      <c r="P685" t="n">
        <v>0</v>
      </c>
      <c r="Q685" t="n">
        <v>0</v>
      </c>
      <c r="R685" s="2" t="inlineStr"/>
    </row>
    <row r="686" ht="15" customHeight="1">
      <c r="A686" t="inlineStr">
        <is>
          <t>A 74011-2021</t>
        </is>
      </c>
      <c r="B686" s="1" t="n">
        <v>44557</v>
      </c>
      <c r="C686" s="1" t="n">
        <v>45582</v>
      </c>
      <c r="D686" t="inlineStr">
        <is>
          <t>JÄMTLANDS LÄN</t>
        </is>
      </c>
      <c r="E686" t="inlineStr">
        <is>
          <t>KROKOM</t>
        </is>
      </c>
      <c r="G686" t="n">
        <v>33.2</v>
      </c>
      <c r="H686" t="n">
        <v>0</v>
      </c>
      <c r="I686" t="n">
        <v>0</v>
      </c>
      <c r="J686" t="n">
        <v>0</v>
      </c>
      <c r="K686" t="n">
        <v>0</v>
      </c>
      <c r="L686" t="n">
        <v>0</v>
      </c>
      <c r="M686" t="n">
        <v>0</v>
      </c>
      <c r="N686" t="n">
        <v>0</v>
      </c>
      <c r="O686" t="n">
        <v>0</v>
      </c>
      <c r="P686" t="n">
        <v>0</v>
      </c>
      <c r="Q686" t="n">
        <v>0</v>
      </c>
      <c r="R686" s="2" t="inlineStr"/>
    </row>
    <row r="687" ht="15" customHeight="1">
      <c r="A687" t="inlineStr">
        <is>
          <t>A 804-2022</t>
        </is>
      </c>
      <c r="B687" s="1" t="n">
        <v>44568</v>
      </c>
      <c r="C687" s="1" t="n">
        <v>45582</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1625-2022</t>
        </is>
      </c>
      <c r="B688" s="1" t="n">
        <v>44573</v>
      </c>
      <c r="C688" s="1" t="n">
        <v>45582</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2093-2022</t>
        </is>
      </c>
      <c r="B689" s="1" t="n">
        <v>44577</v>
      </c>
      <c r="C689" s="1" t="n">
        <v>45582</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3231-2022</t>
        </is>
      </c>
      <c r="B690" s="1" t="n">
        <v>44582</v>
      </c>
      <c r="C690" s="1" t="n">
        <v>45582</v>
      </c>
      <c r="D690" t="inlineStr">
        <is>
          <t>JÄMTLANDS LÄN</t>
        </is>
      </c>
      <c r="E690" t="inlineStr">
        <is>
          <t>KROKOM</t>
        </is>
      </c>
      <c r="G690" t="n">
        <v>23</v>
      </c>
      <c r="H690" t="n">
        <v>0</v>
      </c>
      <c r="I690" t="n">
        <v>0</v>
      </c>
      <c r="J690" t="n">
        <v>0</v>
      </c>
      <c r="K690" t="n">
        <v>0</v>
      </c>
      <c r="L690" t="n">
        <v>0</v>
      </c>
      <c r="M690" t="n">
        <v>0</v>
      </c>
      <c r="N690" t="n">
        <v>0</v>
      </c>
      <c r="O690" t="n">
        <v>0</v>
      </c>
      <c r="P690" t="n">
        <v>0</v>
      </c>
      <c r="Q690" t="n">
        <v>0</v>
      </c>
      <c r="R690" s="2" t="inlineStr"/>
    </row>
    <row r="691" ht="15" customHeight="1">
      <c r="A691" t="inlineStr">
        <is>
          <t>A 4569-2022</t>
        </is>
      </c>
      <c r="B691" s="1" t="n">
        <v>44591</v>
      </c>
      <c r="C691" s="1" t="n">
        <v>45582</v>
      </c>
      <c r="D691" t="inlineStr">
        <is>
          <t>JÄMTLANDS LÄN</t>
        </is>
      </c>
      <c r="E691" t="inlineStr">
        <is>
          <t>KROKOM</t>
        </is>
      </c>
      <c r="G691" t="n">
        <v>20.3</v>
      </c>
      <c r="H691" t="n">
        <v>0</v>
      </c>
      <c r="I691" t="n">
        <v>0</v>
      </c>
      <c r="J691" t="n">
        <v>0</v>
      </c>
      <c r="K691" t="n">
        <v>0</v>
      </c>
      <c r="L691" t="n">
        <v>0</v>
      </c>
      <c r="M691" t="n">
        <v>0</v>
      </c>
      <c r="N691" t="n">
        <v>0</v>
      </c>
      <c r="O691" t="n">
        <v>0</v>
      </c>
      <c r="P691" t="n">
        <v>0</v>
      </c>
      <c r="Q691" t="n">
        <v>0</v>
      </c>
      <c r="R691" s="2" t="inlineStr"/>
    </row>
    <row r="692" ht="15" customHeight="1">
      <c r="A692" t="inlineStr">
        <is>
          <t>A 4741-2022</t>
        </is>
      </c>
      <c r="B692" s="1" t="n">
        <v>44592</v>
      </c>
      <c r="C692" s="1" t="n">
        <v>45582</v>
      </c>
      <c r="D692" t="inlineStr">
        <is>
          <t>JÄMTLANDS LÄN</t>
        </is>
      </c>
      <c r="E692" t="inlineStr">
        <is>
          <t>KROKOM</t>
        </is>
      </c>
      <c r="G692" t="n">
        <v>54.2</v>
      </c>
      <c r="H692" t="n">
        <v>0</v>
      </c>
      <c r="I692" t="n">
        <v>0</v>
      </c>
      <c r="J692" t="n">
        <v>0</v>
      </c>
      <c r="K692" t="n">
        <v>0</v>
      </c>
      <c r="L692" t="n">
        <v>0</v>
      </c>
      <c r="M692" t="n">
        <v>0</v>
      </c>
      <c r="N692" t="n">
        <v>0</v>
      </c>
      <c r="O692" t="n">
        <v>0</v>
      </c>
      <c r="P692" t="n">
        <v>0</v>
      </c>
      <c r="Q692" t="n">
        <v>0</v>
      </c>
      <c r="R692" s="2" t="inlineStr"/>
    </row>
    <row r="693" ht="15" customHeight="1">
      <c r="A693" t="inlineStr">
        <is>
          <t>A 5693-2022</t>
        </is>
      </c>
      <c r="B693" s="1" t="n">
        <v>44596</v>
      </c>
      <c r="C693" s="1" t="n">
        <v>45582</v>
      </c>
      <c r="D693" t="inlineStr">
        <is>
          <t>JÄMTLANDS LÄN</t>
        </is>
      </c>
      <c r="E693" t="inlineStr">
        <is>
          <t>KROKOM</t>
        </is>
      </c>
      <c r="G693" t="n">
        <v>40.8</v>
      </c>
      <c r="H693" t="n">
        <v>0</v>
      </c>
      <c r="I693" t="n">
        <v>0</v>
      </c>
      <c r="J693" t="n">
        <v>0</v>
      </c>
      <c r="K693" t="n">
        <v>0</v>
      </c>
      <c r="L693" t="n">
        <v>0</v>
      </c>
      <c r="M693" t="n">
        <v>0</v>
      </c>
      <c r="N693" t="n">
        <v>0</v>
      </c>
      <c r="O693" t="n">
        <v>0</v>
      </c>
      <c r="P693" t="n">
        <v>0</v>
      </c>
      <c r="Q693" t="n">
        <v>0</v>
      </c>
      <c r="R693" s="2" t="inlineStr"/>
    </row>
    <row r="694" ht="15" customHeight="1">
      <c r="A694" t="inlineStr">
        <is>
          <t>A 6214-2022</t>
        </is>
      </c>
      <c r="B694" s="1" t="n">
        <v>44600</v>
      </c>
      <c r="C694" s="1" t="n">
        <v>45582</v>
      </c>
      <c r="D694" t="inlineStr">
        <is>
          <t>JÄMTLANDS LÄN</t>
        </is>
      </c>
      <c r="E694" t="inlineStr">
        <is>
          <t>KROKOM</t>
        </is>
      </c>
      <c r="G694" t="n">
        <v>1.1</v>
      </c>
      <c r="H694" t="n">
        <v>0</v>
      </c>
      <c r="I694" t="n">
        <v>0</v>
      </c>
      <c r="J694" t="n">
        <v>0</v>
      </c>
      <c r="K694" t="n">
        <v>0</v>
      </c>
      <c r="L694" t="n">
        <v>0</v>
      </c>
      <c r="M694" t="n">
        <v>0</v>
      </c>
      <c r="N694" t="n">
        <v>0</v>
      </c>
      <c r="O694" t="n">
        <v>0</v>
      </c>
      <c r="P694" t="n">
        <v>0</v>
      </c>
      <c r="Q694" t="n">
        <v>0</v>
      </c>
      <c r="R694" s="2" t="inlineStr"/>
    </row>
    <row r="695" ht="15" customHeight="1">
      <c r="A695" t="inlineStr">
        <is>
          <t>A 6451-2022</t>
        </is>
      </c>
      <c r="B695" s="1" t="n">
        <v>44601</v>
      </c>
      <c r="C695" s="1" t="n">
        <v>45582</v>
      </c>
      <c r="D695" t="inlineStr">
        <is>
          <t>JÄMTLANDS LÄN</t>
        </is>
      </c>
      <c r="E695" t="inlineStr">
        <is>
          <t>KROKOM</t>
        </is>
      </c>
      <c r="G695" t="n">
        <v>5.8</v>
      </c>
      <c r="H695" t="n">
        <v>0</v>
      </c>
      <c r="I695" t="n">
        <v>0</v>
      </c>
      <c r="J695" t="n">
        <v>0</v>
      </c>
      <c r="K695" t="n">
        <v>0</v>
      </c>
      <c r="L695" t="n">
        <v>0</v>
      </c>
      <c r="M695" t="n">
        <v>0</v>
      </c>
      <c r="N695" t="n">
        <v>0</v>
      </c>
      <c r="O695" t="n">
        <v>0</v>
      </c>
      <c r="P695" t="n">
        <v>0</v>
      </c>
      <c r="Q695" t="n">
        <v>0</v>
      </c>
      <c r="R695" s="2" t="inlineStr"/>
    </row>
    <row r="696" ht="15" customHeight="1">
      <c r="A696" t="inlineStr">
        <is>
          <t>A 7180-2022</t>
        </is>
      </c>
      <c r="B696" s="1" t="n">
        <v>44605</v>
      </c>
      <c r="C696" s="1" t="n">
        <v>45582</v>
      </c>
      <c r="D696" t="inlineStr">
        <is>
          <t>JÄMTLANDS LÄN</t>
        </is>
      </c>
      <c r="E696" t="inlineStr">
        <is>
          <t>KROKOM</t>
        </is>
      </c>
      <c r="G696" t="n">
        <v>5.9</v>
      </c>
      <c r="H696" t="n">
        <v>0</v>
      </c>
      <c r="I696" t="n">
        <v>0</v>
      </c>
      <c r="J696" t="n">
        <v>0</v>
      </c>
      <c r="K696" t="n">
        <v>0</v>
      </c>
      <c r="L696" t="n">
        <v>0</v>
      </c>
      <c r="M696" t="n">
        <v>0</v>
      </c>
      <c r="N696" t="n">
        <v>0</v>
      </c>
      <c r="O696" t="n">
        <v>0</v>
      </c>
      <c r="P696" t="n">
        <v>0</v>
      </c>
      <c r="Q696" t="n">
        <v>0</v>
      </c>
      <c r="R696" s="2" t="inlineStr"/>
    </row>
    <row r="697" ht="15" customHeight="1">
      <c r="A697" t="inlineStr">
        <is>
          <t>A 8230-2022</t>
        </is>
      </c>
      <c r="B697" s="1" t="n">
        <v>44609</v>
      </c>
      <c r="C697" s="1" t="n">
        <v>45582</v>
      </c>
      <c r="D697" t="inlineStr">
        <is>
          <t>JÄMTLANDS LÄN</t>
        </is>
      </c>
      <c r="E697" t="inlineStr">
        <is>
          <t>KROKOM</t>
        </is>
      </c>
      <c r="F697" t="inlineStr">
        <is>
          <t>SCA</t>
        </is>
      </c>
      <c r="G697" t="n">
        <v>11.3</v>
      </c>
      <c r="H697" t="n">
        <v>0</v>
      </c>
      <c r="I697" t="n">
        <v>0</v>
      </c>
      <c r="J697" t="n">
        <v>0</v>
      </c>
      <c r="K697" t="n">
        <v>0</v>
      </c>
      <c r="L697" t="n">
        <v>0</v>
      </c>
      <c r="M697" t="n">
        <v>0</v>
      </c>
      <c r="N697" t="n">
        <v>0</v>
      </c>
      <c r="O697" t="n">
        <v>0</v>
      </c>
      <c r="P697" t="n">
        <v>0</v>
      </c>
      <c r="Q697" t="n">
        <v>0</v>
      </c>
      <c r="R697" s="2" t="inlineStr"/>
    </row>
    <row r="698" ht="15" customHeight="1">
      <c r="A698" t="inlineStr">
        <is>
          <t>A 8569-2022</t>
        </is>
      </c>
      <c r="B698" s="1" t="n">
        <v>44610</v>
      </c>
      <c r="C698" s="1" t="n">
        <v>45582</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8559-2022</t>
        </is>
      </c>
      <c r="B699" s="1" t="n">
        <v>44610</v>
      </c>
      <c r="C699" s="1" t="n">
        <v>45582</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11113-2022</t>
        </is>
      </c>
      <c r="B700" s="1" t="n">
        <v>44628</v>
      </c>
      <c r="C700" s="1" t="n">
        <v>45582</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45582</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12543-2022</t>
        </is>
      </c>
      <c r="B702" s="1" t="n">
        <v>44638</v>
      </c>
      <c r="C702" s="1" t="n">
        <v>45582</v>
      </c>
      <c r="D702" t="inlineStr">
        <is>
          <t>JÄMTLANDS LÄN</t>
        </is>
      </c>
      <c r="E702" t="inlineStr">
        <is>
          <t>KROKOM</t>
        </is>
      </c>
      <c r="G702" t="n">
        <v>7.9</v>
      </c>
      <c r="H702" t="n">
        <v>0</v>
      </c>
      <c r="I702" t="n">
        <v>0</v>
      </c>
      <c r="J702" t="n">
        <v>0</v>
      </c>
      <c r="K702" t="n">
        <v>0</v>
      </c>
      <c r="L702" t="n">
        <v>0</v>
      </c>
      <c r="M702" t="n">
        <v>0</v>
      </c>
      <c r="N702" t="n">
        <v>0</v>
      </c>
      <c r="O702" t="n">
        <v>0</v>
      </c>
      <c r="P702" t="n">
        <v>0</v>
      </c>
      <c r="Q702" t="n">
        <v>0</v>
      </c>
      <c r="R702" s="2" t="inlineStr"/>
    </row>
    <row r="703" ht="15" customHeight="1">
      <c r="A703" t="inlineStr">
        <is>
          <t>A 14341-2022</t>
        </is>
      </c>
      <c r="B703" s="1" t="n">
        <v>44652</v>
      </c>
      <c r="C703" s="1" t="n">
        <v>45582</v>
      </c>
      <c r="D703" t="inlineStr">
        <is>
          <t>JÄMTLANDS LÄN</t>
        </is>
      </c>
      <c r="E703" t="inlineStr">
        <is>
          <t>KROKOM</t>
        </is>
      </c>
      <c r="G703" t="n">
        <v>39.8</v>
      </c>
      <c r="H703" t="n">
        <v>0</v>
      </c>
      <c r="I703" t="n">
        <v>0</v>
      </c>
      <c r="J703" t="n">
        <v>0</v>
      </c>
      <c r="K703" t="n">
        <v>0</v>
      </c>
      <c r="L703" t="n">
        <v>0</v>
      </c>
      <c r="M703" t="n">
        <v>0</v>
      </c>
      <c r="N703" t="n">
        <v>0</v>
      </c>
      <c r="O703" t="n">
        <v>0</v>
      </c>
      <c r="P703" t="n">
        <v>0</v>
      </c>
      <c r="Q703" t="n">
        <v>0</v>
      </c>
      <c r="R703" s="2" t="inlineStr"/>
    </row>
    <row r="704" ht="15" customHeight="1">
      <c r="A704" t="inlineStr">
        <is>
          <t>A 15231-2022</t>
        </is>
      </c>
      <c r="B704" s="1" t="n">
        <v>44658</v>
      </c>
      <c r="C704" s="1" t="n">
        <v>45582</v>
      </c>
      <c r="D704" t="inlineStr">
        <is>
          <t>JÄMTLANDS LÄN</t>
        </is>
      </c>
      <c r="E704" t="inlineStr">
        <is>
          <t>KROKOM</t>
        </is>
      </c>
      <c r="G704" t="n">
        <v>5.7</v>
      </c>
      <c r="H704" t="n">
        <v>0</v>
      </c>
      <c r="I704" t="n">
        <v>0</v>
      </c>
      <c r="J704" t="n">
        <v>0</v>
      </c>
      <c r="K704" t="n">
        <v>0</v>
      </c>
      <c r="L704" t="n">
        <v>0</v>
      </c>
      <c r="M704" t="n">
        <v>0</v>
      </c>
      <c r="N704" t="n">
        <v>0</v>
      </c>
      <c r="O704" t="n">
        <v>0</v>
      </c>
      <c r="P704" t="n">
        <v>0</v>
      </c>
      <c r="Q704" t="n">
        <v>0</v>
      </c>
      <c r="R704" s="2" t="inlineStr"/>
    </row>
    <row r="705" ht="15" customHeight="1">
      <c r="A705" t="inlineStr">
        <is>
          <t>A 16037-2022</t>
        </is>
      </c>
      <c r="B705" s="1" t="n">
        <v>44665</v>
      </c>
      <c r="C705" s="1" t="n">
        <v>45582</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16694-2022</t>
        </is>
      </c>
      <c r="B706" s="1" t="n">
        <v>44672</v>
      </c>
      <c r="C706" s="1" t="n">
        <v>45582</v>
      </c>
      <c r="D706" t="inlineStr">
        <is>
          <t>JÄMTLANDS LÄN</t>
        </is>
      </c>
      <c r="E706" t="inlineStr">
        <is>
          <t>KROKOM</t>
        </is>
      </c>
      <c r="G706" t="n">
        <v>16.9</v>
      </c>
      <c r="H706" t="n">
        <v>0</v>
      </c>
      <c r="I706" t="n">
        <v>0</v>
      </c>
      <c r="J706" t="n">
        <v>0</v>
      </c>
      <c r="K706" t="n">
        <v>0</v>
      </c>
      <c r="L706" t="n">
        <v>0</v>
      </c>
      <c r="M706" t="n">
        <v>0</v>
      </c>
      <c r="N706" t="n">
        <v>0</v>
      </c>
      <c r="O706" t="n">
        <v>0</v>
      </c>
      <c r="P706" t="n">
        <v>0</v>
      </c>
      <c r="Q706" t="n">
        <v>0</v>
      </c>
      <c r="R706" s="2" t="inlineStr"/>
    </row>
    <row r="707" ht="15" customHeight="1">
      <c r="A707" t="inlineStr">
        <is>
          <t>A 17051-2022</t>
        </is>
      </c>
      <c r="B707" s="1" t="n">
        <v>44677</v>
      </c>
      <c r="C707" s="1" t="n">
        <v>45582</v>
      </c>
      <c r="D707" t="inlineStr">
        <is>
          <t>JÄMTLANDS LÄN</t>
        </is>
      </c>
      <c r="E707" t="inlineStr">
        <is>
          <t>KROKOM</t>
        </is>
      </c>
      <c r="G707" t="n">
        <v>14.3</v>
      </c>
      <c r="H707" t="n">
        <v>0</v>
      </c>
      <c r="I707" t="n">
        <v>0</v>
      </c>
      <c r="J707" t="n">
        <v>0</v>
      </c>
      <c r="K707" t="n">
        <v>0</v>
      </c>
      <c r="L707" t="n">
        <v>0</v>
      </c>
      <c r="M707" t="n">
        <v>0</v>
      </c>
      <c r="N707" t="n">
        <v>0</v>
      </c>
      <c r="O707" t="n">
        <v>0</v>
      </c>
      <c r="P707" t="n">
        <v>0</v>
      </c>
      <c r="Q707" t="n">
        <v>0</v>
      </c>
      <c r="R707" s="2" t="inlineStr"/>
    </row>
    <row r="708" ht="15" customHeight="1">
      <c r="A708" t="inlineStr">
        <is>
          <t>A 17528-2022</t>
        </is>
      </c>
      <c r="B708" s="1" t="n">
        <v>44679</v>
      </c>
      <c r="C708" s="1" t="n">
        <v>45582</v>
      </c>
      <c r="D708" t="inlineStr">
        <is>
          <t>JÄMTLANDS LÄN</t>
        </is>
      </c>
      <c r="E708" t="inlineStr">
        <is>
          <t>KROKOM</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18426-2022</t>
        </is>
      </c>
      <c r="B709" s="1" t="n">
        <v>44686</v>
      </c>
      <c r="C709" s="1" t="n">
        <v>45582</v>
      </c>
      <c r="D709" t="inlineStr">
        <is>
          <t>JÄMTLANDS LÄN</t>
        </is>
      </c>
      <c r="E709" t="inlineStr">
        <is>
          <t>KROKOM</t>
        </is>
      </c>
      <c r="F709" t="inlineStr">
        <is>
          <t>Övriga Aktiebolag</t>
        </is>
      </c>
      <c r="G709" t="n">
        <v>24.8</v>
      </c>
      <c r="H709" t="n">
        <v>0</v>
      </c>
      <c r="I709" t="n">
        <v>0</v>
      </c>
      <c r="J709" t="n">
        <v>0</v>
      </c>
      <c r="K709" t="n">
        <v>0</v>
      </c>
      <c r="L709" t="n">
        <v>0</v>
      </c>
      <c r="M709" t="n">
        <v>0</v>
      </c>
      <c r="N709" t="n">
        <v>0</v>
      </c>
      <c r="O709" t="n">
        <v>0</v>
      </c>
      <c r="P709" t="n">
        <v>0</v>
      </c>
      <c r="Q709" t="n">
        <v>0</v>
      </c>
      <c r="R709" s="2" t="inlineStr"/>
    </row>
    <row r="710" ht="15" customHeight="1">
      <c r="A710" t="inlineStr">
        <is>
          <t>A 18466-2022</t>
        </is>
      </c>
      <c r="B710" s="1" t="n">
        <v>44686</v>
      </c>
      <c r="C710" s="1" t="n">
        <v>45582</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18476-2022</t>
        </is>
      </c>
      <c r="B711" s="1" t="n">
        <v>44686</v>
      </c>
      <c r="C711" s="1" t="n">
        <v>45582</v>
      </c>
      <c r="D711" t="inlineStr">
        <is>
          <t>JÄMTLANDS LÄN</t>
        </is>
      </c>
      <c r="E711" t="inlineStr">
        <is>
          <t>KROKOM</t>
        </is>
      </c>
      <c r="G711" t="n">
        <v>11.7</v>
      </c>
      <c r="H711" t="n">
        <v>0</v>
      </c>
      <c r="I711" t="n">
        <v>0</v>
      </c>
      <c r="J711" t="n">
        <v>0</v>
      </c>
      <c r="K711" t="n">
        <v>0</v>
      </c>
      <c r="L711" t="n">
        <v>0</v>
      </c>
      <c r="M711" t="n">
        <v>0</v>
      </c>
      <c r="N711" t="n">
        <v>0</v>
      </c>
      <c r="O711" t="n">
        <v>0</v>
      </c>
      <c r="P711" t="n">
        <v>0</v>
      </c>
      <c r="Q711" t="n">
        <v>0</v>
      </c>
      <c r="R711" s="2" t="inlineStr"/>
    </row>
    <row r="712" ht="15" customHeight="1">
      <c r="A712" t="inlineStr">
        <is>
          <t>A 18671-2022</t>
        </is>
      </c>
      <c r="B712" s="1" t="n">
        <v>44687</v>
      </c>
      <c r="C712" s="1" t="n">
        <v>45582</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18669-2022</t>
        </is>
      </c>
      <c r="B713" s="1" t="n">
        <v>44687</v>
      </c>
      <c r="C713" s="1" t="n">
        <v>45582</v>
      </c>
      <c r="D713" t="inlineStr">
        <is>
          <t>JÄMTLANDS LÄN</t>
        </is>
      </c>
      <c r="E713" t="inlineStr">
        <is>
          <t>KROKOM</t>
        </is>
      </c>
      <c r="G713" t="n">
        <v>2.8</v>
      </c>
      <c r="H713" t="n">
        <v>0</v>
      </c>
      <c r="I713" t="n">
        <v>0</v>
      </c>
      <c r="J713" t="n">
        <v>0</v>
      </c>
      <c r="K713" t="n">
        <v>0</v>
      </c>
      <c r="L713" t="n">
        <v>0</v>
      </c>
      <c r="M713" t="n">
        <v>0</v>
      </c>
      <c r="N713" t="n">
        <v>0</v>
      </c>
      <c r="O713" t="n">
        <v>0</v>
      </c>
      <c r="P713" t="n">
        <v>0</v>
      </c>
      <c r="Q713" t="n">
        <v>0</v>
      </c>
      <c r="R713" s="2" t="inlineStr"/>
    </row>
    <row r="714" ht="15" customHeight="1">
      <c r="A714" t="inlineStr">
        <is>
          <t>A 18957-2022</t>
        </is>
      </c>
      <c r="B714" s="1" t="n">
        <v>44690</v>
      </c>
      <c r="C714" s="1" t="n">
        <v>45582</v>
      </c>
      <c r="D714" t="inlineStr">
        <is>
          <t>JÄMTLANDS LÄN</t>
        </is>
      </c>
      <c r="E714" t="inlineStr">
        <is>
          <t>KROKOM</t>
        </is>
      </c>
      <c r="G714" t="n">
        <v>11.5</v>
      </c>
      <c r="H714" t="n">
        <v>0</v>
      </c>
      <c r="I714" t="n">
        <v>0</v>
      </c>
      <c r="J714" t="n">
        <v>0</v>
      </c>
      <c r="K714" t="n">
        <v>0</v>
      </c>
      <c r="L714" t="n">
        <v>0</v>
      </c>
      <c r="M714" t="n">
        <v>0</v>
      </c>
      <c r="N714" t="n">
        <v>0</v>
      </c>
      <c r="O714" t="n">
        <v>0</v>
      </c>
      <c r="P714" t="n">
        <v>0</v>
      </c>
      <c r="Q714" t="n">
        <v>0</v>
      </c>
      <c r="R714" s="2" t="inlineStr"/>
    </row>
    <row r="715" ht="15" customHeight="1">
      <c r="A715" t="inlineStr">
        <is>
          <t>A 19455-2022</t>
        </is>
      </c>
      <c r="B715" s="1" t="n">
        <v>44693</v>
      </c>
      <c r="C715" s="1" t="n">
        <v>45582</v>
      </c>
      <c r="D715" t="inlineStr">
        <is>
          <t>JÄMTLANDS LÄN</t>
        </is>
      </c>
      <c r="E715" t="inlineStr">
        <is>
          <t>KROKOM</t>
        </is>
      </c>
      <c r="G715" t="n">
        <v>7</v>
      </c>
      <c r="H715" t="n">
        <v>0</v>
      </c>
      <c r="I715" t="n">
        <v>0</v>
      </c>
      <c r="J715" t="n">
        <v>0</v>
      </c>
      <c r="K715" t="n">
        <v>0</v>
      </c>
      <c r="L715" t="n">
        <v>0</v>
      </c>
      <c r="M715" t="n">
        <v>0</v>
      </c>
      <c r="N715" t="n">
        <v>0</v>
      </c>
      <c r="O715" t="n">
        <v>0</v>
      </c>
      <c r="P715" t="n">
        <v>0</v>
      </c>
      <c r="Q715" t="n">
        <v>0</v>
      </c>
      <c r="R715" s="2" t="inlineStr"/>
    </row>
    <row r="716" ht="15" customHeight="1">
      <c r="A716" t="inlineStr">
        <is>
          <t>A 19799-2022</t>
        </is>
      </c>
      <c r="B716" s="1" t="n">
        <v>44694</v>
      </c>
      <c r="C716" s="1" t="n">
        <v>45582</v>
      </c>
      <c r="D716" t="inlineStr">
        <is>
          <t>JÄMTLANDS LÄN</t>
        </is>
      </c>
      <c r="E716" t="inlineStr">
        <is>
          <t>KROKOM</t>
        </is>
      </c>
      <c r="F716" t="inlineStr">
        <is>
          <t>SCA</t>
        </is>
      </c>
      <c r="G716" t="n">
        <v>16.3</v>
      </c>
      <c r="H716" t="n">
        <v>0</v>
      </c>
      <c r="I716" t="n">
        <v>0</v>
      </c>
      <c r="J716" t="n">
        <v>0</v>
      </c>
      <c r="K716" t="n">
        <v>0</v>
      </c>
      <c r="L716" t="n">
        <v>0</v>
      </c>
      <c r="M716" t="n">
        <v>0</v>
      </c>
      <c r="N716" t="n">
        <v>0</v>
      </c>
      <c r="O716" t="n">
        <v>0</v>
      </c>
      <c r="P716" t="n">
        <v>0</v>
      </c>
      <c r="Q716" t="n">
        <v>0</v>
      </c>
      <c r="R716" s="2" t="inlineStr"/>
    </row>
    <row r="717" ht="15" customHeight="1">
      <c r="A717" t="inlineStr">
        <is>
          <t>A 20074-2022</t>
        </is>
      </c>
      <c r="B717" s="1" t="n">
        <v>44698</v>
      </c>
      <c r="C717" s="1" t="n">
        <v>45582</v>
      </c>
      <c r="D717" t="inlineStr">
        <is>
          <t>JÄMTLANDS LÄN</t>
        </is>
      </c>
      <c r="E717" t="inlineStr">
        <is>
          <t>KROKOM</t>
        </is>
      </c>
      <c r="G717" t="n">
        <v>3</v>
      </c>
      <c r="H717" t="n">
        <v>0</v>
      </c>
      <c r="I717" t="n">
        <v>0</v>
      </c>
      <c r="J717" t="n">
        <v>0</v>
      </c>
      <c r="K717" t="n">
        <v>0</v>
      </c>
      <c r="L717" t="n">
        <v>0</v>
      </c>
      <c r="M717" t="n">
        <v>0</v>
      </c>
      <c r="N717" t="n">
        <v>0</v>
      </c>
      <c r="O717" t="n">
        <v>0</v>
      </c>
      <c r="P717" t="n">
        <v>0</v>
      </c>
      <c r="Q717" t="n">
        <v>0</v>
      </c>
      <c r="R717" s="2" t="inlineStr"/>
    </row>
    <row r="718" ht="15" customHeight="1">
      <c r="A718" t="inlineStr">
        <is>
          <t>A 20721-2022</t>
        </is>
      </c>
      <c r="B718" s="1" t="n">
        <v>44700</v>
      </c>
      <c r="C718" s="1" t="n">
        <v>45582</v>
      </c>
      <c r="D718" t="inlineStr">
        <is>
          <t>JÄMTLANDS LÄN</t>
        </is>
      </c>
      <c r="E718" t="inlineStr">
        <is>
          <t>KROKOM</t>
        </is>
      </c>
      <c r="F718" t="inlineStr">
        <is>
          <t>SCA</t>
        </is>
      </c>
      <c r="G718" t="n">
        <v>8.1</v>
      </c>
      <c r="H718" t="n">
        <v>0</v>
      </c>
      <c r="I718" t="n">
        <v>0</v>
      </c>
      <c r="J718" t="n">
        <v>0</v>
      </c>
      <c r="K718" t="n">
        <v>0</v>
      </c>
      <c r="L718" t="n">
        <v>0</v>
      </c>
      <c r="M718" t="n">
        <v>0</v>
      </c>
      <c r="N718" t="n">
        <v>0</v>
      </c>
      <c r="O718" t="n">
        <v>0</v>
      </c>
      <c r="P718" t="n">
        <v>0</v>
      </c>
      <c r="Q718" t="n">
        <v>0</v>
      </c>
      <c r="R718" s="2" t="inlineStr"/>
    </row>
    <row r="719" ht="15" customHeight="1">
      <c r="A719" t="inlineStr">
        <is>
          <t>A 21139-2022</t>
        </is>
      </c>
      <c r="B719" s="1" t="n">
        <v>44704</v>
      </c>
      <c r="C719" s="1" t="n">
        <v>45582</v>
      </c>
      <c r="D719" t="inlineStr">
        <is>
          <t>JÄMTLANDS LÄN</t>
        </is>
      </c>
      <c r="E719" t="inlineStr">
        <is>
          <t>KROKOM</t>
        </is>
      </c>
      <c r="G719" t="n">
        <v>0.8</v>
      </c>
      <c r="H719" t="n">
        <v>0</v>
      </c>
      <c r="I719" t="n">
        <v>0</v>
      </c>
      <c r="J719" t="n">
        <v>0</v>
      </c>
      <c r="K719" t="n">
        <v>0</v>
      </c>
      <c r="L719" t="n">
        <v>0</v>
      </c>
      <c r="M719" t="n">
        <v>0</v>
      </c>
      <c r="N719" t="n">
        <v>0</v>
      </c>
      <c r="O719" t="n">
        <v>0</v>
      </c>
      <c r="P719" t="n">
        <v>0</v>
      </c>
      <c r="Q719" t="n">
        <v>0</v>
      </c>
      <c r="R719" s="2" t="inlineStr"/>
    </row>
    <row r="720" ht="15" customHeight="1">
      <c r="A720" t="inlineStr">
        <is>
          <t>A 21301-2022</t>
        </is>
      </c>
      <c r="B720" s="1" t="n">
        <v>44705</v>
      </c>
      <c r="C720" s="1" t="n">
        <v>45582</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21990-2022</t>
        </is>
      </c>
      <c r="B721" s="1" t="n">
        <v>44711</v>
      </c>
      <c r="C721" s="1" t="n">
        <v>45582</v>
      </c>
      <c r="D721" t="inlineStr">
        <is>
          <t>JÄMTLANDS LÄN</t>
        </is>
      </c>
      <c r="E721" t="inlineStr">
        <is>
          <t>KROKOM</t>
        </is>
      </c>
      <c r="F721" t="inlineStr">
        <is>
          <t>Övriga Aktiebolag</t>
        </is>
      </c>
      <c r="G721" t="n">
        <v>26.3</v>
      </c>
      <c r="H721" t="n">
        <v>0</v>
      </c>
      <c r="I721" t="n">
        <v>0</v>
      </c>
      <c r="J721" t="n">
        <v>0</v>
      </c>
      <c r="K721" t="n">
        <v>0</v>
      </c>
      <c r="L721" t="n">
        <v>0</v>
      </c>
      <c r="M721" t="n">
        <v>0</v>
      </c>
      <c r="N721" t="n">
        <v>0</v>
      </c>
      <c r="O721" t="n">
        <v>0</v>
      </c>
      <c r="P721" t="n">
        <v>0</v>
      </c>
      <c r="Q721" t="n">
        <v>0</v>
      </c>
      <c r="R721" s="2" t="inlineStr"/>
    </row>
    <row r="722" ht="15" customHeight="1">
      <c r="A722" t="inlineStr">
        <is>
          <t>A 22273-2022</t>
        </is>
      </c>
      <c r="B722" s="1" t="n">
        <v>44712</v>
      </c>
      <c r="C722" s="1" t="n">
        <v>45582</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22339-2022</t>
        </is>
      </c>
      <c r="B723" s="1" t="n">
        <v>44713</v>
      </c>
      <c r="C723" s="1" t="n">
        <v>45582</v>
      </c>
      <c r="D723" t="inlineStr">
        <is>
          <t>JÄMTLANDS LÄN</t>
        </is>
      </c>
      <c r="E723" t="inlineStr">
        <is>
          <t>KROKOM</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22611-2022</t>
        </is>
      </c>
      <c r="B724" s="1" t="n">
        <v>44714</v>
      </c>
      <c r="C724" s="1" t="n">
        <v>45582</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22629-2022</t>
        </is>
      </c>
      <c r="B725" s="1" t="n">
        <v>44714</v>
      </c>
      <c r="C725" s="1" t="n">
        <v>45582</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22863-2022</t>
        </is>
      </c>
      <c r="B726" s="1" t="n">
        <v>44715</v>
      </c>
      <c r="C726" s="1" t="n">
        <v>45582</v>
      </c>
      <c r="D726" t="inlineStr">
        <is>
          <t>JÄMTLANDS LÄN</t>
        </is>
      </c>
      <c r="E726" t="inlineStr">
        <is>
          <t>KROKOM</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22868-2022</t>
        </is>
      </c>
      <c r="B727" s="1" t="n">
        <v>44715</v>
      </c>
      <c r="C727" s="1" t="n">
        <v>45582</v>
      </c>
      <c r="D727" t="inlineStr">
        <is>
          <t>JÄMTLANDS LÄN</t>
        </is>
      </c>
      <c r="E727" t="inlineStr">
        <is>
          <t>KROKOM</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22821-2022</t>
        </is>
      </c>
      <c r="B728" s="1" t="n">
        <v>44715</v>
      </c>
      <c r="C728" s="1" t="n">
        <v>45582</v>
      </c>
      <c r="D728" t="inlineStr">
        <is>
          <t>JÄMTLANDS LÄN</t>
        </is>
      </c>
      <c r="E728" t="inlineStr">
        <is>
          <t>KROKOM</t>
        </is>
      </c>
      <c r="F728" t="inlineStr">
        <is>
          <t>Övriga Aktiebolag</t>
        </is>
      </c>
      <c r="G728" t="n">
        <v>10.1</v>
      </c>
      <c r="H728" t="n">
        <v>0</v>
      </c>
      <c r="I728" t="n">
        <v>0</v>
      </c>
      <c r="J728" t="n">
        <v>0</v>
      </c>
      <c r="K728" t="n">
        <v>0</v>
      </c>
      <c r="L728" t="n">
        <v>0</v>
      </c>
      <c r="M728" t="n">
        <v>0</v>
      </c>
      <c r="N728" t="n">
        <v>0</v>
      </c>
      <c r="O728" t="n">
        <v>0</v>
      </c>
      <c r="P728" t="n">
        <v>0</v>
      </c>
      <c r="Q728" t="n">
        <v>0</v>
      </c>
      <c r="R728" s="2" t="inlineStr"/>
    </row>
    <row r="729" ht="15" customHeight="1">
      <c r="A729" t="inlineStr">
        <is>
          <t>A 22865-2022</t>
        </is>
      </c>
      <c r="B729" s="1" t="n">
        <v>44715</v>
      </c>
      <c r="C729" s="1" t="n">
        <v>45582</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23504-2022</t>
        </is>
      </c>
      <c r="B730" s="1" t="n">
        <v>44721</v>
      </c>
      <c r="C730" s="1" t="n">
        <v>45582</v>
      </c>
      <c r="D730" t="inlineStr">
        <is>
          <t>JÄMTLANDS LÄN</t>
        </is>
      </c>
      <c r="E730" t="inlineStr">
        <is>
          <t>KROKOM</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23512-2022</t>
        </is>
      </c>
      <c r="B731" s="1" t="n">
        <v>44721</v>
      </c>
      <c r="C731" s="1" t="n">
        <v>45582</v>
      </c>
      <c r="D731" t="inlineStr">
        <is>
          <t>JÄMTLANDS LÄN</t>
        </is>
      </c>
      <c r="E731" t="inlineStr">
        <is>
          <t>KROKOM</t>
        </is>
      </c>
      <c r="F731" t="inlineStr">
        <is>
          <t>Övriga Aktiebolag</t>
        </is>
      </c>
      <c r="G731" t="n">
        <v>4.8</v>
      </c>
      <c r="H731" t="n">
        <v>0</v>
      </c>
      <c r="I731" t="n">
        <v>0</v>
      </c>
      <c r="J731" t="n">
        <v>0</v>
      </c>
      <c r="K731" t="n">
        <v>0</v>
      </c>
      <c r="L731" t="n">
        <v>0</v>
      </c>
      <c r="M731" t="n">
        <v>0</v>
      </c>
      <c r="N731" t="n">
        <v>0</v>
      </c>
      <c r="O731" t="n">
        <v>0</v>
      </c>
      <c r="P731" t="n">
        <v>0</v>
      </c>
      <c r="Q731" t="n">
        <v>0</v>
      </c>
      <c r="R731" s="2" t="inlineStr"/>
    </row>
    <row r="732" ht="15" customHeight="1">
      <c r="A732" t="inlineStr">
        <is>
          <t>A 23467-2022</t>
        </is>
      </c>
      <c r="B732" s="1" t="n">
        <v>44721</v>
      </c>
      <c r="C732" s="1" t="n">
        <v>45582</v>
      </c>
      <c r="D732" t="inlineStr">
        <is>
          <t>JÄMTLANDS LÄN</t>
        </is>
      </c>
      <c r="E732" t="inlineStr">
        <is>
          <t>KROKOM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24014-2022</t>
        </is>
      </c>
      <c r="B733" s="1" t="n">
        <v>44723</v>
      </c>
      <c r="C733" s="1" t="n">
        <v>45582</v>
      </c>
      <c r="D733" t="inlineStr">
        <is>
          <t>JÄMTLANDS LÄN</t>
        </is>
      </c>
      <c r="E733" t="inlineStr">
        <is>
          <t>KROKOM</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24117-2022</t>
        </is>
      </c>
      <c r="B734" s="1" t="n">
        <v>44725</v>
      </c>
      <c r="C734" s="1" t="n">
        <v>45582</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24441-2022</t>
        </is>
      </c>
      <c r="B735" s="1" t="n">
        <v>44726</v>
      </c>
      <c r="C735" s="1" t="n">
        <v>45582</v>
      </c>
      <c r="D735" t="inlineStr">
        <is>
          <t>JÄMTLANDS LÄN</t>
        </is>
      </c>
      <c r="E735" t="inlineStr">
        <is>
          <t>KROKOM</t>
        </is>
      </c>
      <c r="G735" t="n">
        <v>12.1</v>
      </c>
      <c r="H735" t="n">
        <v>0</v>
      </c>
      <c r="I735" t="n">
        <v>0</v>
      </c>
      <c r="J735" t="n">
        <v>0</v>
      </c>
      <c r="K735" t="n">
        <v>0</v>
      </c>
      <c r="L735" t="n">
        <v>0</v>
      </c>
      <c r="M735" t="n">
        <v>0</v>
      </c>
      <c r="N735" t="n">
        <v>0</v>
      </c>
      <c r="O735" t="n">
        <v>0</v>
      </c>
      <c r="P735" t="n">
        <v>0</v>
      </c>
      <c r="Q735" t="n">
        <v>0</v>
      </c>
      <c r="R735" s="2" t="inlineStr"/>
    </row>
    <row r="736" ht="15" customHeight="1">
      <c r="A736" t="inlineStr">
        <is>
          <t>A 24402-2022</t>
        </is>
      </c>
      <c r="B736" s="1" t="n">
        <v>44726</v>
      </c>
      <c r="C736" s="1" t="n">
        <v>45582</v>
      </c>
      <c r="D736" t="inlineStr">
        <is>
          <t>JÄMTLANDS LÄN</t>
        </is>
      </c>
      <c r="E736" t="inlineStr">
        <is>
          <t>KROKOM</t>
        </is>
      </c>
      <c r="G736" t="n">
        <v>13.3</v>
      </c>
      <c r="H736" t="n">
        <v>0</v>
      </c>
      <c r="I736" t="n">
        <v>0</v>
      </c>
      <c r="J736" t="n">
        <v>0</v>
      </c>
      <c r="K736" t="n">
        <v>0</v>
      </c>
      <c r="L736" t="n">
        <v>0</v>
      </c>
      <c r="M736" t="n">
        <v>0</v>
      </c>
      <c r="N736" t="n">
        <v>0</v>
      </c>
      <c r="O736" t="n">
        <v>0</v>
      </c>
      <c r="P736" t="n">
        <v>0</v>
      </c>
      <c r="Q736" t="n">
        <v>0</v>
      </c>
      <c r="R736" s="2" t="inlineStr"/>
    </row>
    <row r="737" ht="15" customHeight="1">
      <c r="A737" t="inlineStr">
        <is>
          <t>A 24612-2022</t>
        </is>
      </c>
      <c r="B737" s="1" t="n">
        <v>44727</v>
      </c>
      <c r="C737" s="1" t="n">
        <v>45582</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24692-2022</t>
        </is>
      </c>
      <c r="B738" s="1" t="n">
        <v>44727</v>
      </c>
      <c r="C738" s="1" t="n">
        <v>45582</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24688-2022</t>
        </is>
      </c>
      <c r="B739" s="1" t="n">
        <v>44727</v>
      </c>
      <c r="C739" s="1" t="n">
        <v>45582</v>
      </c>
      <c r="D739" t="inlineStr">
        <is>
          <t>JÄMTLANDS LÄN</t>
        </is>
      </c>
      <c r="E739" t="inlineStr">
        <is>
          <t>KROKOM</t>
        </is>
      </c>
      <c r="G739" t="n">
        <v>12.9</v>
      </c>
      <c r="H739" t="n">
        <v>0</v>
      </c>
      <c r="I739" t="n">
        <v>0</v>
      </c>
      <c r="J739" t="n">
        <v>0</v>
      </c>
      <c r="K739" t="n">
        <v>0</v>
      </c>
      <c r="L739" t="n">
        <v>0</v>
      </c>
      <c r="M739" t="n">
        <v>0</v>
      </c>
      <c r="N739" t="n">
        <v>0</v>
      </c>
      <c r="O739" t="n">
        <v>0</v>
      </c>
      <c r="P739" t="n">
        <v>0</v>
      </c>
      <c r="Q739" t="n">
        <v>0</v>
      </c>
      <c r="R739" s="2" t="inlineStr"/>
    </row>
    <row r="740" ht="15" customHeight="1">
      <c r="A740" t="inlineStr">
        <is>
          <t>A 25031-2022</t>
        </is>
      </c>
      <c r="B740" s="1" t="n">
        <v>44729</v>
      </c>
      <c r="C740" s="1" t="n">
        <v>45582</v>
      </c>
      <c r="D740" t="inlineStr">
        <is>
          <t>JÄMTLANDS LÄN</t>
        </is>
      </c>
      <c r="E740" t="inlineStr">
        <is>
          <t>KROKOM</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25428-2022</t>
        </is>
      </c>
      <c r="B741" s="1" t="n">
        <v>44732</v>
      </c>
      <c r="C741" s="1" t="n">
        <v>45582</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25421-2022</t>
        </is>
      </c>
      <c r="B742" s="1" t="n">
        <v>44732</v>
      </c>
      <c r="C742" s="1" t="n">
        <v>45582</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26142-2022</t>
        </is>
      </c>
      <c r="B743" s="1" t="n">
        <v>44735</v>
      </c>
      <c r="C743" s="1" t="n">
        <v>45582</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26448-2022</t>
        </is>
      </c>
      <c r="B744" s="1" t="n">
        <v>44739</v>
      </c>
      <c r="C744" s="1" t="n">
        <v>45582</v>
      </c>
      <c r="D744" t="inlineStr">
        <is>
          <t>JÄMTLANDS LÄN</t>
        </is>
      </c>
      <c r="E744" t="inlineStr">
        <is>
          <t>KROKOM</t>
        </is>
      </c>
      <c r="G744" t="n">
        <v>6.5</v>
      </c>
      <c r="H744" t="n">
        <v>0</v>
      </c>
      <c r="I744" t="n">
        <v>0</v>
      </c>
      <c r="J744" t="n">
        <v>0</v>
      </c>
      <c r="K744" t="n">
        <v>0</v>
      </c>
      <c r="L744" t="n">
        <v>0</v>
      </c>
      <c r="M744" t="n">
        <v>0</v>
      </c>
      <c r="N744" t="n">
        <v>0</v>
      </c>
      <c r="O744" t="n">
        <v>0</v>
      </c>
      <c r="P744" t="n">
        <v>0</v>
      </c>
      <c r="Q744" t="n">
        <v>0</v>
      </c>
      <c r="R744" s="2" t="inlineStr"/>
    </row>
    <row r="745" ht="15" customHeight="1">
      <c r="A745" t="inlineStr">
        <is>
          <t>A 27075-2022</t>
        </is>
      </c>
      <c r="B745" s="1" t="n">
        <v>44741</v>
      </c>
      <c r="C745" s="1" t="n">
        <v>45582</v>
      </c>
      <c r="D745" t="inlineStr">
        <is>
          <t>JÄMTLANDS LÄN</t>
        </is>
      </c>
      <c r="E745" t="inlineStr">
        <is>
          <t>KROKOM</t>
        </is>
      </c>
      <c r="G745" t="n">
        <v>10.4</v>
      </c>
      <c r="H745" t="n">
        <v>0</v>
      </c>
      <c r="I745" t="n">
        <v>0</v>
      </c>
      <c r="J745" t="n">
        <v>0</v>
      </c>
      <c r="K745" t="n">
        <v>0</v>
      </c>
      <c r="L745" t="n">
        <v>0</v>
      </c>
      <c r="M745" t="n">
        <v>0</v>
      </c>
      <c r="N745" t="n">
        <v>0</v>
      </c>
      <c r="O745" t="n">
        <v>0</v>
      </c>
      <c r="P745" t="n">
        <v>0</v>
      </c>
      <c r="Q745" t="n">
        <v>0</v>
      </c>
      <c r="R745" s="2" t="inlineStr"/>
    </row>
    <row r="746" ht="15" customHeight="1">
      <c r="A746" t="inlineStr">
        <is>
          <t>A 27157-2022</t>
        </is>
      </c>
      <c r="B746" s="1" t="n">
        <v>44741</v>
      </c>
      <c r="C746" s="1" t="n">
        <v>45582</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27178-2022</t>
        </is>
      </c>
      <c r="B747" s="1" t="n">
        <v>44741</v>
      </c>
      <c r="C747" s="1" t="n">
        <v>45582</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27924-2022</t>
        </is>
      </c>
      <c r="B748" s="1" t="n">
        <v>44743</v>
      </c>
      <c r="C748" s="1" t="n">
        <v>45582</v>
      </c>
      <c r="D748" t="inlineStr">
        <is>
          <t>JÄMTLANDS LÄN</t>
        </is>
      </c>
      <c r="E748" t="inlineStr">
        <is>
          <t>KROKOM</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28669-2022</t>
        </is>
      </c>
      <c r="B749" s="1" t="n">
        <v>44748</v>
      </c>
      <c r="C749" s="1" t="n">
        <v>45582</v>
      </c>
      <c r="D749" t="inlineStr">
        <is>
          <t>JÄMTLANDS LÄN</t>
        </is>
      </c>
      <c r="E749" t="inlineStr">
        <is>
          <t>KROKOM</t>
        </is>
      </c>
      <c r="G749" t="n">
        <v>7.4</v>
      </c>
      <c r="H749" t="n">
        <v>0</v>
      </c>
      <c r="I749" t="n">
        <v>0</v>
      </c>
      <c r="J749" t="n">
        <v>0</v>
      </c>
      <c r="K749" t="n">
        <v>0</v>
      </c>
      <c r="L749" t="n">
        <v>0</v>
      </c>
      <c r="M749" t="n">
        <v>0</v>
      </c>
      <c r="N749" t="n">
        <v>0</v>
      </c>
      <c r="O749" t="n">
        <v>0</v>
      </c>
      <c r="P749" t="n">
        <v>0</v>
      </c>
      <c r="Q749" t="n">
        <v>0</v>
      </c>
      <c r="R749" s="2" t="inlineStr"/>
    </row>
    <row r="750" ht="15" customHeight="1">
      <c r="A750" t="inlineStr">
        <is>
          <t>A 28736-2022</t>
        </is>
      </c>
      <c r="B750" s="1" t="n">
        <v>44749</v>
      </c>
      <c r="C750" s="1" t="n">
        <v>45582</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28735-2022</t>
        </is>
      </c>
      <c r="B751" s="1" t="n">
        <v>44749</v>
      </c>
      <c r="C751" s="1" t="n">
        <v>45582</v>
      </c>
      <c r="D751" t="inlineStr">
        <is>
          <t>JÄMTLANDS LÄN</t>
        </is>
      </c>
      <c r="E751" t="inlineStr">
        <is>
          <t>KROKOM</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28804-2022</t>
        </is>
      </c>
      <c r="B752" s="1" t="n">
        <v>44749</v>
      </c>
      <c r="C752" s="1" t="n">
        <v>45582</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28856-2022</t>
        </is>
      </c>
      <c r="B753" s="1" t="n">
        <v>44749</v>
      </c>
      <c r="C753" s="1" t="n">
        <v>45582</v>
      </c>
      <c r="D753" t="inlineStr">
        <is>
          <t>JÄMTLANDS LÄN</t>
        </is>
      </c>
      <c r="E753" t="inlineStr">
        <is>
          <t>KROKOM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28776-2022</t>
        </is>
      </c>
      <c r="B754" s="1" t="n">
        <v>44749</v>
      </c>
      <c r="C754" s="1" t="n">
        <v>45582</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28771-2022</t>
        </is>
      </c>
      <c r="B755" s="1" t="n">
        <v>44749</v>
      </c>
      <c r="C755" s="1" t="n">
        <v>45582</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28883-2022</t>
        </is>
      </c>
      <c r="B756" s="1" t="n">
        <v>44749</v>
      </c>
      <c r="C756" s="1" t="n">
        <v>45582</v>
      </c>
      <c r="D756" t="inlineStr">
        <is>
          <t>JÄMTLANDS LÄN</t>
        </is>
      </c>
      <c r="E756" t="inlineStr">
        <is>
          <t>KROKOM</t>
        </is>
      </c>
      <c r="F756" t="inlineStr">
        <is>
          <t>Övriga Aktiebolag</t>
        </is>
      </c>
      <c r="G756" t="n">
        <v>14.1</v>
      </c>
      <c r="H756" t="n">
        <v>0</v>
      </c>
      <c r="I756" t="n">
        <v>0</v>
      </c>
      <c r="J756" t="n">
        <v>0</v>
      </c>
      <c r="K756" t="n">
        <v>0</v>
      </c>
      <c r="L756" t="n">
        <v>0</v>
      </c>
      <c r="M756" t="n">
        <v>0</v>
      </c>
      <c r="N756" t="n">
        <v>0</v>
      </c>
      <c r="O756" t="n">
        <v>0</v>
      </c>
      <c r="P756" t="n">
        <v>0</v>
      </c>
      <c r="Q756" t="n">
        <v>0</v>
      </c>
      <c r="R756" s="2" t="inlineStr"/>
    </row>
    <row r="757" ht="15" customHeight="1">
      <c r="A757" t="inlineStr">
        <is>
          <t>A 29050-2022</t>
        </is>
      </c>
      <c r="B757" s="1" t="n">
        <v>44750</v>
      </c>
      <c r="C757" s="1" t="n">
        <v>45582</v>
      </c>
      <c r="D757" t="inlineStr">
        <is>
          <t>JÄMTLANDS LÄN</t>
        </is>
      </c>
      <c r="E757" t="inlineStr">
        <is>
          <t>KROKOM</t>
        </is>
      </c>
      <c r="F757" t="inlineStr">
        <is>
          <t>SCA</t>
        </is>
      </c>
      <c r="G757" t="n">
        <v>10.8</v>
      </c>
      <c r="H757" t="n">
        <v>0</v>
      </c>
      <c r="I757" t="n">
        <v>0</v>
      </c>
      <c r="J757" t="n">
        <v>0</v>
      </c>
      <c r="K757" t="n">
        <v>0</v>
      </c>
      <c r="L757" t="n">
        <v>0</v>
      </c>
      <c r="M757" t="n">
        <v>0</v>
      </c>
      <c r="N757" t="n">
        <v>0</v>
      </c>
      <c r="O757" t="n">
        <v>0</v>
      </c>
      <c r="P757" t="n">
        <v>0</v>
      </c>
      <c r="Q757" t="n">
        <v>0</v>
      </c>
      <c r="R757" s="2" t="inlineStr"/>
    </row>
    <row r="758" ht="15" customHeight="1">
      <c r="A758" t="inlineStr">
        <is>
          <t>A 29187-2022</t>
        </is>
      </c>
      <c r="B758" s="1" t="n">
        <v>44750</v>
      </c>
      <c r="C758" s="1" t="n">
        <v>45582</v>
      </c>
      <c r="D758" t="inlineStr">
        <is>
          <t>JÄMTLANDS LÄN</t>
        </is>
      </c>
      <c r="E758" t="inlineStr">
        <is>
          <t>KROKOM</t>
        </is>
      </c>
      <c r="F758" t="inlineStr">
        <is>
          <t>Övriga Aktiebolag</t>
        </is>
      </c>
      <c r="G758" t="n">
        <v>20.4</v>
      </c>
      <c r="H758" t="n">
        <v>0</v>
      </c>
      <c r="I758" t="n">
        <v>0</v>
      </c>
      <c r="J758" t="n">
        <v>0</v>
      </c>
      <c r="K758" t="n">
        <v>0</v>
      </c>
      <c r="L758" t="n">
        <v>0</v>
      </c>
      <c r="M758" t="n">
        <v>0</v>
      </c>
      <c r="N758" t="n">
        <v>0</v>
      </c>
      <c r="O758" t="n">
        <v>0</v>
      </c>
      <c r="P758" t="n">
        <v>0</v>
      </c>
      <c r="Q758" t="n">
        <v>0</v>
      </c>
      <c r="R758" s="2" t="inlineStr"/>
    </row>
    <row r="759" ht="15" customHeight="1">
      <c r="A759" t="inlineStr">
        <is>
          <t>A 29245-2022</t>
        </is>
      </c>
      <c r="B759" s="1" t="n">
        <v>44750</v>
      </c>
      <c r="C759" s="1" t="n">
        <v>45582</v>
      </c>
      <c r="D759" t="inlineStr">
        <is>
          <t>JÄMTLANDS LÄN</t>
        </is>
      </c>
      <c r="E759" t="inlineStr">
        <is>
          <t>KROKOM</t>
        </is>
      </c>
      <c r="G759" t="n">
        <v>7.6</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45582</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29314-2022</t>
        </is>
      </c>
      <c r="B761" s="1" t="n">
        <v>44751</v>
      </c>
      <c r="C761" s="1" t="n">
        <v>45582</v>
      </c>
      <c r="D761" t="inlineStr">
        <is>
          <t>JÄMTLANDS LÄN</t>
        </is>
      </c>
      <c r="E761" t="inlineStr">
        <is>
          <t>KROKOM</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30160-2022</t>
        </is>
      </c>
      <c r="B762" s="1" t="n">
        <v>44757</v>
      </c>
      <c r="C762" s="1" t="n">
        <v>45582</v>
      </c>
      <c r="D762" t="inlineStr">
        <is>
          <t>JÄMTLANDS LÄN</t>
        </is>
      </c>
      <c r="E762" t="inlineStr">
        <is>
          <t>KROKOM</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30058-2022</t>
        </is>
      </c>
      <c r="B763" s="1" t="n">
        <v>44757</v>
      </c>
      <c r="C763" s="1" t="n">
        <v>45582</v>
      </c>
      <c r="D763" t="inlineStr">
        <is>
          <t>JÄMTLANDS LÄN</t>
        </is>
      </c>
      <c r="E763" t="inlineStr">
        <is>
          <t>KROKOM</t>
        </is>
      </c>
      <c r="G763" t="n">
        <v>5</v>
      </c>
      <c r="H763" t="n">
        <v>0</v>
      </c>
      <c r="I763" t="n">
        <v>0</v>
      </c>
      <c r="J763" t="n">
        <v>0</v>
      </c>
      <c r="K763" t="n">
        <v>0</v>
      </c>
      <c r="L763" t="n">
        <v>0</v>
      </c>
      <c r="M763" t="n">
        <v>0</v>
      </c>
      <c r="N763" t="n">
        <v>0</v>
      </c>
      <c r="O763" t="n">
        <v>0</v>
      </c>
      <c r="P763" t="n">
        <v>0</v>
      </c>
      <c r="Q763" t="n">
        <v>0</v>
      </c>
      <c r="R763" s="2" t="inlineStr"/>
    </row>
    <row r="764" ht="15" customHeight="1">
      <c r="A764" t="inlineStr">
        <is>
          <t>A 30158-2022</t>
        </is>
      </c>
      <c r="B764" s="1" t="n">
        <v>44757</v>
      </c>
      <c r="C764" s="1" t="n">
        <v>45582</v>
      </c>
      <c r="D764" t="inlineStr">
        <is>
          <t>JÄMTLANDS LÄN</t>
        </is>
      </c>
      <c r="E764" t="inlineStr">
        <is>
          <t>KROKOM</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30728-2022</t>
        </is>
      </c>
      <c r="B765" s="1" t="n">
        <v>44764</v>
      </c>
      <c r="C765" s="1" t="n">
        <v>45582</v>
      </c>
      <c r="D765" t="inlineStr">
        <is>
          <t>JÄMTLANDS LÄN</t>
        </is>
      </c>
      <c r="E765" t="inlineStr">
        <is>
          <t>KROKOM</t>
        </is>
      </c>
      <c r="G765" t="n">
        <v>6.4</v>
      </c>
      <c r="H765" t="n">
        <v>0</v>
      </c>
      <c r="I765" t="n">
        <v>0</v>
      </c>
      <c r="J765" t="n">
        <v>0</v>
      </c>
      <c r="K765" t="n">
        <v>0</v>
      </c>
      <c r="L765" t="n">
        <v>0</v>
      </c>
      <c r="M765" t="n">
        <v>0</v>
      </c>
      <c r="N765" t="n">
        <v>0</v>
      </c>
      <c r="O765" t="n">
        <v>0</v>
      </c>
      <c r="P765" t="n">
        <v>0</v>
      </c>
      <c r="Q765" t="n">
        <v>0</v>
      </c>
      <c r="R765" s="2" t="inlineStr"/>
    </row>
    <row r="766" ht="15" customHeight="1">
      <c r="A766" t="inlineStr">
        <is>
          <t>A 30729-2022</t>
        </is>
      </c>
      <c r="B766" s="1" t="n">
        <v>44764</v>
      </c>
      <c r="C766" s="1" t="n">
        <v>45582</v>
      </c>
      <c r="D766" t="inlineStr">
        <is>
          <t>JÄMTLANDS LÄN</t>
        </is>
      </c>
      <c r="E766" t="inlineStr">
        <is>
          <t>KROKOM</t>
        </is>
      </c>
      <c r="G766" t="n">
        <v>2.5</v>
      </c>
      <c r="H766" t="n">
        <v>0</v>
      </c>
      <c r="I766" t="n">
        <v>0</v>
      </c>
      <c r="J766" t="n">
        <v>0</v>
      </c>
      <c r="K766" t="n">
        <v>0</v>
      </c>
      <c r="L766" t="n">
        <v>0</v>
      </c>
      <c r="M766" t="n">
        <v>0</v>
      </c>
      <c r="N766" t="n">
        <v>0</v>
      </c>
      <c r="O766" t="n">
        <v>0</v>
      </c>
      <c r="P766" t="n">
        <v>0</v>
      </c>
      <c r="Q766" t="n">
        <v>0</v>
      </c>
      <c r="R766" s="2" t="inlineStr"/>
    </row>
    <row r="767" ht="15" customHeight="1">
      <c r="A767" t="inlineStr">
        <is>
          <t>A 32142-2022</t>
        </is>
      </c>
      <c r="B767" s="1" t="n">
        <v>44780</v>
      </c>
      <c r="C767" s="1" t="n">
        <v>45582</v>
      </c>
      <c r="D767" t="inlineStr">
        <is>
          <t>JÄMTLANDS LÄN</t>
        </is>
      </c>
      <c r="E767" t="inlineStr">
        <is>
          <t>KROKOM</t>
        </is>
      </c>
      <c r="G767" t="n">
        <v>60.8</v>
      </c>
      <c r="H767" t="n">
        <v>0</v>
      </c>
      <c r="I767" t="n">
        <v>0</v>
      </c>
      <c r="J767" t="n">
        <v>0</v>
      </c>
      <c r="K767" t="n">
        <v>0</v>
      </c>
      <c r="L767" t="n">
        <v>0</v>
      </c>
      <c r="M767" t="n">
        <v>0</v>
      </c>
      <c r="N767" t="n">
        <v>0</v>
      </c>
      <c r="O767" t="n">
        <v>0</v>
      </c>
      <c r="P767" t="n">
        <v>0</v>
      </c>
      <c r="Q767" t="n">
        <v>0</v>
      </c>
      <c r="R767" s="2" t="inlineStr"/>
    </row>
    <row r="768" ht="15" customHeight="1">
      <c r="A768" t="inlineStr">
        <is>
          <t>A 32366-2022</t>
        </is>
      </c>
      <c r="B768" s="1" t="n">
        <v>44782</v>
      </c>
      <c r="C768" s="1" t="n">
        <v>45582</v>
      </c>
      <c r="D768" t="inlineStr">
        <is>
          <t>JÄMTLANDS LÄN</t>
        </is>
      </c>
      <c r="E768" t="inlineStr">
        <is>
          <t>KROKOM</t>
        </is>
      </c>
      <c r="F768" t="inlineStr">
        <is>
          <t>SCA</t>
        </is>
      </c>
      <c r="G768" t="n">
        <v>16.5</v>
      </c>
      <c r="H768" t="n">
        <v>0</v>
      </c>
      <c r="I768" t="n">
        <v>0</v>
      </c>
      <c r="J768" t="n">
        <v>0</v>
      </c>
      <c r="K768" t="n">
        <v>0</v>
      </c>
      <c r="L768" t="n">
        <v>0</v>
      </c>
      <c r="M768" t="n">
        <v>0</v>
      </c>
      <c r="N768" t="n">
        <v>0</v>
      </c>
      <c r="O768" t="n">
        <v>0</v>
      </c>
      <c r="P768" t="n">
        <v>0</v>
      </c>
      <c r="Q768" t="n">
        <v>0</v>
      </c>
      <c r="R768" s="2" t="inlineStr"/>
    </row>
    <row r="769" ht="15" customHeight="1">
      <c r="A769" t="inlineStr">
        <is>
          <t>A 33359-2022</t>
        </is>
      </c>
      <c r="B769" s="1" t="n">
        <v>44788</v>
      </c>
      <c r="C769" s="1" t="n">
        <v>45582</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33327-2022</t>
        </is>
      </c>
      <c r="B770" s="1" t="n">
        <v>44788</v>
      </c>
      <c r="C770" s="1" t="n">
        <v>45582</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33395-2022</t>
        </is>
      </c>
      <c r="B771" s="1" t="n">
        <v>44788</v>
      </c>
      <c r="C771" s="1" t="n">
        <v>45582</v>
      </c>
      <c r="D771" t="inlineStr">
        <is>
          <t>JÄMTLANDS LÄN</t>
        </is>
      </c>
      <c r="E771" t="inlineStr">
        <is>
          <t>KROKOM</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33314-2022</t>
        </is>
      </c>
      <c r="B772" s="1" t="n">
        <v>44788</v>
      </c>
      <c r="C772" s="1" t="n">
        <v>45582</v>
      </c>
      <c r="D772" t="inlineStr">
        <is>
          <t>JÄMTLANDS LÄN</t>
        </is>
      </c>
      <c r="E772" t="inlineStr">
        <is>
          <t>KROKOM</t>
        </is>
      </c>
      <c r="G772" t="n">
        <v>7.4</v>
      </c>
      <c r="H772" t="n">
        <v>0</v>
      </c>
      <c r="I772" t="n">
        <v>0</v>
      </c>
      <c r="J772" t="n">
        <v>0</v>
      </c>
      <c r="K772" t="n">
        <v>0</v>
      </c>
      <c r="L772" t="n">
        <v>0</v>
      </c>
      <c r="M772" t="n">
        <v>0</v>
      </c>
      <c r="N772" t="n">
        <v>0</v>
      </c>
      <c r="O772" t="n">
        <v>0</v>
      </c>
      <c r="P772" t="n">
        <v>0</v>
      </c>
      <c r="Q772" t="n">
        <v>0</v>
      </c>
      <c r="R772" s="2" t="inlineStr"/>
    </row>
    <row r="773" ht="15" customHeight="1">
      <c r="A773" t="inlineStr">
        <is>
          <t>A 33362-2022</t>
        </is>
      </c>
      <c r="B773" s="1" t="n">
        <v>44788</v>
      </c>
      <c r="C773" s="1" t="n">
        <v>45582</v>
      </c>
      <c r="D773" t="inlineStr">
        <is>
          <t>JÄMTLANDS LÄN</t>
        </is>
      </c>
      <c r="E773" t="inlineStr">
        <is>
          <t>KROKOM</t>
        </is>
      </c>
      <c r="F773" t="inlineStr">
        <is>
          <t>Övriga Aktiebolag</t>
        </is>
      </c>
      <c r="G773" t="n">
        <v>6.8</v>
      </c>
      <c r="H773" t="n">
        <v>0</v>
      </c>
      <c r="I773" t="n">
        <v>0</v>
      </c>
      <c r="J773" t="n">
        <v>0</v>
      </c>
      <c r="K773" t="n">
        <v>0</v>
      </c>
      <c r="L773" t="n">
        <v>0</v>
      </c>
      <c r="M773" t="n">
        <v>0</v>
      </c>
      <c r="N773" t="n">
        <v>0</v>
      </c>
      <c r="O773" t="n">
        <v>0</v>
      </c>
      <c r="P773" t="n">
        <v>0</v>
      </c>
      <c r="Q773" t="n">
        <v>0</v>
      </c>
      <c r="R773" s="2" t="inlineStr"/>
    </row>
    <row r="774" ht="15" customHeight="1">
      <c r="A774" t="inlineStr">
        <is>
          <t>A 33509-2022</t>
        </is>
      </c>
      <c r="B774" s="1" t="n">
        <v>44789</v>
      </c>
      <c r="C774" s="1" t="n">
        <v>45582</v>
      </c>
      <c r="D774" t="inlineStr">
        <is>
          <t>JÄMTLANDS LÄN</t>
        </is>
      </c>
      <c r="E774" t="inlineStr">
        <is>
          <t>KROKOM</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45582</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34794-2022</t>
        </is>
      </c>
      <c r="B776" s="1" t="n">
        <v>44795</v>
      </c>
      <c r="C776" s="1" t="n">
        <v>45582</v>
      </c>
      <c r="D776" t="inlineStr">
        <is>
          <t>JÄMTLANDS LÄN</t>
        </is>
      </c>
      <c r="E776" t="inlineStr">
        <is>
          <t>KROKOM</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34793-2022</t>
        </is>
      </c>
      <c r="B777" s="1" t="n">
        <v>44795</v>
      </c>
      <c r="C777" s="1" t="n">
        <v>45582</v>
      </c>
      <c r="D777" t="inlineStr">
        <is>
          <t>JÄMTLANDS LÄN</t>
        </is>
      </c>
      <c r="E777" t="inlineStr">
        <is>
          <t>KROKOM</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35058-2022</t>
        </is>
      </c>
      <c r="B778" s="1" t="n">
        <v>44796</v>
      </c>
      <c r="C778" s="1" t="n">
        <v>45582</v>
      </c>
      <c r="D778" t="inlineStr">
        <is>
          <t>JÄMTLANDS LÄN</t>
        </is>
      </c>
      <c r="E778" t="inlineStr">
        <is>
          <t>KROKOM</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35226-2022</t>
        </is>
      </c>
      <c r="B779" s="1" t="n">
        <v>44797</v>
      </c>
      <c r="C779" s="1" t="n">
        <v>45582</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35275-2022</t>
        </is>
      </c>
      <c r="B780" s="1" t="n">
        <v>44797</v>
      </c>
      <c r="C780" s="1" t="n">
        <v>45582</v>
      </c>
      <c r="D780" t="inlineStr">
        <is>
          <t>JÄMTLANDS LÄN</t>
        </is>
      </c>
      <c r="E780" t="inlineStr">
        <is>
          <t>KROKOM</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36122-2022</t>
        </is>
      </c>
      <c r="B781" s="1" t="n">
        <v>44803</v>
      </c>
      <c r="C781" s="1" t="n">
        <v>45582</v>
      </c>
      <c r="D781" t="inlineStr">
        <is>
          <t>JÄMTLANDS LÄN</t>
        </is>
      </c>
      <c r="E781" t="inlineStr">
        <is>
          <t>KROKOM</t>
        </is>
      </c>
      <c r="G781" t="n">
        <v>5.7</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45582</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40866-2022</t>
        </is>
      </c>
      <c r="B783" s="1" t="n">
        <v>44820</v>
      </c>
      <c r="C783" s="1" t="n">
        <v>45582</v>
      </c>
      <c r="D783" t="inlineStr">
        <is>
          <t>JÄMTLANDS LÄN</t>
        </is>
      </c>
      <c r="E783" t="inlineStr">
        <is>
          <t>KROKOM</t>
        </is>
      </c>
      <c r="G783" t="n">
        <v>4.3</v>
      </c>
      <c r="H783" t="n">
        <v>0</v>
      </c>
      <c r="I783" t="n">
        <v>0</v>
      </c>
      <c r="J783" t="n">
        <v>0</v>
      </c>
      <c r="K783" t="n">
        <v>0</v>
      </c>
      <c r="L783" t="n">
        <v>0</v>
      </c>
      <c r="M783" t="n">
        <v>0</v>
      </c>
      <c r="N783" t="n">
        <v>0</v>
      </c>
      <c r="O783" t="n">
        <v>0</v>
      </c>
      <c r="P783" t="n">
        <v>0</v>
      </c>
      <c r="Q783" t="n">
        <v>0</v>
      </c>
      <c r="R783" s="2" t="inlineStr"/>
    </row>
    <row r="784" ht="15" customHeight="1">
      <c r="A784" t="inlineStr">
        <is>
          <t>A 41170-2022</t>
        </is>
      </c>
      <c r="B784" s="1" t="n">
        <v>44825</v>
      </c>
      <c r="C784" s="1" t="n">
        <v>45582</v>
      </c>
      <c r="D784" t="inlineStr">
        <is>
          <t>JÄMTLANDS LÄN</t>
        </is>
      </c>
      <c r="E784" t="inlineStr">
        <is>
          <t>KROKOM</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41197-2022</t>
        </is>
      </c>
      <c r="B785" s="1" t="n">
        <v>44825</v>
      </c>
      <c r="C785" s="1" t="n">
        <v>45582</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42210-2022</t>
        </is>
      </c>
      <c r="B786" s="1" t="n">
        <v>44830</v>
      </c>
      <c r="C786" s="1" t="n">
        <v>45582</v>
      </c>
      <c r="D786" t="inlineStr">
        <is>
          <t>JÄMTLANDS LÄN</t>
        </is>
      </c>
      <c r="E786" t="inlineStr">
        <is>
          <t>KROKOM</t>
        </is>
      </c>
      <c r="F786" t="inlineStr">
        <is>
          <t>Övriga Aktiebolag</t>
        </is>
      </c>
      <c r="G786" t="n">
        <v>11.6</v>
      </c>
      <c r="H786" t="n">
        <v>0</v>
      </c>
      <c r="I786" t="n">
        <v>0</v>
      </c>
      <c r="J786" t="n">
        <v>0</v>
      </c>
      <c r="K786" t="n">
        <v>0</v>
      </c>
      <c r="L786" t="n">
        <v>0</v>
      </c>
      <c r="M786" t="n">
        <v>0</v>
      </c>
      <c r="N786" t="n">
        <v>0</v>
      </c>
      <c r="O786" t="n">
        <v>0</v>
      </c>
      <c r="P786" t="n">
        <v>0</v>
      </c>
      <c r="Q786" t="n">
        <v>0</v>
      </c>
      <c r="R786" s="2" t="inlineStr"/>
    </row>
    <row r="787" ht="15" customHeight="1">
      <c r="A787" t="inlineStr">
        <is>
          <t>A 42360-2022</t>
        </is>
      </c>
      <c r="B787" s="1" t="n">
        <v>44831</v>
      </c>
      <c r="C787" s="1" t="n">
        <v>45582</v>
      </c>
      <c r="D787" t="inlineStr">
        <is>
          <t>JÄMTLANDS LÄN</t>
        </is>
      </c>
      <c r="E787" t="inlineStr">
        <is>
          <t>KROKOM</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42661-2022</t>
        </is>
      </c>
      <c r="B788" s="1" t="n">
        <v>44832</v>
      </c>
      <c r="C788" s="1" t="n">
        <v>45582</v>
      </c>
      <c r="D788" t="inlineStr">
        <is>
          <t>JÄMTLANDS LÄN</t>
        </is>
      </c>
      <c r="E788" t="inlineStr">
        <is>
          <t>KROKOM</t>
        </is>
      </c>
      <c r="G788" t="n">
        <v>14.4</v>
      </c>
      <c r="H788" t="n">
        <v>0</v>
      </c>
      <c r="I788" t="n">
        <v>0</v>
      </c>
      <c r="J788" t="n">
        <v>0</v>
      </c>
      <c r="K788" t="n">
        <v>0</v>
      </c>
      <c r="L788" t="n">
        <v>0</v>
      </c>
      <c r="M788" t="n">
        <v>0</v>
      </c>
      <c r="N788" t="n">
        <v>0</v>
      </c>
      <c r="O788" t="n">
        <v>0</v>
      </c>
      <c r="P788" t="n">
        <v>0</v>
      </c>
      <c r="Q788" t="n">
        <v>0</v>
      </c>
      <c r="R788" s="2" t="inlineStr"/>
    </row>
    <row r="789" ht="15" customHeight="1">
      <c r="A789" t="inlineStr">
        <is>
          <t>A 42980-2022</t>
        </is>
      </c>
      <c r="B789" s="1" t="n">
        <v>44833</v>
      </c>
      <c r="C789" s="1" t="n">
        <v>45582</v>
      </c>
      <c r="D789" t="inlineStr">
        <is>
          <t>JÄMTLANDS LÄN</t>
        </is>
      </c>
      <c r="E789" t="inlineStr">
        <is>
          <t>KROKOM</t>
        </is>
      </c>
      <c r="G789" t="n">
        <v>7.7</v>
      </c>
      <c r="H789" t="n">
        <v>0</v>
      </c>
      <c r="I789" t="n">
        <v>0</v>
      </c>
      <c r="J789" t="n">
        <v>0</v>
      </c>
      <c r="K789" t="n">
        <v>0</v>
      </c>
      <c r="L789" t="n">
        <v>0</v>
      </c>
      <c r="M789" t="n">
        <v>0</v>
      </c>
      <c r="N789" t="n">
        <v>0</v>
      </c>
      <c r="O789" t="n">
        <v>0</v>
      </c>
      <c r="P789" t="n">
        <v>0</v>
      </c>
      <c r="Q789" t="n">
        <v>0</v>
      </c>
      <c r="R789" s="2" t="inlineStr"/>
    </row>
    <row r="790" ht="15" customHeight="1">
      <c r="A790" t="inlineStr">
        <is>
          <t>A 43426-2022</t>
        </is>
      </c>
      <c r="B790" s="1" t="n">
        <v>44835</v>
      </c>
      <c r="C790" s="1" t="n">
        <v>45582</v>
      </c>
      <c r="D790" t="inlineStr">
        <is>
          <t>JÄMTLANDS LÄN</t>
        </is>
      </c>
      <c r="E790" t="inlineStr">
        <is>
          <t>KROKOM</t>
        </is>
      </c>
      <c r="F790" t="inlineStr">
        <is>
          <t>SCA</t>
        </is>
      </c>
      <c r="G790" t="n">
        <v>34.4</v>
      </c>
      <c r="H790" t="n">
        <v>0</v>
      </c>
      <c r="I790" t="n">
        <v>0</v>
      </c>
      <c r="J790" t="n">
        <v>0</v>
      </c>
      <c r="K790" t="n">
        <v>0</v>
      </c>
      <c r="L790" t="n">
        <v>0</v>
      </c>
      <c r="M790" t="n">
        <v>0</v>
      </c>
      <c r="N790" t="n">
        <v>0</v>
      </c>
      <c r="O790" t="n">
        <v>0</v>
      </c>
      <c r="P790" t="n">
        <v>0</v>
      </c>
      <c r="Q790" t="n">
        <v>0</v>
      </c>
      <c r="R790" s="2" t="inlineStr"/>
    </row>
    <row r="791" ht="15" customHeight="1">
      <c r="A791" t="inlineStr">
        <is>
          <t>A 46753-2022</t>
        </is>
      </c>
      <c r="B791" s="1" t="n">
        <v>44847</v>
      </c>
      <c r="C791" s="1" t="n">
        <v>45582</v>
      </c>
      <c r="D791" t="inlineStr">
        <is>
          <t>JÄMTLANDS LÄN</t>
        </is>
      </c>
      <c r="E791" t="inlineStr">
        <is>
          <t>KROKOM</t>
        </is>
      </c>
      <c r="G791" t="n">
        <v>0.5</v>
      </c>
      <c r="H791" t="n">
        <v>0</v>
      </c>
      <c r="I791" t="n">
        <v>0</v>
      </c>
      <c r="J791" t="n">
        <v>0</v>
      </c>
      <c r="K791" t="n">
        <v>0</v>
      </c>
      <c r="L791" t="n">
        <v>0</v>
      </c>
      <c r="M791" t="n">
        <v>0</v>
      </c>
      <c r="N791" t="n">
        <v>0</v>
      </c>
      <c r="O791" t="n">
        <v>0</v>
      </c>
      <c r="P791" t="n">
        <v>0</v>
      </c>
      <c r="Q791" t="n">
        <v>0</v>
      </c>
      <c r="R791" s="2" t="inlineStr"/>
    </row>
    <row r="792" ht="15" customHeight="1">
      <c r="A792" t="inlineStr">
        <is>
          <t>A 46761-2022</t>
        </is>
      </c>
      <c r="B792" s="1" t="n">
        <v>44847</v>
      </c>
      <c r="C792" s="1" t="n">
        <v>45582</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46507-2022</t>
        </is>
      </c>
      <c r="B793" s="1" t="n">
        <v>44848</v>
      </c>
      <c r="C793" s="1" t="n">
        <v>45582</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46506-2022</t>
        </is>
      </c>
      <c r="B794" s="1" t="n">
        <v>44848</v>
      </c>
      <c r="C794" s="1" t="n">
        <v>45582</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46519-2022</t>
        </is>
      </c>
      <c r="B795" s="1" t="n">
        <v>44848</v>
      </c>
      <c r="C795" s="1" t="n">
        <v>45582</v>
      </c>
      <c r="D795" t="inlineStr">
        <is>
          <t>JÄMTLANDS LÄN</t>
        </is>
      </c>
      <c r="E795" t="inlineStr">
        <is>
          <t>KROKOM</t>
        </is>
      </c>
      <c r="G795" t="n">
        <v>3.7</v>
      </c>
      <c r="H795" t="n">
        <v>0</v>
      </c>
      <c r="I795" t="n">
        <v>0</v>
      </c>
      <c r="J795" t="n">
        <v>0</v>
      </c>
      <c r="K795" t="n">
        <v>0</v>
      </c>
      <c r="L795" t="n">
        <v>0</v>
      </c>
      <c r="M795" t="n">
        <v>0</v>
      </c>
      <c r="N795" t="n">
        <v>0</v>
      </c>
      <c r="O795" t="n">
        <v>0</v>
      </c>
      <c r="P795" t="n">
        <v>0</v>
      </c>
      <c r="Q795" t="n">
        <v>0</v>
      </c>
      <c r="R795" s="2" t="inlineStr"/>
    </row>
    <row r="796" ht="15" customHeight="1">
      <c r="A796" t="inlineStr">
        <is>
          <t>A 46631-2022</t>
        </is>
      </c>
      <c r="B796" s="1" t="n">
        <v>44848</v>
      </c>
      <c r="C796" s="1" t="n">
        <v>45582</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v>
      </c>
      <c r="C797" s="1" t="n">
        <v>45582</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46825-2022</t>
        </is>
      </c>
      <c r="B798" s="1" t="n">
        <v>44851</v>
      </c>
      <c r="C798" s="1" t="n">
        <v>45582</v>
      </c>
      <c r="D798" t="inlineStr">
        <is>
          <t>JÄMTLANDS LÄN</t>
        </is>
      </c>
      <c r="E798" t="inlineStr">
        <is>
          <t>KROKOM</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48777-2022</t>
        </is>
      </c>
      <c r="B799" s="1" t="n">
        <v>44855</v>
      </c>
      <c r="C799" s="1" t="n">
        <v>45582</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48769-2022</t>
        </is>
      </c>
      <c r="B800" s="1" t="n">
        <v>44855</v>
      </c>
      <c r="C800" s="1" t="n">
        <v>45582</v>
      </c>
      <c r="D800" t="inlineStr">
        <is>
          <t>JÄMTLANDS LÄN</t>
        </is>
      </c>
      <c r="E800" t="inlineStr">
        <is>
          <t>KROKOM</t>
        </is>
      </c>
      <c r="G800" t="n">
        <v>7.5</v>
      </c>
      <c r="H800" t="n">
        <v>0</v>
      </c>
      <c r="I800" t="n">
        <v>0</v>
      </c>
      <c r="J800" t="n">
        <v>0</v>
      </c>
      <c r="K800" t="n">
        <v>0</v>
      </c>
      <c r="L800" t="n">
        <v>0</v>
      </c>
      <c r="M800" t="n">
        <v>0</v>
      </c>
      <c r="N800" t="n">
        <v>0</v>
      </c>
      <c r="O800" t="n">
        <v>0</v>
      </c>
      <c r="P800" t="n">
        <v>0</v>
      </c>
      <c r="Q800" t="n">
        <v>0</v>
      </c>
      <c r="R800" s="2" t="inlineStr"/>
    </row>
    <row r="801" ht="15" customHeight="1">
      <c r="A801" t="inlineStr">
        <is>
          <t>A 48250-2022</t>
        </is>
      </c>
      <c r="B801" s="1" t="n">
        <v>44858</v>
      </c>
      <c r="C801" s="1" t="n">
        <v>45582</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48502-2022</t>
        </is>
      </c>
      <c r="B802" s="1" t="n">
        <v>44859</v>
      </c>
      <c r="C802" s="1" t="n">
        <v>45582</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48334-2022</t>
        </is>
      </c>
      <c r="B803" s="1" t="n">
        <v>44858</v>
      </c>
      <c r="C803" s="1" t="n">
        <v>45582</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48417-2022</t>
        </is>
      </c>
      <c r="B804" s="1" t="n">
        <v>44858</v>
      </c>
      <c r="C804" s="1" t="n">
        <v>45582</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48500-2022</t>
        </is>
      </c>
      <c r="B805" s="1" t="n">
        <v>44859</v>
      </c>
      <c r="C805" s="1" t="n">
        <v>45582</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49220-2022</t>
        </is>
      </c>
      <c r="B806" s="1" t="n">
        <v>44861</v>
      </c>
      <c r="C806" s="1" t="n">
        <v>45582</v>
      </c>
      <c r="D806" t="inlineStr">
        <is>
          <t>JÄMTLANDS LÄN</t>
        </is>
      </c>
      <c r="E806" t="inlineStr">
        <is>
          <t>KROKOM</t>
        </is>
      </c>
      <c r="G806" t="n">
        <v>1.4</v>
      </c>
      <c r="H806" t="n">
        <v>0</v>
      </c>
      <c r="I806" t="n">
        <v>0</v>
      </c>
      <c r="J806" t="n">
        <v>0</v>
      </c>
      <c r="K806" t="n">
        <v>0</v>
      </c>
      <c r="L806" t="n">
        <v>0</v>
      </c>
      <c r="M806" t="n">
        <v>0</v>
      </c>
      <c r="N806" t="n">
        <v>0</v>
      </c>
      <c r="O806" t="n">
        <v>0</v>
      </c>
      <c r="P806" t="n">
        <v>0</v>
      </c>
      <c r="Q806" t="n">
        <v>0</v>
      </c>
      <c r="R806" s="2" t="inlineStr"/>
    </row>
    <row r="807" ht="15" customHeight="1">
      <c r="A807" t="inlineStr">
        <is>
          <t>A 50302-2022</t>
        </is>
      </c>
      <c r="B807" s="1" t="n">
        <v>44865</v>
      </c>
      <c r="C807" s="1" t="n">
        <v>45582</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51345-2022</t>
        </is>
      </c>
      <c r="B808" s="1" t="n">
        <v>44866</v>
      </c>
      <c r="C808" s="1" t="n">
        <v>45582</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51359-2022</t>
        </is>
      </c>
      <c r="B809" s="1" t="n">
        <v>44869</v>
      </c>
      <c r="C809" s="1" t="n">
        <v>45582</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52253-2022</t>
        </is>
      </c>
      <c r="B810" s="1" t="n">
        <v>44873</v>
      </c>
      <c r="C810" s="1" t="n">
        <v>45582</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52268-2022</t>
        </is>
      </c>
      <c r="B811" s="1" t="n">
        <v>44873</v>
      </c>
      <c r="C811" s="1" t="n">
        <v>45582</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c r="U811">
        <f>HYPERLINK("https://klasma.github.io/Logging_2309/knärot/A 52268-2022 karta knärot.png", "A 52268-2022")</f>
        <v/>
      </c>
      <c r="V811">
        <f>HYPERLINK("https://klasma.github.io/Logging_2309/klagomål/A 52268-2022 FSC-klagomål.docx", "A 52268-2022")</f>
        <v/>
      </c>
      <c r="W811">
        <f>HYPERLINK("https://klasma.github.io/Logging_2309/klagomålsmail/A 52268-2022 FSC-klagomål mail.docx", "A 52268-2022")</f>
        <v/>
      </c>
      <c r="X811">
        <f>HYPERLINK("https://klasma.github.io/Logging_2309/tillsyn/A 52268-2022 tillsynsbegäran.docx", "A 52268-2022")</f>
        <v/>
      </c>
      <c r="Y811">
        <f>HYPERLINK("https://klasma.github.io/Logging_2309/tillsynsmail/A 52268-2022 tillsynsbegäran mail.docx", "A 52268-2022")</f>
        <v/>
      </c>
    </row>
    <row r="812" ht="15" customHeight="1">
      <c r="A812" t="inlineStr">
        <is>
          <t>A 52258-2022</t>
        </is>
      </c>
      <c r="B812" s="1" t="n">
        <v>44873</v>
      </c>
      <c r="C812" s="1" t="n">
        <v>45582</v>
      </c>
      <c r="D812" t="inlineStr">
        <is>
          <t>JÄMTLANDS LÄN</t>
        </is>
      </c>
      <c r="E812" t="inlineStr">
        <is>
          <t>KROKOM</t>
        </is>
      </c>
      <c r="G812" t="n">
        <v>1.3</v>
      </c>
      <c r="H812" t="n">
        <v>0</v>
      </c>
      <c r="I812" t="n">
        <v>0</v>
      </c>
      <c r="J812" t="n">
        <v>0</v>
      </c>
      <c r="K812" t="n">
        <v>0</v>
      </c>
      <c r="L812" t="n">
        <v>0</v>
      </c>
      <c r="M812" t="n">
        <v>0</v>
      </c>
      <c r="N812" t="n">
        <v>0</v>
      </c>
      <c r="O812" t="n">
        <v>0</v>
      </c>
      <c r="P812" t="n">
        <v>0</v>
      </c>
      <c r="Q812" t="n">
        <v>0</v>
      </c>
      <c r="R812" s="2" t="inlineStr"/>
    </row>
    <row r="813" ht="15" customHeight="1">
      <c r="A813" t="inlineStr">
        <is>
          <t>A 53402-2022</t>
        </is>
      </c>
      <c r="B813" s="1" t="n">
        <v>44874</v>
      </c>
      <c r="C813" s="1" t="n">
        <v>45582</v>
      </c>
      <c r="D813" t="inlineStr">
        <is>
          <t>JÄMTLANDS LÄN</t>
        </is>
      </c>
      <c r="E813" t="inlineStr">
        <is>
          <t>KROKOM</t>
        </is>
      </c>
      <c r="G813" t="n">
        <v>36.7</v>
      </c>
      <c r="H813" t="n">
        <v>0</v>
      </c>
      <c r="I813" t="n">
        <v>0</v>
      </c>
      <c r="J813" t="n">
        <v>0</v>
      </c>
      <c r="K813" t="n">
        <v>0</v>
      </c>
      <c r="L813" t="n">
        <v>0</v>
      </c>
      <c r="M813" t="n">
        <v>0</v>
      </c>
      <c r="N813" t="n">
        <v>0</v>
      </c>
      <c r="O813" t="n">
        <v>0</v>
      </c>
      <c r="P813" t="n">
        <v>0</v>
      </c>
      <c r="Q813" t="n">
        <v>0</v>
      </c>
      <c r="R813" s="2" t="inlineStr"/>
    </row>
    <row r="814" ht="15" customHeight="1">
      <c r="A814" t="inlineStr">
        <is>
          <t>A 52801-2022</t>
        </is>
      </c>
      <c r="B814" s="1" t="n">
        <v>44875</v>
      </c>
      <c r="C814" s="1" t="n">
        <v>45582</v>
      </c>
      <c r="D814" t="inlineStr">
        <is>
          <t>JÄMTLANDS LÄN</t>
        </is>
      </c>
      <c r="E814" t="inlineStr">
        <is>
          <t>KROKOM</t>
        </is>
      </c>
      <c r="G814" t="n">
        <v>3.1</v>
      </c>
      <c r="H814" t="n">
        <v>0</v>
      </c>
      <c r="I814" t="n">
        <v>0</v>
      </c>
      <c r="J814" t="n">
        <v>0</v>
      </c>
      <c r="K814" t="n">
        <v>0</v>
      </c>
      <c r="L814" t="n">
        <v>0</v>
      </c>
      <c r="M814" t="n">
        <v>0</v>
      </c>
      <c r="N814" t="n">
        <v>0</v>
      </c>
      <c r="O814" t="n">
        <v>0</v>
      </c>
      <c r="P814" t="n">
        <v>0</v>
      </c>
      <c r="Q814" t="n">
        <v>0</v>
      </c>
      <c r="R814" s="2" t="inlineStr"/>
    </row>
    <row r="815" ht="15" customHeight="1">
      <c r="A815" t="inlineStr">
        <is>
          <t>A 52788-2022</t>
        </is>
      </c>
      <c r="B815" s="1" t="n">
        <v>44875</v>
      </c>
      <c r="C815" s="1" t="n">
        <v>45582</v>
      </c>
      <c r="D815" t="inlineStr">
        <is>
          <t>JÄMTLANDS LÄN</t>
        </is>
      </c>
      <c r="E815" t="inlineStr">
        <is>
          <t>KROKOM</t>
        </is>
      </c>
      <c r="F815" t="inlineStr">
        <is>
          <t>Övriga Aktiebolag</t>
        </is>
      </c>
      <c r="G815" t="n">
        <v>1.7</v>
      </c>
      <c r="H815" t="n">
        <v>0</v>
      </c>
      <c r="I815" t="n">
        <v>0</v>
      </c>
      <c r="J815" t="n">
        <v>0</v>
      </c>
      <c r="K815" t="n">
        <v>0</v>
      </c>
      <c r="L815" t="n">
        <v>0</v>
      </c>
      <c r="M815" t="n">
        <v>0</v>
      </c>
      <c r="N815" t="n">
        <v>0</v>
      </c>
      <c r="O815" t="n">
        <v>0</v>
      </c>
      <c r="P815" t="n">
        <v>0</v>
      </c>
      <c r="Q815" t="n">
        <v>0</v>
      </c>
      <c r="R815" s="2" t="inlineStr"/>
    </row>
    <row r="816" ht="15" customHeight="1">
      <c r="A816" t="inlineStr">
        <is>
          <t>A 52843-2022</t>
        </is>
      </c>
      <c r="B816" s="1" t="n">
        <v>44875</v>
      </c>
      <c r="C816" s="1" t="n">
        <v>45582</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52858-2022</t>
        </is>
      </c>
      <c r="B817" s="1" t="n">
        <v>44875</v>
      </c>
      <c r="C817" s="1" t="n">
        <v>45582</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53765-2022</t>
        </is>
      </c>
      <c r="B818" s="1" t="n">
        <v>44875</v>
      </c>
      <c r="C818" s="1" t="n">
        <v>45582</v>
      </c>
      <c r="D818" t="inlineStr">
        <is>
          <t>JÄMTLANDS LÄN</t>
        </is>
      </c>
      <c r="E818" t="inlineStr">
        <is>
          <t>KROKOM</t>
        </is>
      </c>
      <c r="G818" t="n">
        <v>6.4</v>
      </c>
      <c r="H818" t="n">
        <v>0</v>
      </c>
      <c r="I818" t="n">
        <v>0</v>
      </c>
      <c r="J818" t="n">
        <v>0</v>
      </c>
      <c r="K818" t="n">
        <v>0</v>
      </c>
      <c r="L818" t="n">
        <v>0</v>
      </c>
      <c r="M818" t="n">
        <v>0</v>
      </c>
      <c r="N818" t="n">
        <v>0</v>
      </c>
      <c r="O818" t="n">
        <v>0</v>
      </c>
      <c r="P818" t="n">
        <v>0</v>
      </c>
      <c r="Q818" t="n">
        <v>0</v>
      </c>
      <c r="R818" s="2" t="inlineStr"/>
    </row>
    <row r="819" ht="15" customHeight="1">
      <c r="A819" t="inlineStr">
        <is>
          <t>A 53771-2022</t>
        </is>
      </c>
      <c r="B819" s="1" t="n">
        <v>44875</v>
      </c>
      <c r="C819" s="1" t="n">
        <v>45582</v>
      </c>
      <c r="D819" t="inlineStr">
        <is>
          <t>JÄMTLANDS LÄN</t>
        </is>
      </c>
      <c r="E819" t="inlineStr">
        <is>
          <t>KROKOM</t>
        </is>
      </c>
      <c r="G819" t="n">
        <v>8.1</v>
      </c>
      <c r="H819" t="n">
        <v>0</v>
      </c>
      <c r="I819" t="n">
        <v>0</v>
      </c>
      <c r="J819" t="n">
        <v>0</v>
      </c>
      <c r="K819" t="n">
        <v>0</v>
      </c>
      <c r="L819" t="n">
        <v>0</v>
      </c>
      <c r="M819" t="n">
        <v>0</v>
      </c>
      <c r="N819" t="n">
        <v>0</v>
      </c>
      <c r="O819" t="n">
        <v>0</v>
      </c>
      <c r="P819" t="n">
        <v>0</v>
      </c>
      <c r="Q819" t="n">
        <v>0</v>
      </c>
      <c r="R819" s="2" t="inlineStr"/>
    </row>
    <row r="820" ht="15" customHeight="1">
      <c r="A820" t="inlineStr">
        <is>
          <t>A 53843-2022</t>
        </is>
      </c>
      <c r="B820" s="1" t="n">
        <v>44880</v>
      </c>
      <c r="C820" s="1" t="n">
        <v>45582</v>
      </c>
      <c r="D820" t="inlineStr">
        <is>
          <t>JÄMTLANDS LÄN</t>
        </is>
      </c>
      <c r="E820" t="inlineStr">
        <is>
          <t>KROKOM</t>
        </is>
      </c>
      <c r="F820" t="inlineStr">
        <is>
          <t>Övriga Aktiebolag</t>
        </is>
      </c>
      <c r="G820" t="n">
        <v>26.4</v>
      </c>
      <c r="H820" t="n">
        <v>0</v>
      </c>
      <c r="I820" t="n">
        <v>0</v>
      </c>
      <c r="J820" t="n">
        <v>0</v>
      </c>
      <c r="K820" t="n">
        <v>0</v>
      </c>
      <c r="L820" t="n">
        <v>0</v>
      </c>
      <c r="M820" t="n">
        <v>0</v>
      </c>
      <c r="N820" t="n">
        <v>0</v>
      </c>
      <c r="O820" t="n">
        <v>0</v>
      </c>
      <c r="P820" t="n">
        <v>0</v>
      </c>
      <c r="Q820" t="n">
        <v>0</v>
      </c>
      <c r="R820" s="2" t="inlineStr"/>
    </row>
    <row r="821" ht="15" customHeight="1">
      <c r="A821" t="inlineStr">
        <is>
          <t>A 54491-2022</t>
        </is>
      </c>
      <c r="B821" s="1" t="n">
        <v>44880</v>
      </c>
      <c r="C821" s="1" t="n">
        <v>45582</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54049-2022</t>
        </is>
      </c>
      <c r="B822" s="1" t="n">
        <v>44881</v>
      </c>
      <c r="C822" s="1" t="n">
        <v>45582</v>
      </c>
      <c r="D822" t="inlineStr">
        <is>
          <t>JÄMTLANDS LÄN</t>
        </is>
      </c>
      <c r="E822" t="inlineStr">
        <is>
          <t>KROKOM</t>
        </is>
      </c>
      <c r="G822" t="n">
        <v>6.8</v>
      </c>
      <c r="H822" t="n">
        <v>0</v>
      </c>
      <c r="I822" t="n">
        <v>0</v>
      </c>
      <c r="J822" t="n">
        <v>0</v>
      </c>
      <c r="K822" t="n">
        <v>0</v>
      </c>
      <c r="L822" t="n">
        <v>0</v>
      </c>
      <c r="M822" t="n">
        <v>0</v>
      </c>
      <c r="N822" t="n">
        <v>0</v>
      </c>
      <c r="O822" t="n">
        <v>0</v>
      </c>
      <c r="P822" t="n">
        <v>0</v>
      </c>
      <c r="Q822" t="n">
        <v>0</v>
      </c>
      <c r="R822" s="2" t="inlineStr"/>
    </row>
    <row r="823" ht="15" customHeight="1">
      <c r="A823" t="inlineStr">
        <is>
          <t>A 54605-2022</t>
        </is>
      </c>
      <c r="B823" s="1" t="n">
        <v>44881</v>
      </c>
      <c r="C823" s="1" t="n">
        <v>45582</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55564-2022</t>
        </is>
      </c>
      <c r="B824" s="1" t="n">
        <v>44883</v>
      </c>
      <c r="C824" s="1" t="n">
        <v>45582</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55567-2022</t>
        </is>
      </c>
      <c r="B825" s="1" t="n">
        <v>44883</v>
      </c>
      <c r="C825" s="1" t="n">
        <v>45582</v>
      </c>
      <c r="D825" t="inlineStr">
        <is>
          <t>JÄMTLANDS LÄN</t>
        </is>
      </c>
      <c r="E825" t="inlineStr">
        <is>
          <t>KROKOM</t>
        </is>
      </c>
      <c r="G825" t="n">
        <v>2.2</v>
      </c>
      <c r="H825" t="n">
        <v>0</v>
      </c>
      <c r="I825" t="n">
        <v>0</v>
      </c>
      <c r="J825" t="n">
        <v>0</v>
      </c>
      <c r="K825" t="n">
        <v>0</v>
      </c>
      <c r="L825" t="n">
        <v>0</v>
      </c>
      <c r="M825" t="n">
        <v>0</v>
      </c>
      <c r="N825" t="n">
        <v>0</v>
      </c>
      <c r="O825" t="n">
        <v>0</v>
      </c>
      <c r="P825" t="n">
        <v>0</v>
      </c>
      <c r="Q825" t="n">
        <v>0</v>
      </c>
      <c r="R825" s="2" t="inlineStr"/>
    </row>
    <row r="826" ht="15" customHeight="1">
      <c r="A826" t="inlineStr">
        <is>
          <t>A 55479-2022</t>
        </is>
      </c>
      <c r="B826" s="1" t="n">
        <v>44887</v>
      </c>
      <c r="C826" s="1" t="n">
        <v>45582</v>
      </c>
      <c r="D826" t="inlineStr">
        <is>
          <t>JÄMTLANDS LÄN</t>
        </is>
      </c>
      <c r="E826" t="inlineStr">
        <is>
          <t>KROKOM</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55455-2022</t>
        </is>
      </c>
      <c r="B827" s="1" t="n">
        <v>44887</v>
      </c>
      <c r="C827" s="1" t="n">
        <v>45582</v>
      </c>
      <c r="D827" t="inlineStr">
        <is>
          <t>JÄMTLANDS LÄN</t>
        </is>
      </c>
      <c r="E827" t="inlineStr">
        <is>
          <t>KROKOM</t>
        </is>
      </c>
      <c r="F827" t="inlineStr">
        <is>
          <t>Övriga Aktiebolag</t>
        </is>
      </c>
      <c r="G827" t="n">
        <v>5.2</v>
      </c>
      <c r="H827" t="n">
        <v>0</v>
      </c>
      <c r="I827" t="n">
        <v>0</v>
      </c>
      <c r="J827" t="n">
        <v>0</v>
      </c>
      <c r="K827" t="n">
        <v>0</v>
      </c>
      <c r="L827" t="n">
        <v>0</v>
      </c>
      <c r="M827" t="n">
        <v>0</v>
      </c>
      <c r="N827" t="n">
        <v>0</v>
      </c>
      <c r="O827" t="n">
        <v>0</v>
      </c>
      <c r="P827" t="n">
        <v>0</v>
      </c>
      <c r="Q827" t="n">
        <v>0</v>
      </c>
      <c r="R827" s="2" t="inlineStr"/>
    </row>
    <row r="828" ht="15" customHeight="1">
      <c r="A828" t="inlineStr">
        <is>
          <t>A 56167-2022</t>
        </is>
      </c>
      <c r="B828" s="1" t="n">
        <v>44889</v>
      </c>
      <c r="C828" s="1" t="n">
        <v>45582</v>
      </c>
      <c r="D828" t="inlineStr">
        <is>
          <t>JÄMTLANDS LÄN</t>
        </is>
      </c>
      <c r="E828" t="inlineStr">
        <is>
          <t>KROKOM</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56166-2022</t>
        </is>
      </c>
      <c r="B829" s="1" t="n">
        <v>44889</v>
      </c>
      <c r="C829" s="1" t="n">
        <v>45582</v>
      </c>
      <c r="D829" t="inlineStr">
        <is>
          <t>JÄMTLANDS LÄN</t>
        </is>
      </c>
      <c r="E829" t="inlineStr">
        <is>
          <t>KROKOM</t>
        </is>
      </c>
      <c r="G829" t="n">
        <v>17.6</v>
      </c>
      <c r="H829" t="n">
        <v>0</v>
      </c>
      <c r="I829" t="n">
        <v>0</v>
      </c>
      <c r="J829" t="n">
        <v>0</v>
      </c>
      <c r="K829" t="n">
        <v>0</v>
      </c>
      <c r="L829" t="n">
        <v>0</v>
      </c>
      <c r="M829" t="n">
        <v>0</v>
      </c>
      <c r="N829" t="n">
        <v>0</v>
      </c>
      <c r="O829" t="n">
        <v>0</v>
      </c>
      <c r="P829" t="n">
        <v>0</v>
      </c>
      <c r="Q829" t="n">
        <v>0</v>
      </c>
      <c r="R829" s="2" t="inlineStr"/>
    </row>
    <row r="830" ht="15" customHeight="1">
      <c r="A830" t="inlineStr">
        <is>
          <t>A 57454-2022</t>
        </is>
      </c>
      <c r="B830" s="1" t="n">
        <v>44889</v>
      </c>
      <c r="C830" s="1" t="n">
        <v>45582</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58052-2022</t>
        </is>
      </c>
      <c r="B831" s="1" t="n">
        <v>44893</v>
      </c>
      <c r="C831" s="1" t="n">
        <v>45582</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58771-2022</t>
        </is>
      </c>
      <c r="B832" s="1" t="n">
        <v>44895</v>
      </c>
      <c r="C832" s="1" t="n">
        <v>45582</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57480-2022</t>
        </is>
      </c>
      <c r="B833" s="1" t="n">
        <v>44896</v>
      </c>
      <c r="C833" s="1" t="n">
        <v>45582</v>
      </c>
      <c r="D833" t="inlineStr">
        <is>
          <t>JÄMTLANDS LÄN</t>
        </is>
      </c>
      <c r="E833" t="inlineStr">
        <is>
          <t>KROKOM</t>
        </is>
      </c>
      <c r="G833" t="n">
        <v>12.3</v>
      </c>
      <c r="H833" t="n">
        <v>0</v>
      </c>
      <c r="I833" t="n">
        <v>0</v>
      </c>
      <c r="J833" t="n">
        <v>0</v>
      </c>
      <c r="K833" t="n">
        <v>0</v>
      </c>
      <c r="L833" t="n">
        <v>0</v>
      </c>
      <c r="M833" t="n">
        <v>0</v>
      </c>
      <c r="N833" t="n">
        <v>0</v>
      </c>
      <c r="O833" t="n">
        <v>0</v>
      </c>
      <c r="P833" t="n">
        <v>0</v>
      </c>
      <c r="Q833" t="n">
        <v>0</v>
      </c>
      <c r="R833" s="2" t="inlineStr"/>
    </row>
    <row r="834" ht="15" customHeight="1">
      <c r="A834" t="inlineStr">
        <is>
          <t>A 58044-2022</t>
        </is>
      </c>
      <c r="B834" s="1" t="n">
        <v>44900</v>
      </c>
      <c r="C834" s="1" t="n">
        <v>45582</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58041-2022</t>
        </is>
      </c>
      <c r="B835" s="1" t="n">
        <v>44900</v>
      </c>
      <c r="C835" s="1" t="n">
        <v>45582</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58313-2022</t>
        </is>
      </c>
      <c r="B836" s="1" t="n">
        <v>44901</v>
      </c>
      <c r="C836" s="1" t="n">
        <v>45582</v>
      </c>
      <c r="D836" t="inlineStr">
        <is>
          <t>JÄMTLANDS LÄN</t>
        </is>
      </c>
      <c r="E836" t="inlineStr">
        <is>
          <t>KROKOM</t>
        </is>
      </c>
      <c r="F836" t="inlineStr">
        <is>
          <t>Övriga Aktiebolag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58347-2022</t>
        </is>
      </c>
      <c r="B837" s="1" t="n">
        <v>44901</v>
      </c>
      <c r="C837" s="1" t="n">
        <v>45582</v>
      </c>
      <c r="D837" t="inlineStr">
        <is>
          <t>JÄMTLANDS LÄN</t>
        </is>
      </c>
      <c r="E837" t="inlineStr">
        <is>
          <t>KROKOM</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58316-2022</t>
        </is>
      </c>
      <c r="B838" s="1" t="n">
        <v>44901</v>
      </c>
      <c r="C838" s="1" t="n">
        <v>45582</v>
      </c>
      <c r="D838" t="inlineStr">
        <is>
          <t>JÄMTLANDS LÄN</t>
        </is>
      </c>
      <c r="E838" t="inlineStr">
        <is>
          <t>KROKOM</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59830-2022</t>
        </is>
      </c>
      <c r="B839" s="1" t="n">
        <v>44901</v>
      </c>
      <c r="C839" s="1" t="n">
        <v>45582</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58870-2022</t>
        </is>
      </c>
      <c r="B840" s="1" t="n">
        <v>44903</v>
      </c>
      <c r="C840" s="1" t="n">
        <v>45582</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59076-2022</t>
        </is>
      </c>
      <c r="B841" s="1" t="n">
        <v>44904</v>
      </c>
      <c r="C841" s="1" t="n">
        <v>45582</v>
      </c>
      <c r="D841" t="inlineStr">
        <is>
          <t>JÄMTLANDS LÄN</t>
        </is>
      </c>
      <c r="E841" t="inlineStr">
        <is>
          <t>KROKOM</t>
        </is>
      </c>
      <c r="G841" t="n">
        <v>3.4</v>
      </c>
      <c r="H841" t="n">
        <v>0</v>
      </c>
      <c r="I841" t="n">
        <v>0</v>
      </c>
      <c r="J841" t="n">
        <v>0</v>
      </c>
      <c r="K841" t="n">
        <v>0</v>
      </c>
      <c r="L841" t="n">
        <v>0</v>
      </c>
      <c r="M841" t="n">
        <v>0</v>
      </c>
      <c r="N841" t="n">
        <v>0</v>
      </c>
      <c r="O841" t="n">
        <v>0</v>
      </c>
      <c r="P841" t="n">
        <v>0</v>
      </c>
      <c r="Q841" t="n">
        <v>0</v>
      </c>
      <c r="R841" s="2" t="inlineStr"/>
    </row>
    <row r="842" ht="15" customHeight="1">
      <c r="A842" t="inlineStr">
        <is>
          <t>A 59668-2022</t>
        </is>
      </c>
      <c r="B842" s="1" t="n">
        <v>44908</v>
      </c>
      <c r="C842" s="1" t="n">
        <v>45582</v>
      </c>
      <c r="D842" t="inlineStr">
        <is>
          <t>JÄMTLANDS LÄN</t>
        </is>
      </c>
      <c r="E842" t="inlineStr">
        <is>
          <t>KROKOM</t>
        </is>
      </c>
      <c r="F842" t="inlineStr">
        <is>
          <t>Övriga Aktiebolag</t>
        </is>
      </c>
      <c r="G842" t="n">
        <v>7.8</v>
      </c>
      <c r="H842" t="n">
        <v>0</v>
      </c>
      <c r="I842" t="n">
        <v>0</v>
      </c>
      <c r="J842" t="n">
        <v>0</v>
      </c>
      <c r="K842" t="n">
        <v>0</v>
      </c>
      <c r="L842" t="n">
        <v>0</v>
      </c>
      <c r="M842" t="n">
        <v>0</v>
      </c>
      <c r="N842" t="n">
        <v>0</v>
      </c>
      <c r="O842" t="n">
        <v>0</v>
      </c>
      <c r="P842" t="n">
        <v>0</v>
      </c>
      <c r="Q842" t="n">
        <v>0</v>
      </c>
      <c r="R842" s="2" t="inlineStr"/>
    </row>
    <row r="843" ht="15" customHeight="1">
      <c r="A843" t="inlineStr">
        <is>
          <t>A 60536-2022</t>
        </is>
      </c>
      <c r="B843" s="1" t="n">
        <v>44911</v>
      </c>
      <c r="C843" s="1" t="n">
        <v>45582</v>
      </c>
      <c r="D843" t="inlineStr">
        <is>
          <t>JÄMTLANDS LÄN</t>
        </is>
      </c>
      <c r="E843" t="inlineStr">
        <is>
          <t>KROKOM</t>
        </is>
      </c>
      <c r="F843" t="inlineStr">
        <is>
          <t>Övriga Aktiebolag</t>
        </is>
      </c>
      <c r="G843" t="n">
        <v>39.4</v>
      </c>
      <c r="H843" t="n">
        <v>0</v>
      </c>
      <c r="I843" t="n">
        <v>0</v>
      </c>
      <c r="J843" t="n">
        <v>0</v>
      </c>
      <c r="K843" t="n">
        <v>0</v>
      </c>
      <c r="L843" t="n">
        <v>0</v>
      </c>
      <c r="M843" t="n">
        <v>0</v>
      </c>
      <c r="N843" t="n">
        <v>0</v>
      </c>
      <c r="O843" t="n">
        <v>0</v>
      </c>
      <c r="P843" t="n">
        <v>0</v>
      </c>
      <c r="Q843" t="n">
        <v>0</v>
      </c>
      <c r="R843" s="2" t="inlineStr"/>
    </row>
    <row r="844" ht="15" customHeight="1">
      <c r="A844" t="inlineStr">
        <is>
          <t>A 61675-2022</t>
        </is>
      </c>
      <c r="B844" s="1" t="n">
        <v>44911</v>
      </c>
      <c r="C844" s="1" t="n">
        <v>45582</v>
      </c>
      <c r="D844" t="inlineStr">
        <is>
          <t>JÄMTLANDS LÄN</t>
        </is>
      </c>
      <c r="E844" t="inlineStr">
        <is>
          <t>KROKOM</t>
        </is>
      </c>
      <c r="G844" t="n">
        <v>2.6</v>
      </c>
      <c r="H844" t="n">
        <v>0</v>
      </c>
      <c r="I844" t="n">
        <v>0</v>
      </c>
      <c r="J844" t="n">
        <v>0</v>
      </c>
      <c r="K844" t="n">
        <v>0</v>
      </c>
      <c r="L844" t="n">
        <v>0</v>
      </c>
      <c r="M844" t="n">
        <v>0</v>
      </c>
      <c r="N844" t="n">
        <v>0</v>
      </c>
      <c r="O844" t="n">
        <v>0</v>
      </c>
      <c r="P844" t="n">
        <v>0</v>
      </c>
      <c r="Q844" t="n">
        <v>0</v>
      </c>
      <c r="R844" s="2" t="inlineStr"/>
    </row>
    <row r="845" ht="15" customHeight="1">
      <c r="A845" t="inlineStr">
        <is>
          <t>A 61572-2022</t>
        </is>
      </c>
      <c r="B845" s="1" t="n">
        <v>44916</v>
      </c>
      <c r="C845" s="1" t="n">
        <v>45582</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62146-2022</t>
        </is>
      </c>
      <c r="B846" s="1" t="n">
        <v>44922</v>
      </c>
      <c r="C846" s="1" t="n">
        <v>45582</v>
      </c>
      <c r="D846" t="inlineStr">
        <is>
          <t>JÄMTLANDS LÄN</t>
        </is>
      </c>
      <c r="E846" t="inlineStr">
        <is>
          <t>KROKOM</t>
        </is>
      </c>
      <c r="F846" t="inlineStr">
        <is>
          <t>Övriga Aktiebolag</t>
        </is>
      </c>
      <c r="G846" t="n">
        <v>17.5</v>
      </c>
      <c r="H846" t="n">
        <v>0</v>
      </c>
      <c r="I846" t="n">
        <v>0</v>
      </c>
      <c r="J846" t="n">
        <v>0</v>
      </c>
      <c r="K846" t="n">
        <v>0</v>
      </c>
      <c r="L846" t="n">
        <v>0</v>
      </c>
      <c r="M846" t="n">
        <v>0</v>
      </c>
      <c r="N846" t="n">
        <v>0</v>
      </c>
      <c r="O846" t="n">
        <v>0</v>
      </c>
      <c r="P846" t="n">
        <v>0</v>
      </c>
      <c r="Q846" t="n">
        <v>0</v>
      </c>
      <c r="R846" s="2" t="inlineStr"/>
    </row>
    <row r="847" ht="15" customHeight="1">
      <c r="A847" t="inlineStr">
        <is>
          <t>A 62142-2022</t>
        </is>
      </c>
      <c r="B847" s="1" t="n">
        <v>44922</v>
      </c>
      <c r="C847" s="1" t="n">
        <v>45582</v>
      </c>
      <c r="D847" t="inlineStr">
        <is>
          <t>JÄMTLANDS LÄN</t>
        </is>
      </c>
      <c r="E847" t="inlineStr">
        <is>
          <t>KROKOM</t>
        </is>
      </c>
      <c r="F847" t="inlineStr">
        <is>
          <t>Övriga Aktiebolag</t>
        </is>
      </c>
      <c r="G847" t="n">
        <v>11.7</v>
      </c>
      <c r="H847" t="n">
        <v>0</v>
      </c>
      <c r="I847" t="n">
        <v>0</v>
      </c>
      <c r="J847" t="n">
        <v>0</v>
      </c>
      <c r="K847" t="n">
        <v>0</v>
      </c>
      <c r="L847" t="n">
        <v>0</v>
      </c>
      <c r="M847" t="n">
        <v>0</v>
      </c>
      <c r="N847" t="n">
        <v>0</v>
      </c>
      <c r="O847" t="n">
        <v>0</v>
      </c>
      <c r="P847" t="n">
        <v>0</v>
      </c>
      <c r="Q847" t="n">
        <v>0</v>
      </c>
      <c r="R847" s="2" t="inlineStr"/>
    </row>
    <row r="848" ht="15" customHeight="1">
      <c r="A848" t="inlineStr">
        <is>
          <t>A 233-2023</t>
        </is>
      </c>
      <c r="B848" s="1" t="n">
        <v>44922</v>
      </c>
      <c r="C848" s="1" t="n">
        <v>45582</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731-2023</t>
        </is>
      </c>
      <c r="B849" s="1" t="n">
        <v>44930</v>
      </c>
      <c r="C849" s="1" t="n">
        <v>45582</v>
      </c>
      <c r="D849" t="inlineStr">
        <is>
          <t>JÄMTLANDS LÄN</t>
        </is>
      </c>
      <c r="E849" t="inlineStr">
        <is>
          <t>KROKOM</t>
        </is>
      </c>
      <c r="G849" t="n">
        <v>10.6</v>
      </c>
      <c r="H849" t="n">
        <v>0</v>
      </c>
      <c r="I849" t="n">
        <v>0</v>
      </c>
      <c r="J849" t="n">
        <v>0</v>
      </c>
      <c r="K849" t="n">
        <v>0</v>
      </c>
      <c r="L849" t="n">
        <v>0</v>
      </c>
      <c r="M849" t="n">
        <v>0</v>
      </c>
      <c r="N849" t="n">
        <v>0</v>
      </c>
      <c r="O849" t="n">
        <v>0</v>
      </c>
      <c r="P849" t="n">
        <v>0</v>
      </c>
      <c r="Q849" t="n">
        <v>0</v>
      </c>
      <c r="R849" s="2" t="inlineStr"/>
    </row>
    <row r="850" ht="15" customHeight="1">
      <c r="A850" t="inlineStr">
        <is>
          <t>A 1297-2023</t>
        </is>
      </c>
      <c r="B850" s="1" t="n">
        <v>44931</v>
      </c>
      <c r="C850" s="1" t="n">
        <v>45582</v>
      </c>
      <c r="D850" t="inlineStr">
        <is>
          <t>JÄMTLANDS LÄN</t>
        </is>
      </c>
      <c r="E850" t="inlineStr">
        <is>
          <t>KROKOM</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1517-2023</t>
        </is>
      </c>
      <c r="B851" s="1" t="n">
        <v>44935</v>
      </c>
      <c r="C851" s="1" t="n">
        <v>45582</v>
      </c>
      <c r="D851" t="inlineStr">
        <is>
          <t>JÄMTLANDS LÄN</t>
        </is>
      </c>
      <c r="E851" t="inlineStr">
        <is>
          <t>KROKOM</t>
        </is>
      </c>
      <c r="G851" t="n">
        <v>11.1</v>
      </c>
      <c r="H851" t="n">
        <v>0</v>
      </c>
      <c r="I851" t="n">
        <v>0</v>
      </c>
      <c r="J851" t="n">
        <v>0</v>
      </c>
      <c r="K851" t="n">
        <v>0</v>
      </c>
      <c r="L851" t="n">
        <v>0</v>
      </c>
      <c r="M851" t="n">
        <v>0</v>
      </c>
      <c r="N851" t="n">
        <v>0</v>
      </c>
      <c r="O851" t="n">
        <v>0</v>
      </c>
      <c r="P851" t="n">
        <v>0</v>
      </c>
      <c r="Q851" t="n">
        <v>0</v>
      </c>
      <c r="R851" s="2" t="inlineStr"/>
    </row>
    <row r="852" ht="15" customHeight="1">
      <c r="A852" t="inlineStr">
        <is>
          <t>A 1877-2023</t>
        </is>
      </c>
      <c r="B852" s="1" t="n">
        <v>44938</v>
      </c>
      <c r="C852" s="1" t="n">
        <v>45582</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2609-2023</t>
        </is>
      </c>
      <c r="B853" s="1" t="n">
        <v>44939</v>
      </c>
      <c r="C853" s="1" t="n">
        <v>45582</v>
      </c>
      <c r="D853" t="inlineStr">
        <is>
          <t>JÄMTLANDS LÄN</t>
        </is>
      </c>
      <c r="E853" t="inlineStr">
        <is>
          <t>KROKOM</t>
        </is>
      </c>
      <c r="G853" t="n">
        <v>16.9</v>
      </c>
      <c r="H853" t="n">
        <v>0</v>
      </c>
      <c r="I853" t="n">
        <v>0</v>
      </c>
      <c r="J853" t="n">
        <v>0</v>
      </c>
      <c r="K853" t="n">
        <v>0</v>
      </c>
      <c r="L853" t="n">
        <v>0</v>
      </c>
      <c r="M853" t="n">
        <v>0</v>
      </c>
      <c r="N853" t="n">
        <v>0</v>
      </c>
      <c r="O853" t="n">
        <v>0</v>
      </c>
      <c r="P853" t="n">
        <v>0</v>
      </c>
      <c r="Q853" t="n">
        <v>0</v>
      </c>
      <c r="R853" s="2" t="inlineStr"/>
    </row>
    <row r="854" ht="15" customHeight="1">
      <c r="A854" t="inlineStr">
        <is>
          <t>A 3213-2023</t>
        </is>
      </c>
      <c r="B854" s="1" t="n">
        <v>44946</v>
      </c>
      <c r="C854" s="1" t="n">
        <v>45582</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3218-2023</t>
        </is>
      </c>
      <c r="B855" s="1" t="n">
        <v>44946</v>
      </c>
      <c r="C855" s="1" t="n">
        <v>45582</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3210-2023</t>
        </is>
      </c>
      <c r="B856" s="1" t="n">
        <v>44946</v>
      </c>
      <c r="C856" s="1" t="n">
        <v>45582</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5722-2023</t>
        </is>
      </c>
      <c r="B857" s="1" t="n">
        <v>44961</v>
      </c>
      <c r="C857" s="1" t="n">
        <v>45582</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6595-2023</t>
        </is>
      </c>
      <c r="B858" s="1" t="n">
        <v>44963</v>
      </c>
      <c r="C858" s="1" t="n">
        <v>45582</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6347-2023</t>
        </is>
      </c>
      <c r="B859" s="1" t="n">
        <v>44965</v>
      </c>
      <c r="C859" s="1" t="n">
        <v>45582</v>
      </c>
      <c r="D859" t="inlineStr">
        <is>
          <t>JÄMTLANDS LÄN</t>
        </is>
      </c>
      <c r="E859" t="inlineStr">
        <is>
          <t>KROKOM</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7371-2023</t>
        </is>
      </c>
      <c r="B860" s="1" t="n">
        <v>44966</v>
      </c>
      <c r="C860" s="1" t="n">
        <v>45582</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7373-2023</t>
        </is>
      </c>
      <c r="B861" s="1" t="n">
        <v>44966</v>
      </c>
      <c r="C861" s="1" t="n">
        <v>45582</v>
      </c>
      <c r="D861" t="inlineStr">
        <is>
          <t>JÄMTLANDS LÄN</t>
        </is>
      </c>
      <c r="E861" t="inlineStr">
        <is>
          <t>KROKOM</t>
        </is>
      </c>
      <c r="G861" t="n">
        <v>4.5</v>
      </c>
      <c r="H861" t="n">
        <v>0</v>
      </c>
      <c r="I861" t="n">
        <v>0</v>
      </c>
      <c r="J861" t="n">
        <v>0</v>
      </c>
      <c r="K861" t="n">
        <v>0</v>
      </c>
      <c r="L861" t="n">
        <v>0</v>
      </c>
      <c r="M861" t="n">
        <v>0</v>
      </c>
      <c r="N861" t="n">
        <v>0</v>
      </c>
      <c r="O861" t="n">
        <v>0</v>
      </c>
      <c r="P861" t="n">
        <v>0</v>
      </c>
      <c r="Q861" t="n">
        <v>0</v>
      </c>
      <c r="R861" s="2" t="inlineStr"/>
    </row>
    <row r="862" ht="15" customHeight="1">
      <c r="A862" t="inlineStr">
        <is>
          <t>A 7952-2023</t>
        </is>
      </c>
      <c r="B862" s="1" t="n">
        <v>44970</v>
      </c>
      <c r="C862" s="1" t="n">
        <v>45582</v>
      </c>
      <c r="D862" t="inlineStr">
        <is>
          <t>JÄMTLANDS LÄN</t>
        </is>
      </c>
      <c r="E862" t="inlineStr">
        <is>
          <t>KROKOM</t>
        </is>
      </c>
      <c r="G862" t="n">
        <v>4.8</v>
      </c>
      <c r="H862" t="n">
        <v>0</v>
      </c>
      <c r="I862" t="n">
        <v>0</v>
      </c>
      <c r="J862" t="n">
        <v>0</v>
      </c>
      <c r="K862" t="n">
        <v>0</v>
      </c>
      <c r="L862" t="n">
        <v>0</v>
      </c>
      <c r="M862" t="n">
        <v>0</v>
      </c>
      <c r="N862" t="n">
        <v>0</v>
      </c>
      <c r="O862" t="n">
        <v>0</v>
      </c>
      <c r="P862" t="n">
        <v>0</v>
      </c>
      <c r="Q862" t="n">
        <v>0</v>
      </c>
      <c r="R862" s="2" t="inlineStr"/>
    </row>
    <row r="863" ht="15" customHeight="1">
      <c r="A863" t="inlineStr">
        <is>
          <t>A 7962-2023</t>
        </is>
      </c>
      <c r="B863" s="1" t="n">
        <v>44970</v>
      </c>
      <c r="C863" s="1" t="n">
        <v>45582</v>
      </c>
      <c r="D863" t="inlineStr">
        <is>
          <t>JÄMTLANDS LÄN</t>
        </is>
      </c>
      <c r="E863" t="inlineStr">
        <is>
          <t>KROKOM</t>
        </is>
      </c>
      <c r="G863" t="n">
        <v>12.2</v>
      </c>
      <c r="H863" t="n">
        <v>0</v>
      </c>
      <c r="I863" t="n">
        <v>0</v>
      </c>
      <c r="J863" t="n">
        <v>0</v>
      </c>
      <c r="K863" t="n">
        <v>0</v>
      </c>
      <c r="L863" t="n">
        <v>0</v>
      </c>
      <c r="M863" t="n">
        <v>0</v>
      </c>
      <c r="N863" t="n">
        <v>0</v>
      </c>
      <c r="O863" t="n">
        <v>0</v>
      </c>
      <c r="P863" t="n">
        <v>0</v>
      </c>
      <c r="Q863" t="n">
        <v>0</v>
      </c>
      <c r="R863" s="2" t="inlineStr"/>
    </row>
    <row r="864" ht="15" customHeight="1">
      <c r="A864" t="inlineStr">
        <is>
          <t>A 8369-2023</t>
        </is>
      </c>
      <c r="B864" s="1" t="n">
        <v>44971</v>
      </c>
      <c r="C864" s="1" t="n">
        <v>45582</v>
      </c>
      <c r="D864" t="inlineStr">
        <is>
          <t>JÄMTLANDS LÄN</t>
        </is>
      </c>
      <c r="E864" t="inlineStr">
        <is>
          <t>KROKOM</t>
        </is>
      </c>
      <c r="G864" t="n">
        <v>47.2</v>
      </c>
      <c r="H864" t="n">
        <v>0</v>
      </c>
      <c r="I864" t="n">
        <v>0</v>
      </c>
      <c r="J864" t="n">
        <v>0</v>
      </c>
      <c r="K864" t="n">
        <v>0</v>
      </c>
      <c r="L864" t="n">
        <v>0</v>
      </c>
      <c r="M864" t="n">
        <v>0</v>
      </c>
      <c r="N864" t="n">
        <v>0</v>
      </c>
      <c r="O864" t="n">
        <v>0</v>
      </c>
      <c r="P864" t="n">
        <v>0</v>
      </c>
      <c r="Q864" t="n">
        <v>0</v>
      </c>
      <c r="R864" s="2" t="inlineStr"/>
    </row>
    <row r="865" ht="15" customHeight="1">
      <c r="A865" t="inlineStr">
        <is>
          <t>A 7630-2023</t>
        </is>
      </c>
      <c r="B865" s="1" t="n">
        <v>44972</v>
      </c>
      <c r="C865" s="1" t="n">
        <v>45582</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8037-2023</t>
        </is>
      </c>
      <c r="B866" s="1" t="n">
        <v>44973</v>
      </c>
      <c r="C866" s="1" t="n">
        <v>45582</v>
      </c>
      <c r="D866" t="inlineStr">
        <is>
          <t>JÄMTLANDS LÄN</t>
        </is>
      </c>
      <c r="E866" t="inlineStr">
        <is>
          <t>KROKOM</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9132-2023</t>
        </is>
      </c>
      <c r="B867" s="1" t="n">
        <v>44974</v>
      </c>
      <c r="C867" s="1" t="n">
        <v>45582</v>
      </c>
      <c r="D867" t="inlineStr">
        <is>
          <t>JÄMTLANDS LÄN</t>
        </is>
      </c>
      <c r="E867" t="inlineStr">
        <is>
          <t>KROKOM</t>
        </is>
      </c>
      <c r="F867" t="inlineStr">
        <is>
          <t>SCA</t>
        </is>
      </c>
      <c r="G867" t="n">
        <v>22.7</v>
      </c>
      <c r="H867" t="n">
        <v>0</v>
      </c>
      <c r="I867" t="n">
        <v>0</v>
      </c>
      <c r="J867" t="n">
        <v>0</v>
      </c>
      <c r="K867" t="n">
        <v>0</v>
      </c>
      <c r="L867" t="n">
        <v>0</v>
      </c>
      <c r="M867" t="n">
        <v>0</v>
      </c>
      <c r="N867" t="n">
        <v>0</v>
      </c>
      <c r="O867" t="n">
        <v>0</v>
      </c>
      <c r="P867" t="n">
        <v>0</v>
      </c>
      <c r="Q867" t="n">
        <v>0</v>
      </c>
      <c r="R867" s="2" t="inlineStr"/>
    </row>
    <row r="868" ht="15" customHeight="1">
      <c r="A868" t="inlineStr">
        <is>
          <t>A 9263-2023</t>
        </is>
      </c>
      <c r="B868" s="1" t="n">
        <v>44977</v>
      </c>
      <c r="C868" s="1" t="n">
        <v>45582</v>
      </c>
      <c r="D868" t="inlineStr">
        <is>
          <t>JÄMTLANDS LÄN</t>
        </is>
      </c>
      <c r="E868" t="inlineStr">
        <is>
          <t>KROKOM</t>
        </is>
      </c>
      <c r="F868" t="inlineStr">
        <is>
          <t>SCA</t>
        </is>
      </c>
      <c r="G868" t="n">
        <v>11.7</v>
      </c>
      <c r="H868" t="n">
        <v>0</v>
      </c>
      <c r="I868" t="n">
        <v>0</v>
      </c>
      <c r="J868" t="n">
        <v>0</v>
      </c>
      <c r="K868" t="n">
        <v>0</v>
      </c>
      <c r="L868" t="n">
        <v>0</v>
      </c>
      <c r="M868" t="n">
        <v>0</v>
      </c>
      <c r="N868" t="n">
        <v>0</v>
      </c>
      <c r="O868" t="n">
        <v>0</v>
      </c>
      <c r="P868" t="n">
        <v>0</v>
      </c>
      <c r="Q868" t="n">
        <v>0</v>
      </c>
      <c r="R868" s="2" t="inlineStr"/>
    </row>
    <row r="869" ht="15" customHeight="1">
      <c r="A869" t="inlineStr">
        <is>
          <t>A 9269-2023</t>
        </is>
      </c>
      <c r="B869" s="1" t="n">
        <v>44977</v>
      </c>
      <c r="C869" s="1" t="n">
        <v>45582</v>
      </c>
      <c r="D869" t="inlineStr">
        <is>
          <t>JÄMTLANDS LÄN</t>
        </is>
      </c>
      <c r="E869" t="inlineStr">
        <is>
          <t>KROKOM</t>
        </is>
      </c>
      <c r="G869" t="n">
        <v>6.3</v>
      </c>
      <c r="H869" t="n">
        <v>0</v>
      </c>
      <c r="I869" t="n">
        <v>0</v>
      </c>
      <c r="J869" t="n">
        <v>0</v>
      </c>
      <c r="K869" t="n">
        <v>0</v>
      </c>
      <c r="L869" t="n">
        <v>0</v>
      </c>
      <c r="M869" t="n">
        <v>0</v>
      </c>
      <c r="N869" t="n">
        <v>0</v>
      </c>
      <c r="O869" t="n">
        <v>0</v>
      </c>
      <c r="P869" t="n">
        <v>0</v>
      </c>
      <c r="Q869" t="n">
        <v>0</v>
      </c>
      <c r="R869" s="2" t="inlineStr"/>
    </row>
    <row r="870" ht="15" customHeight="1">
      <c r="A870" t="inlineStr">
        <is>
          <t>A 9671-2023</t>
        </is>
      </c>
      <c r="B870" s="1" t="n">
        <v>44978</v>
      </c>
      <c r="C870" s="1" t="n">
        <v>45582</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10310-2023</t>
        </is>
      </c>
      <c r="B871" s="1" t="n">
        <v>44986</v>
      </c>
      <c r="C871" s="1" t="n">
        <v>45582</v>
      </c>
      <c r="D871" t="inlineStr">
        <is>
          <t>JÄMTLANDS LÄN</t>
        </is>
      </c>
      <c r="E871" t="inlineStr">
        <is>
          <t>KROKOM</t>
        </is>
      </c>
      <c r="F871" t="inlineStr">
        <is>
          <t>SCA</t>
        </is>
      </c>
      <c r="G871" t="n">
        <v>10.6</v>
      </c>
      <c r="H871" t="n">
        <v>0</v>
      </c>
      <c r="I871" t="n">
        <v>0</v>
      </c>
      <c r="J871" t="n">
        <v>0</v>
      </c>
      <c r="K871" t="n">
        <v>0</v>
      </c>
      <c r="L871" t="n">
        <v>0</v>
      </c>
      <c r="M871" t="n">
        <v>0</v>
      </c>
      <c r="N871" t="n">
        <v>0</v>
      </c>
      <c r="O871" t="n">
        <v>0</v>
      </c>
      <c r="P871" t="n">
        <v>0</v>
      </c>
      <c r="Q871" t="n">
        <v>0</v>
      </c>
      <c r="R871" s="2" t="inlineStr"/>
    </row>
    <row r="872" ht="15" customHeight="1">
      <c r="A872" t="inlineStr">
        <is>
          <t>A 10314-2023</t>
        </is>
      </c>
      <c r="B872" s="1" t="n">
        <v>44986</v>
      </c>
      <c r="C872" s="1" t="n">
        <v>45582</v>
      </c>
      <c r="D872" t="inlineStr">
        <is>
          <t>JÄMTLANDS LÄN</t>
        </is>
      </c>
      <c r="E872" t="inlineStr">
        <is>
          <t>KROKOM</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10782-2023</t>
        </is>
      </c>
      <c r="B873" s="1" t="n">
        <v>44988</v>
      </c>
      <c r="C873" s="1" t="n">
        <v>45582</v>
      </c>
      <c r="D873" t="inlineStr">
        <is>
          <t>JÄMTLANDS LÄN</t>
        </is>
      </c>
      <c r="E873" t="inlineStr">
        <is>
          <t>KROKOM</t>
        </is>
      </c>
      <c r="F873" t="inlineStr">
        <is>
          <t>SCA</t>
        </is>
      </c>
      <c r="G873" t="n">
        <v>68.8</v>
      </c>
      <c r="H873" t="n">
        <v>0</v>
      </c>
      <c r="I873" t="n">
        <v>0</v>
      </c>
      <c r="J873" t="n">
        <v>0</v>
      </c>
      <c r="K873" t="n">
        <v>0</v>
      </c>
      <c r="L873" t="n">
        <v>0</v>
      </c>
      <c r="M873" t="n">
        <v>0</v>
      </c>
      <c r="N873" t="n">
        <v>0</v>
      </c>
      <c r="O873" t="n">
        <v>0</v>
      </c>
      <c r="P873" t="n">
        <v>0</v>
      </c>
      <c r="Q873" t="n">
        <v>0</v>
      </c>
      <c r="R873" s="2" t="inlineStr"/>
    </row>
    <row r="874" ht="15" customHeight="1">
      <c r="A874" t="inlineStr">
        <is>
          <t>A 11319-2023</t>
        </is>
      </c>
      <c r="B874" s="1" t="n">
        <v>44993</v>
      </c>
      <c r="C874" s="1" t="n">
        <v>45582</v>
      </c>
      <c r="D874" t="inlineStr">
        <is>
          <t>JÄMTLANDS LÄN</t>
        </is>
      </c>
      <c r="E874" t="inlineStr">
        <is>
          <t>KROKOM</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12520-2023</t>
        </is>
      </c>
      <c r="B875" s="1" t="n">
        <v>45000</v>
      </c>
      <c r="C875" s="1" t="n">
        <v>45582</v>
      </c>
      <c r="D875" t="inlineStr">
        <is>
          <t>JÄMTLANDS LÄN</t>
        </is>
      </c>
      <c r="E875" t="inlineStr">
        <is>
          <t>KROKOM</t>
        </is>
      </c>
      <c r="F875" t="inlineStr">
        <is>
          <t>SCA</t>
        </is>
      </c>
      <c r="G875" t="n">
        <v>12.6</v>
      </c>
      <c r="H875" t="n">
        <v>0</v>
      </c>
      <c r="I875" t="n">
        <v>0</v>
      </c>
      <c r="J875" t="n">
        <v>0</v>
      </c>
      <c r="K875" t="n">
        <v>0</v>
      </c>
      <c r="L875" t="n">
        <v>0</v>
      </c>
      <c r="M875" t="n">
        <v>0</v>
      </c>
      <c r="N875" t="n">
        <v>0</v>
      </c>
      <c r="O875" t="n">
        <v>0</v>
      </c>
      <c r="P875" t="n">
        <v>0</v>
      </c>
      <c r="Q875" t="n">
        <v>0</v>
      </c>
      <c r="R875" s="2" t="inlineStr"/>
    </row>
    <row r="876" ht="15" customHeight="1">
      <c r="A876" t="inlineStr">
        <is>
          <t>A 12813-2023</t>
        </is>
      </c>
      <c r="B876" s="1" t="n">
        <v>45000</v>
      </c>
      <c r="C876" s="1" t="n">
        <v>45582</v>
      </c>
      <c r="D876" t="inlineStr">
        <is>
          <t>JÄMTLANDS LÄN</t>
        </is>
      </c>
      <c r="E876" t="inlineStr">
        <is>
          <t>KROKOM</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13703-2023</t>
        </is>
      </c>
      <c r="B877" s="1" t="n">
        <v>45006</v>
      </c>
      <c r="C877" s="1" t="n">
        <v>45582</v>
      </c>
      <c r="D877" t="inlineStr">
        <is>
          <t>JÄMTLANDS LÄN</t>
        </is>
      </c>
      <c r="E877" t="inlineStr">
        <is>
          <t>KROKOM</t>
        </is>
      </c>
      <c r="F877" t="inlineStr">
        <is>
          <t>SCA</t>
        </is>
      </c>
      <c r="G877" t="n">
        <v>22.2</v>
      </c>
      <c r="H877" t="n">
        <v>0</v>
      </c>
      <c r="I877" t="n">
        <v>0</v>
      </c>
      <c r="J877" t="n">
        <v>0</v>
      </c>
      <c r="K877" t="n">
        <v>0</v>
      </c>
      <c r="L877" t="n">
        <v>0</v>
      </c>
      <c r="M877" t="n">
        <v>0</v>
      </c>
      <c r="N877" t="n">
        <v>0</v>
      </c>
      <c r="O877" t="n">
        <v>0</v>
      </c>
      <c r="P877" t="n">
        <v>0</v>
      </c>
      <c r="Q877" t="n">
        <v>0</v>
      </c>
      <c r="R877" s="2" t="inlineStr"/>
    </row>
    <row r="878" ht="15" customHeight="1">
      <c r="A878" t="inlineStr">
        <is>
          <t>A 15595-2023</t>
        </is>
      </c>
      <c r="B878" s="1" t="n">
        <v>45019</v>
      </c>
      <c r="C878" s="1" t="n">
        <v>45582</v>
      </c>
      <c r="D878" t="inlineStr">
        <is>
          <t>JÄMTLANDS LÄN</t>
        </is>
      </c>
      <c r="E878" t="inlineStr">
        <is>
          <t>KROKOM</t>
        </is>
      </c>
      <c r="G878" t="n">
        <v>1.9</v>
      </c>
      <c r="H878" t="n">
        <v>0</v>
      </c>
      <c r="I878" t="n">
        <v>0</v>
      </c>
      <c r="J878" t="n">
        <v>0</v>
      </c>
      <c r="K878" t="n">
        <v>0</v>
      </c>
      <c r="L878" t="n">
        <v>0</v>
      </c>
      <c r="M878" t="n">
        <v>0</v>
      </c>
      <c r="N878" t="n">
        <v>0</v>
      </c>
      <c r="O878" t="n">
        <v>0</v>
      </c>
      <c r="P878" t="n">
        <v>0</v>
      </c>
      <c r="Q878" t="n">
        <v>0</v>
      </c>
      <c r="R878" s="2" t="inlineStr"/>
    </row>
    <row r="879" ht="15" customHeight="1">
      <c r="A879" t="inlineStr">
        <is>
          <t>A 15826-2023</t>
        </is>
      </c>
      <c r="B879" s="1" t="n">
        <v>45022</v>
      </c>
      <c r="C879" s="1" t="n">
        <v>45582</v>
      </c>
      <c r="D879" t="inlineStr">
        <is>
          <t>JÄMTLANDS LÄN</t>
        </is>
      </c>
      <c r="E879" t="inlineStr">
        <is>
          <t>KROKOM</t>
        </is>
      </c>
      <c r="F879" t="inlineStr">
        <is>
          <t>SCA</t>
        </is>
      </c>
      <c r="G879" t="n">
        <v>13.9</v>
      </c>
      <c r="H879" t="n">
        <v>0</v>
      </c>
      <c r="I879" t="n">
        <v>0</v>
      </c>
      <c r="J879" t="n">
        <v>0</v>
      </c>
      <c r="K879" t="n">
        <v>0</v>
      </c>
      <c r="L879" t="n">
        <v>0</v>
      </c>
      <c r="M879" t="n">
        <v>0</v>
      </c>
      <c r="N879" t="n">
        <v>0</v>
      </c>
      <c r="O879" t="n">
        <v>0</v>
      </c>
      <c r="P879" t="n">
        <v>0</v>
      </c>
      <c r="Q879" t="n">
        <v>0</v>
      </c>
      <c r="R879" s="2" t="inlineStr"/>
    </row>
    <row r="880" ht="15" customHeight="1">
      <c r="A880" t="inlineStr">
        <is>
          <t>A 15805-2023</t>
        </is>
      </c>
      <c r="B880" s="1" t="n">
        <v>45022</v>
      </c>
      <c r="C880" s="1" t="n">
        <v>45582</v>
      </c>
      <c r="D880" t="inlineStr">
        <is>
          <t>JÄMTLANDS LÄN</t>
        </is>
      </c>
      <c r="E880" t="inlineStr">
        <is>
          <t>KROKOM</t>
        </is>
      </c>
      <c r="G880" t="n">
        <v>9.1</v>
      </c>
      <c r="H880" t="n">
        <v>0</v>
      </c>
      <c r="I880" t="n">
        <v>0</v>
      </c>
      <c r="J880" t="n">
        <v>0</v>
      </c>
      <c r="K880" t="n">
        <v>0</v>
      </c>
      <c r="L880" t="n">
        <v>0</v>
      </c>
      <c r="M880" t="n">
        <v>0</v>
      </c>
      <c r="N880" t="n">
        <v>0</v>
      </c>
      <c r="O880" t="n">
        <v>0</v>
      </c>
      <c r="P880" t="n">
        <v>0</v>
      </c>
      <c r="Q880" t="n">
        <v>0</v>
      </c>
      <c r="R880" s="2" t="inlineStr"/>
    </row>
    <row r="881" ht="15" customHeight="1">
      <c r="A881" t="inlineStr">
        <is>
          <t>A 15885-2023</t>
        </is>
      </c>
      <c r="B881" s="1" t="n">
        <v>45022</v>
      </c>
      <c r="C881" s="1" t="n">
        <v>45582</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15980-2023</t>
        </is>
      </c>
      <c r="B882" s="1" t="n">
        <v>45023</v>
      </c>
      <c r="C882" s="1" t="n">
        <v>45582</v>
      </c>
      <c r="D882" t="inlineStr">
        <is>
          <t>JÄMTLANDS LÄN</t>
        </is>
      </c>
      <c r="E882" t="inlineStr">
        <is>
          <t>KROKOM</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16566-2023</t>
        </is>
      </c>
      <c r="B883" s="1" t="n">
        <v>45029</v>
      </c>
      <c r="C883" s="1" t="n">
        <v>45582</v>
      </c>
      <c r="D883" t="inlineStr">
        <is>
          <t>JÄMTLANDS LÄN</t>
        </is>
      </c>
      <c r="E883" t="inlineStr">
        <is>
          <t>KROKOM</t>
        </is>
      </c>
      <c r="F883" t="inlineStr">
        <is>
          <t>SCA</t>
        </is>
      </c>
      <c r="G883" t="n">
        <v>11.9</v>
      </c>
      <c r="H883" t="n">
        <v>0</v>
      </c>
      <c r="I883" t="n">
        <v>0</v>
      </c>
      <c r="J883" t="n">
        <v>0</v>
      </c>
      <c r="K883" t="n">
        <v>0</v>
      </c>
      <c r="L883" t="n">
        <v>0</v>
      </c>
      <c r="M883" t="n">
        <v>0</v>
      </c>
      <c r="N883" t="n">
        <v>0</v>
      </c>
      <c r="O883" t="n">
        <v>0</v>
      </c>
      <c r="P883" t="n">
        <v>0</v>
      </c>
      <c r="Q883" t="n">
        <v>0</v>
      </c>
      <c r="R883" s="2" t="inlineStr"/>
    </row>
    <row r="884" ht="15" customHeight="1">
      <c r="A884" t="inlineStr">
        <is>
          <t>A 17555-2023</t>
        </is>
      </c>
      <c r="B884" s="1" t="n">
        <v>45034</v>
      </c>
      <c r="C884" s="1" t="n">
        <v>45582</v>
      </c>
      <c r="D884" t="inlineStr">
        <is>
          <t>JÄMTLANDS LÄN</t>
        </is>
      </c>
      <c r="E884" t="inlineStr">
        <is>
          <t>KROKOM</t>
        </is>
      </c>
      <c r="G884" t="n">
        <v>7.1</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45582</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17594-2023</t>
        </is>
      </c>
      <c r="B886" s="1" t="n">
        <v>45036</v>
      </c>
      <c r="C886" s="1" t="n">
        <v>45582</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17591-2023</t>
        </is>
      </c>
      <c r="B887" s="1" t="n">
        <v>45036</v>
      </c>
      <c r="C887" s="1" t="n">
        <v>45582</v>
      </c>
      <c r="D887" t="inlineStr">
        <is>
          <t>JÄMTLANDS LÄN</t>
        </is>
      </c>
      <c r="E887" t="inlineStr">
        <is>
          <t>KROKOM</t>
        </is>
      </c>
      <c r="G887" t="n">
        <v>8.4</v>
      </c>
      <c r="H887" t="n">
        <v>0</v>
      </c>
      <c r="I887" t="n">
        <v>0</v>
      </c>
      <c r="J887" t="n">
        <v>0</v>
      </c>
      <c r="K887" t="n">
        <v>0</v>
      </c>
      <c r="L887" t="n">
        <v>0</v>
      </c>
      <c r="M887" t="n">
        <v>0</v>
      </c>
      <c r="N887" t="n">
        <v>0</v>
      </c>
      <c r="O887" t="n">
        <v>0</v>
      </c>
      <c r="P887" t="n">
        <v>0</v>
      </c>
      <c r="Q887" t="n">
        <v>0</v>
      </c>
      <c r="R887" s="2" t="inlineStr"/>
    </row>
    <row r="888" ht="15" customHeight="1">
      <c r="A888" t="inlineStr">
        <is>
          <t>A 17603-2023</t>
        </is>
      </c>
      <c r="B888" s="1" t="n">
        <v>45036</v>
      </c>
      <c r="C888" s="1" t="n">
        <v>45582</v>
      </c>
      <c r="D888" t="inlineStr">
        <is>
          <t>JÄMTLANDS LÄN</t>
        </is>
      </c>
      <c r="E888" t="inlineStr">
        <is>
          <t>KROKOM</t>
        </is>
      </c>
      <c r="G888" t="n">
        <v>7.4</v>
      </c>
      <c r="H888" t="n">
        <v>0</v>
      </c>
      <c r="I888" t="n">
        <v>0</v>
      </c>
      <c r="J888" t="n">
        <v>0</v>
      </c>
      <c r="K888" t="n">
        <v>0</v>
      </c>
      <c r="L888" t="n">
        <v>0</v>
      </c>
      <c r="M888" t="n">
        <v>0</v>
      </c>
      <c r="N888" t="n">
        <v>0</v>
      </c>
      <c r="O888" t="n">
        <v>0</v>
      </c>
      <c r="P888" t="n">
        <v>0</v>
      </c>
      <c r="Q888" t="n">
        <v>0</v>
      </c>
      <c r="R888" s="2" t="inlineStr"/>
    </row>
    <row r="889" ht="15" customHeight="1">
      <c r="A889" t="inlineStr">
        <is>
          <t>A 17602-2023</t>
        </is>
      </c>
      <c r="B889" s="1" t="n">
        <v>45036</v>
      </c>
      <c r="C889" s="1" t="n">
        <v>45582</v>
      </c>
      <c r="D889" t="inlineStr">
        <is>
          <t>JÄMTLANDS LÄN</t>
        </is>
      </c>
      <c r="E889" t="inlineStr">
        <is>
          <t>KROKOM</t>
        </is>
      </c>
      <c r="G889" t="n">
        <v>6.9</v>
      </c>
      <c r="H889" t="n">
        <v>0</v>
      </c>
      <c r="I889" t="n">
        <v>0</v>
      </c>
      <c r="J889" t="n">
        <v>0</v>
      </c>
      <c r="K889" t="n">
        <v>0</v>
      </c>
      <c r="L889" t="n">
        <v>0</v>
      </c>
      <c r="M889" t="n">
        <v>0</v>
      </c>
      <c r="N889" t="n">
        <v>0</v>
      </c>
      <c r="O889" t="n">
        <v>0</v>
      </c>
      <c r="P889" t="n">
        <v>0</v>
      </c>
      <c r="Q889" t="n">
        <v>0</v>
      </c>
      <c r="R889" s="2" t="inlineStr"/>
    </row>
    <row r="890" ht="15" customHeight="1">
      <c r="A890" t="inlineStr">
        <is>
          <t>A 17751-2023</t>
        </is>
      </c>
      <c r="B890" s="1" t="n">
        <v>45036</v>
      </c>
      <c r="C890" s="1" t="n">
        <v>45582</v>
      </c>
      <c r="D890" t="inlineStr">
        <is>
          <t>JÄMTLANDS LÄN</t>
        </is>
      </c>
      <c r="E890" t="inlineStr">
        <is>
          <t>KROKOM</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18139-2023</t>
        </is>
      </c>
      <c r="B891" s="1" t="n">
        <v>45040</v>
      </c>
      <c r="C891" s="1" t="n">
        <v>45582</v>
      </c>
      <c r="D891" t="inlineStr">
        <is>
          <t>JÄMTLANDS LÄN</t>
        </is>
      </c>
      <c r="E891" t="inlineStr">
        <is>
          <t>KROKOM</t>
        </is>
      </c>
      <c r="G891" t="n">
        <v>4.6</v>
      </c>
      <c r="H891" t="n">
        <v>0</v>
      </c>
      <c r="I891" t="n">
        <v>0</v>
      </c>
      <c r="J891" t="n">
        <v>0</v>
      </c>
      <c r="K891" t="n">
        <v>0</v>
      </c>
      <c r="L891" t="n">
        <v>0</v>
      </c>
      <c r="M891" t="n">
        <v>0</v>
      </c>
      <c r="N891" t="n">
        <v>0</v>
      </c>
      <c r="O891" t="n">
        <v>0</v>
      </c>
      <c r="P891" t="n">
        <v>0</v>
      </c>
      <c r="Q891" t="n">
        <v>0</v>
      </c>
      <c r="R891" s="2" t="inlineStr"/>
    </row>
    <row r="892" ht="15" customHeight="1">
      <c r="A892" t="inlineStr">
        <is>
          <t>A 18296-2023</t>
        </is>
      </c>
      <c r="B892" s="1" t="n">
        <v>45040</v>
      </c>
      <c r="C892" s="1" t="n">
        <v>45582</v>
      </c>
      <c r="D892" t="inlineStr">
        <is>
          <t>JÄMTLANDS LÄN</t>
        </is>
      </c>
      <c r="E892" t="inlineStr">
        <is>
          <t>KROKOM</t>
        </is>
      </c>
      <c r="G892" t="n">
        <v>20.3</v>
      </c>
      <c r="H892" t="n">
        <v>0</v>
      </c>
      <c r="I892" t="n">
        <v>0</v>
      </c>
      <c r="J892" t="n">
        <v>0</v>
      </c>
      <c r="K892" t="n">
        <v>0</v>
      </c>
      <c r="L892" t="n">
        <v>0</v>
      </c>
      <c r="M892" t="n">
        <v>0</v>
      </c>
      <c r="N892" t="n">
        <v>0</v>
      </c>
      <c r="O892" t="n">
        <v>0</v>
      </c>
      <c r="P892" t="n">
        <v>0</v>
      </c>
      <c r="Q892" t="n">
        <v>0</v>
      </c>
      <c r="R892" s="2" t="inlineStr"/>
    </row>
    <row r="893" ht="15" customHeight="1">
      <c r="A893" t="inlineStr">
        <is>
          <t>A 18539-2023</t>
        </is>
      </c>
      <c r="B893" s="1" t="n">
        <v>45041</v>
      </c>
      <c r="C893" s="1" t="n">
        <v>45582</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18826-2023</t>
        </is>
      </c>
      <c r="B894" s="1" t="n">
        <v>45042</v>
      </c>
      <c r="C894" s="1" t="n">
        <v>45582</v>
      </c>
      <c r="D894" t="inlineStr">
        <is>
          <t>JÄMTLANDS LÄN</t>
        </is>
      </c>
      <c r="E894" t="inlineStr">
        <is>
          <t>KROKOM</t>
        </is>
      </c>
      <c r="G894" t="n">
        <v>17.1</v>
      </c>
      <c r="H894" t="n">
        <v>0</v>
      </c>
      <c r="I894" t="n">
        <v>0</v>
      </c>
      <c r="J894" t="n">
        <v>0</v>
      </c>
      <c r="K894" t="n">
        <v>0</v>
      </c>
      <c r="L894" t="n">
        <v>0</v>
      </c>
      <c r="M894" t="n">
        <v>0</v>
      </c>
      <c r="N894" t="n">
        <v>0</v>
      </c>
      <c r="O894" t="n">
        <v>0</v>
      </c>
      <c r="P894" t="n">
        <v>0</v>
      </c>
      <c r="Q894" t="n">
        <v>0</v>
      </c>
      <c r="R894" s="2" t="inlineStr"/>
    </row>
    <row r="895" ht="15" customHeight="1">
      <c r="A895" t="inlineStr">
        <is>
          <t>A 18990-2023</t>
        </is>
      </c>
      <c r="B895" s="1" t="n">
        <v>45045</v>
      </c>
      <c r="C895" s="1" t="n">
        <v>45582</v>
      </c>
      <c r="D895" t="inlineStr">
        <is>
          <t>JÄMTLANDS LÄN</t>
        </is>
      </c>
      <c r="E895" t="inlineStr">
        <is>
          <t>KROKOM</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19245-2023</t>
        </is>
      </c>
      <c r="B896" s="1" t="n">
        <v>45048</v>
      </c>
      <c r="C896" s="1" t="n">
        <v>45582</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19247-2023</t>
        </is>
      </c>
      <c r="B897" s="1" t="n">
        <v>45048</v>
      </c>
      <c r="C897" s="1" t="n">
        <v>45582</v>
      </c>
      <c r="D897" t="inlineStr">
        <is>
          <t>JÄMTLANDS LÄN</t>
        </is>
      </c>
      <c r="E897" t="inlineStr">
        <is>
          <t>KROKOM</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19502-2023</t>
        </is>
      </c>
      <c r="B898" s="1" t="n">
        <v>45049</v>
      </c>
      <c r="C898" s="1" t="n">
        <v>45582</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19348-2023</t>
        </is>
      </c>
      <c r="B899" s="1" t="n">
        <v>45049</v>
      </c>
      <c r="C899" s="1" t="n">
        <v>45582</v>
      </c>
      <c r="D899" t="inlineStr">
        <is>
          <t>JÄMTLANDS LÄN</t>
        </is>
      </c>
      <c r="E899" t="inlineStr">
        <is>
          <t>KROKOM</t>
        </is>
      </c>
      <c r="G899" t="n">
        <v>11.6</v>
      </c>
      <c r="H899" t="n">
        <v>0</v>
      </c>
      <c r="I899" t="n">
        <v>0</v>
      </c>
      <c r="J899" t="n">
        <v>0</v>
      </c>
      <c r="K899" t="n">
        <v>0</v>
      </c>
      <c r="L899" t="n">
        <v>0</v>
      </c>
      <c r="M899" t="n">
        <v>0</v>
      </c>
      <c r="N899" t="n">
        <v>0</v>
      </c>
      <c r="O899" t="n">
        <v>0</v>
      </c>
      <c r="P899" t="n">
        <v>0</v>
      </c>
      <c r="Q899" t="n">
        <v>0</v>
      </c>
      <c r="R899" s="2" t="inlineStr"/>
    </row>
    <row r="900" ht="15" customHeight="1">
      <c r="A900" t="inlineStr">
        <is>
          <t>A 19478-2023</t>
        </is>
      </c>
      <c r="B900" s="1" t="n">
        <v>45050</v>
      </c>
      <c r="C900" s="1" t="n">
        <v>45582</v>
      </c>
      <c r="D900" t="inlineStr">
        <is>
          <t>JÄMTLANDS LÄN</t>
        </is>
      </c>
      <c r="E900" t="inlineStr">
        <is>
          <t>KROKOM</t>
        </is>
      </c>
      <c r="F900" t="inlineStr">
        <is>
          <t>Övriga Aktiebolag</t>
        </is>
      </c>
      <c r="G900" t="n">
        <v>22.2</v>
      </c>
      <c r="H900" t="n">
        <v>0</v>
      </c>
      <c r="I900" t="n">
        <v>0</v>
      </c>
      <c r="J900" t="n">
        <v>0</v>
      </c>
      <c r="K900" t="n">
        <v>0</v>
      </c>
      <c r="L900" t="n">
        <v>0</v>
      </c>
      <c r="M900" t="n">
        <v>0</v>
      </c>
      <c r="N900" t="n">
        <v>0</v>
      </c>
      <c r="O900" t="n">
        <v>0</v>
      </c>
      <c r="P900" t="n">
        <v>0</v>
      </c>
      <c r="Q900" t="n">
        <v>0</v>
      </c>
      <c r="R900" s="2" t="inlineStr"/>
    </row>
    <row r="901" ht="15" customHeight="1">
      <c r="A901" t="inlineStr">
        <is>
          <t>A 20735-2023</t>
        </is>
      </c>
      <c r="B901" s="1" t="n">
        <v>45055</v>
      </c>
      <c r="C901" s="1" t="n">
        <v>45582</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20742-2023</t>
        </is>
      </c>
      <c r="B902" s="1" t="n">
        <v>45055</v>
      </c>
      <c r="C902" s="1" t="n">
        <v>45582</v>
      </c>
      <c r="D902" t="inlineStr">
        <is>
          <t>JÄMTLANDS LÄN</t>
        </is>
      </c>
      <c r="E902" t="inlineStr">
        <is>
          <t>KROKOM</t>
        </is>
      </c>
      <c r="G902" t="n">
        <v>0.4</v>
      </c>
      <c r="H902" t="n">
        <v>0</v>
      </c>
      <c r="I902" t="n">
        <v>0</v>
      </c>
      <c r="J902" t="n">
        <v>0</v>
      </c>
      <c r="K902" t="n">
        <v>0</v>
      </c>
      <c r="L902" t="n">
        <v>0</v>
      </c>
      <c r="M902" t="n">
        <v>0</v>
      </c>
      <c r="N902" t="n">
        <v>0</v>
      </c>
      <c r="O902" t="n">
        <v>0</v>
      </c>
      <c r="P902" t="n">
        <v>0</v>
      </c>
      <c r="Q902" t="n">
        <v>0</v>
      </c>
      <c r="R902" s="2" t="inlineStr"/>
    </row>
    <row r="903" ht="15" customHeight="1">
      <c r="A903" t="inlineStr">
        <is>
          <t>A 20966-2023</t>
        </is>
      </c>
      <c r="B903" s="1" t="n">
        <v>45056</v>
      </c>
      <c r="C903" s="1" t="n">
        <v>45582</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20953-2023</t>
        </is>
      </c>
      <c r="B904" s="1" t="n">
        <v>45056</v>
      </c>
      <c r="C904" s="1" t="n">
        <v>45582</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20976-2023</t>
        </is>
      </c>
      <c r="B905" s="1" t="n">
        <v>45056</v>
      </c>
      <c r="C905" s="1" t="n">
        <v>45582</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20622-2023</t>
        </is>
      </c>
      <c r="B906" s="1" t="n">
        <v>45057</v>
      </c>
      <c r="C906" s="1" t="n">
        <v>45582</v>
      </c>
      <c r="D906" t="inlineStr">
        <is>
          <t>JÄMTLANDS LÄN</t>
        </is>
      </c>
      <c r="E906" t="inlineStr">
        <is>
          <t>KROKOM</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20623-2023</t>
        </is>
      </c>
      <c r="B907" s="1" t="n">
        <v>45058</v>
      </c>
      <c r="C907" s="1" t="n">
        <v>45582</v>
      </c>
      <c r="D907" t="inlineStr">
        <is>
          <t>JÄMTLANDS LÄN</t>
        </is>
      </c>
      <c r="E907" t="inlineStr">
        <is>
          <t>KROKOM</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20860-2023</t>
        </is>
      </c>
      <c r="B908" s="1" t="n">
        <v>45059</v>
      </c>
      <c r="C908" s="1" t="n">
        <v>45582</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21348-2023</t>
        </is>
      </c>
      <c r="B909" s="1" t="n">
        <v>45062</v>
      </c>
      <c r="C909" s="1" t="n">
        <v>45582</v>
      </c>
      <c r="D909" t="inlineStr">
        <is>
          <t>JÄMTLANDS LÄN</t>
        </is>
      </c>
      <c r="E909" t="inlineStr">
        <is>
          <t>KROKOM</t>
        </is>
      </c>
      <c r="F909" t="inlineStr">
        <is>
          <t>SCA</t>
        </is>
      </c>
      <c r="G909" t="n">
        <v>48.1</v>
      </c>
      <c r="H909" t="n">
        <v>0</v>
      </c>
      <c r="I909" t="n">
        <v>0</v>
      </c>
      <c r="J909" t="n">
        <v>0</v>
      </c>
      <c r="K909" t="n">
        <v>0</v>
      </c>
      <c r="L909" t="n">
        <v>0</v>
      </c>
      <c r="M909" t="n">
        <v>0</v>
      </c>
      <c r="N909" t="n">
        <v>0</v>
      </c>
      <c r="O909" t="n">
        <v>0</v>
      </c>
      <c r="P909" t="n">
        <v>0</v>
      </c>
      <c r="Q909" t="n">
        <v>0</v>
      </c>
      <c r="R909" s="2" t="inlineStr"/>
    </row>
    <row r="910" ht="15" customHeight="1">
      <c r="A910" t="inlineStr">
        <is>
          <t>A 21347-2023</t>
        </is>
      </c>
      <c r="B910" s="1" t="n">
        <v>45062</v>
      </c>
      <c r="C910" s="1" t="n">
        <v>45582</v>
      </c>
      <c r="D910" t="inlineStr">
        <is>
          <t>JÄMTLANDS LÄN</t>
        </is>
      </c>
      <c r="E910" t="inlineStr">
        <is>
          <t>KROKOM</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21784-2023</t>
        </is>
      </c>
      <c r="B911" s="1" t="n">
        <v>45065</v>
      </c>
      <c r="C911" s="1" t="n">
        <v>45582</v>
      </c>
      <c r="D911" t="inlineStr">
        <is>
          <t>JÄMTLANDS LÄN</t>
        </is>
      </c>
      <c r="E911" t="inlineStr">
        <is>
          <t>KROKOM</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23326-2023</t>
        </is>
      </c>
      <c r="B912" s="1" t="n">
        <v>45071</v>
      </c>
      <c r="C912" s="1" t="n">
        <v>45582</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22999-2023</t>
        </is>
      </c>
      <c r="B913" s="1" t="n">
        <v>45073</v>
      </c>
      <c r="C913" s="1" t="n">
        <v>45582</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23139-2023</t>
        </is>
      </c>
      <c r="B914" s="1" t="n">
        <v>45075</v>
      </c>
      <c r="C914" s="1" t="n">
        <v>45582</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24069-2023</t>
        </is>
      </c>
      <c r="B915" s="1" t="n">
        <v>45079</v>
      </c>
      <c r="C915" s="1" t="n">
        <v>45582</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24387-2023</t>
        </is>
      </c>
      <c r="B916" s="1" t="n">
        <v>45082</v>
      </c>
      <c r="C916" s="1" t="n">
        <v>45582</v>
      </c>
      <c r="D916" t="inlineStr">
        <is>
          <t>JÄMTLANDS LÄN</t>
        </is>
      </c>
      <c r="E916" t="inlineStr">
        <is>
          <t>KROKOM</t>
        </is>
      </c>
      <c r="F916" t="inlineStr">
        <is>
          <t>Kyrkan</t>
        </is>
      </c>
      <c r="G916" t="n">
        <v>21.2</v>
      </c>
      <c r="H916" t="n">
        <v>0</v>
      </c>
      <c r="I916" t="n">
        <v>0</v>
      </c>
      <c r="J916" t="n">
        <v>0</v>
      </c>
      <c r="K916" t="n">
        <v>0</v>
      </c>
      <c r="L916" t="n">
        <v>0</v>
      </c>
      <c r="M916" t="n">
        <v>0</v>
      </c>
      <c r="N916" t="n">
        <v>0</v>
      </c>
      <c r="O916" t="n">
        <v>0</v>
      </c>
      <c r="P916" t="n">
        <v>0</v>
      </c>
      <c r="Q916" t="n">
        <v>0</v>
      </c>
      <c r="R916" s="2" t="inlineStr"/>
    </row>
    <row r="917" ht="15" customHeight="1">
      <c r="A917" t="inlineStr">
        <is>
          <t>A 25726-2023</t>
        </is>
      </c>
      <c r="B917" s="1" t="n">
        <v>45084</v>
      </c>
      <c r="C917" s="1" t="n">
        <v>45582</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24824-2023</t>
        </is>
      </c>
      <c r="B918" s="1" t="n">
        <v>45085</v>
      </c>
      <c r="C918" s="1" t="n">
        <v>45582</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25309-2023</t>
        </is>
      </c>
      <c r="B919" s="1" t="n">
        <v>45087</v>
      </c>
      <c r="C919" s="1" t="n">
        <v>45582</v>
      </c>
      <c r="D919" t="inlineStr">
        <is>
          <t>JÄMTLANDS LÄN</t>
        </is>
      </c>
      <c r="E919" t="inlineStr">
        <is>
          <t>KROKOM</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26270-2023</t>
        </is>
      </c>
      <c r="B920" s="1" t="n">
        <v>45086</v>
      </c>
      <c r="C920" s="1" t="n">
        <v>45582</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26693-2023</t>
        </is>
      </c>
      <c r="B921" s="1" t="n">
        <v>45090</v>
      </c>
      <c r="C921" s="1" t="n">
        <v>45582</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26005-2023</t>
        </is>
      </c>
      <c r="B922" s="1" t="n">
        <v>45091</v>
      </c>
      <c r="C922" s="1" t="n">
        <v>45582</v>
      </c>
      <c r="D922" t="inlineStr">
        <is>
          <t>JÄMTLANDS LÄN</t>
        </is>
      </c>
      <c r="E922" t="inlineStr">
        <is>
          <t>KROKOM</t>
        </is>
      </c>
      <c r="G922" t="n">
        <v>18.3</v>
      </c>
      <c r="H922" t="n">
        <v>0</v>
      </c>
      <c r="I922" t="n">
        <v>0</v>
      </c>
      <c r="J922" t="n">
        <v>0</v>
      </c>
      <c r="K922" t="n">
        <v>0</v>
      </c>
      <c r="L922" t="n">
        <v>0</v>
      </c>
      <c r="M922" t="n">
        <v>0</v>
      </c>
      <c r="N922" t="n">
        <v>0</v>
      </c>
      <c r="O922" t="n">
        <v>0</v>
      </c>
      <c r="P922" t="n">
        <v>0</v>
      </c>
      <c r="Q922" t="n">
        <v>0</v>
      </c>
      <c r="R922" s="2" t="inlineStr"/>
    </row>
    <row r="923" ht="15" customHeight="1">
      <c r="A923" t="inlineStr">
        <is>
          <t>A 26721-2023</t>
        </is>
      </c>
      <c r="B923" s="1" t="n">
        <v>45090</v>
      </c>
      <c r="C923" s="1" t="n">
        <v>45582</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26006-2023</t>
        </is>
      </c>
      <c r="B924" s="1" t="n">
        <v>45091</v>
      </c>
      <c r="C924" s="1" t="n">
        <v>45582</v>
      </c>
      <c r="D924" t="inlineStr">
        <is>
          <t>JÄMTLANDS LÄN</t>
        </is>
      </c>
      <c r="E924" t="inlineStr">
        <is>
          <t>KROKOM</t>
        </is>
      </c>
      <c r="G924" t="n">
        <v>14.1</v>
      </c>
      <c r="H924" t="n">
        <v>0</v>
      </c>
      <c r="I924" t="n">
        <v>0</v>
      </c>
      <c r="J924" t="n">
        <v>0</v>
      </c>
      <c r="K924" t="n">
        <v>0</v>
      </c>
      <c r="L924" t="n">
        <v>0</v>
      </c>
      <c r="M924" t="n">
        <v>0</v>
      </c>
      <c r="N924" t="n">
        <v>0</v>
      </c>
      <c r="O924" t="n">
        <v>0</v>
      </c>
      <c r="P924" t="n">
        <v>0</v>
      </c>
      <c r="Q924" t="n">
        <v>0</v>
      </c>
      <c r="R924" s="2" t="inlineStr"/>
    </row>
    <row r="925" ht="15" customHeight="1">
      <c r="A925" t="inlineStr">
        <is>
          <t>A 26739-2023</t>
        </is>
      </c>
      <c r="B925" s="1" t="n">
        <v>45090</v>
      </c>
      <c r="C925" s="1" t="n">
        <v>45582</v>
      </c>
      <c r="D925" t="inlineStr">
        <is>
          <t>JÄMTLANDS LÄN</t>
        </is>
      </c>
      <c r="E925" t="inlineStr">
        <is>
          <t>KROKOM</t>
        </is>
      </c>
      <c r="G925" t="n">
        <v>1.7</v>
      </c>
      <c r="H925" t="n">
        <v>0</v>
      </c>
      <c r="I925" t="n">
        <v>0</v>
      </c>
      <c r="J925" t="n">
        <v>0</v>
      </c>
      <c r="K925" t="n">
        <v>0</v>
      </c>
      <c r="L925" t="n">
        <v>0</v>
      </c>
      <c r="M925" t="n">
        <v>0</v>
      </c>
      <c r="N925" t="n">
        <v>0</v>
      </c>
      <c r="O925" t="n">
        <v>0</v>
      </c>
      <c r="P925" t="n">
        <v>0</v>
      </c>
      <c r="Q925" t="n">
        <v>0</v>
      </c>
      <c r="R925" s="2" t="inlineStr"/>
    </row>
    <row r="926" ht="15" customHeight="1">
      <c r="A926" t="inlineStr">
        <is>
          <t>A 26805-2023</t>
        </is>
      </c>
      <c r="B926" s="1" t="n">
        <v>45090</v>
      </c>
      <c r="C926" s="1" t="n">
        <v>45582</v>
      </c>
      <c r="D926" t="inlineStr">
        <is>
          <t>JÄMTLANDS LÄN</t>
        </is>
      </c>
      <c r="E926" t="inlineStr">
        <is>
          <t>KROKOM</t>
        </is>
      </c>
      <c r="G926" t="n">
        <v>20.4</v>
      </c>
      <c r="H926" t="n">
        <v>0</v>
      </c>
      <c r="I926" t="n">
        <v>0</v>
      </c>
      <c r="J926" t="n">
        <v>0</v>
      </c>
      <c r="K926" t="n">
        <v>0</v>
      </c>
      <c r="L926" t="n">
        <v>0</v>
      </c>
      <c r="M926" t="n">
        <v>0</v>
      </c>
      <c r="N926" t="n">
        <v>0</v>
      </c>
      <c r="O926" t="n">
        <v>0</v>
      </c>
      <c r="P926" t="n">
        <v>0</v>
      </c>
      <c r="Q926" t="n">
        <v>0</v>
      </c>
      <c r="R926" s="2" t="inlineStr"/>
    </row>
    <row r="927" ht="15" customHeight="1">
      <c r="A927" t="inlineStr">
        <is>
          <t>A 26662-2023</t>
        </is>
      </c>
      <c r="B927" s="1" t="n">
        <v>45093</v>
      </c>
      <c r="C927" s="1" t="n">
        <v>45582</v>
      </c>
      <c r="D927" t="inlineStr">
        <is>
          <t>JÄMTLANDS LÄN</t>
        </is>
      </c>
      <c r="E927" t="inlineStr">
        <is>
          <t>KROKOM</t>
        </is>
      </c>
      <c r="G927" t="n">
        <v>12.6</v>
      </c>
      <c r="H927" t="n">
        <v>0</v>
      </c>
      <c r="I927" t="n">
        <v>0</v>
      </c>
      <c r="J927" t="n">
        <v>0</v>
      </c>
      <c r="K927" t="n">
        <v>0</v>
      </c>
      <c r="L927" t="n">
        <v>0</v>
      </c>
      <c r="M927" t="n">
        <v>0</v>
      </c>
      <c r="N927" t="n">
        <v>0</v>
      </c>
      <c r="O927" t="n">
        <v>0</v>
      </c>
      <c r="P927" t="n">
        <v>0</v>
      </c>
      <c r="Q927" t="n">
        <v>0</v>
      </c>
      <c r="R927" s="2" t="inlineStr"/>
    </row>
    <row r="928" ht="15" customHeight="1">
      <c r="A928" t="inlineStr">
        <is>
          <t>A 26661-2023</t>
        </is>
      </c>
      <c r="B928" s="1" t="n">
        <v>45093</v>
      </c>
      <c r="C928" s="1" t="n">
        <v>45582</v>
      </c>
      <c r="D928" t="inlineStr">
        <is>
          <t>JÄMTLANDS LÄN</t>
        </is>
      </c>
      <c r="E928" t="inlineStr">
        <is>
          <t>KROKOM</t>
        </is>
      </c>
      <c r="G928" t="n">
        <v>5.4</v>
      </c>
      <c r="H928" t="n">
        <v>0</v>
      </c>
      <c r="I928" t="n">
        <v>0</v>
      </c>
      <c r="J928" t="n">
        <v>0</v>
      </c>
      <c r="K928" t="n">
        <v>0</v>
      </c>
      <c r="L928" t="n">
        <v>0</v>
      </c>
      <c r="M928" t="n">
        <v>0</v>
      </c>
      <c r="N928" t="n">
        <v>0</v>
      </c>
      <c r="O928" t="n">
        <v>0</v>
      </c>
      <c r="P928" t="n">
        <v>0</v>
      </c>
      <c r="Q928" t="n">
        <v>0</v>
      </c>
      <c r="R928" s="2" t="inlineStr"/>
    </row>
    <row r="929" ht="15" customHeight="1">
      <c r="A929" t="inlineStr">
        <is>
          <t>A 28137-2023</t>
        </is>
      </c>
      <c r="B929" s="1" t="n">
        <v>45096</v>
      </c>
      <c r="C929" s="1" t="n">
        <v>45582</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27616-2023</t>
        </is>
      </c>
      <c r="B930" s="1" t="n">
        <v>45097</v>
      </c>
      <c r="C930" s="1" t="n">
        <v>45582</v>
      </c>
      <c r="D930" t="inlineStr">
        <is>
          <t>JÄMTLANDS LÄN</t>
        </is>
      </c>
      <c r="E930" t="inlineStr">
        <is>
          <t>KROKOM</t>
        </is>
      </c>
      <c r="F930" t="inlineStr">
        <is>
          <t>Övriga Aktiebolag</t>
        </is>
      </c>
      <c r="G930" t="n">
        <v>13.3</v>
      </c>
      <c r="H930" t="n">
        <v>0</v>
      </c>
      <c r="I930" t="n">
        <v>0</v>
      </c>
      <c r="J930" t="n">
        <v>0</v>
      </c>
      <c r="K930" t="n">
        <v>0</v>
      </c>
      <c r="L930" t="n">
        <v>0</v>
      </c>
      <c r="M930" t="n">
        <v>0</v>
      </c>
      <c r="N930" t="n">
        <v>0</v>
      </c>
      <c r="O930" t="n">
        <v>0</v>
      </c>
      <c r="P930" t="n">
        <v>0</v>
      </c>
      <c r="Q930" t="n">
        <v>0</v>
      </c>
      <c r="R930" s="2" t="inlineStr"/>
    </row>
    <row r="931" ht="15" customHeight="1">
      <c r="A931" t="inlineStr">
        <is>
          <t>A 29224-2023</t>
        </is>
      </c>
      <c r="B931" s="1" t="n">
        <v>45097</v>
      </c>
      <c r="C931" s="1" t="n">
        <v>45582</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29244-2023</t>
        </is>
      </c>
      <c r="B932" s="1" t="n">
        <v>45097</v>
      </c>
      <c r="C932" s="1" t="n">
        <v>45582</v>
      </c>
      <c r="D932" t="inlineStr">
        <is>
          <t>JÄMTLANDS LÄN</t>
        </is>
      </c>
      <c r="E932" t="inlineStr">
        <is>
          <t>KROKOM</t>
        </is>
      </c>
      <c r="G932" t="n">
        <v>4.4</v>
      </c>
      <c r="H932" t="n">
        <v>0</v>
      </c>
      <c r="I932" t="n">
        <v>0</v>
      </c>
      <c r="J932" t="n">
        <v>0</v>
      </c>
      <c r="K932" t="n">
        <v>0</v>
      </c>
      <c r="L932" t="n">
        <v>0</v>
      </c>
      <c r="M932" t="n">
        <v>0</v>
      </c>
      <c r="N932" t="n">
        <v>0</v>
      </c>
      <c r="O932" t="n">
        <v>0</v>
      </c>
      <c r="P932" t="n">
        <v>0</v>
      </c>
      <c r="Q932" t="n">
        <v>0</v>
      </c>
      <c r="R932" s="2" t="inlineStr"/>
    </row>
    <row r="933" ht="15" customHeight="1">
      <c r="A933" t="inlineStr">
        <is>
          <t>A 28068-2023</t>
        </is>
      </c>
      <c r="B933" s="1" t="n">
        <v>45099</v>
      </c>
      <c r="C933" s="1" t="n">
        <v>45582</v>
      </c>
      <c r="D933" t="inlineStr">
        <is>
          <t>JÄMTLANDS LÄN</t>
        </is>
      </c>
      <c r="E933" t="inlineStr">
        <is>
          <t>KROKOM</t>
        </is>
      </c>
      <c r="G933" t="n">
        <v>4</v>
      </c>
      <c r="H933" t="n">
        <v>0</v>
      </c>
      <c r="I933" t="n">
        <v>0</v>
      </c>
      <c r="J933" t="n">
        <v>0</v>
      </c>
      <c r="K933" t="n">
        <v>0</v>
      </c>
      <c r="L933" t="n">
        <v>0</v>
      </c>
      <c r="M933" t="n">
        <v>0</v>
      </c>
      <c r="N933" t="n">
        <v>0</v>
      </c>
      <c r="O933" t="n">
        <v>0</v>
      </c>
      <c r="P933" t="n">
        <v>0</v>
      </c>
      <c r="Q933" t="n">
        <v>0</v>
      </c>
      <c r="R933" s="2" t="inlineStr"/>
    </row>
    <row r="934" ht="15" customHeight="1">
      <c r="A934" t="inlineStr">
        <is>
          <t>A 28072-2023</t>
        </is>
      </c>
      <c r="B934" s="1" t="n">
        <v>45099</v>
      </c>
      <c r="C934" s="1" t="n">
        <v>45582</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28062-2023</t>
        </is>
      </c>
      <c r="B935" s="1" t="n">
        <v>45099</v>
      </c>
      <c r="C935" s="1" t="n">
        <v>45582</v>
      </c>
      <c r="D935" t="inlineStr">
        <is>
          <t>JÄMTLANDS LÄN</t>
        </is>
      </c>
      <c r="E935" t="inlineStr">
        <is>
          <t>KROKOM</t>
        </is>
      </c>
      <c r="G935" t="n">
        <v>1.2</v>
      </c>
      <c r="H935" t="n">
        <v>0</v>
      </c>
      <c r="I935" t="n">
        <v>0</v>
      </c>
      <c r="J935" t="n">
        <v>0</v>
      </c>
      <c r="K935" t="n">
        <v>0</v>
      </c>
      <c r="L935" t="n">
        <v>0</v>
      </c>
      <c r="M935" t="n">
        <v>0</v>
      </c>
      <c r="N935" t="n">
        <v>0</v>
      </c>
      <c r="O935" t="n">
        <v>0</v>
      </c>
      <c r="P935" t="n">
        <v>0</v>
      </c>
      <c r="Q935" t="n">
        <v>0</v>
      </c>
      <c r="R935" s="2" t="inlineStr"/>
    </row>
    <row r="936" ht="15" customHeight="1">
      <c r="A936" t="inlineStr">
        <is>
          <t>A 28067-2023</t>
        </is>
      </c>
      <c r="B936" s="1" t="n">
        <v>45099</v>
      </c>
      <c r="C936" s="1" t="n">
        <v>45582</v>
      </c>
      <c r="D936" t="inlineStr">
        <is>
          <t>JÄMTLANDS LÄN</t>
        </is>
      </c>
      <c r="E936" t="inlineStr">
        <is>
          <t>KROKOM</t>
        </is>
      </c>
      <c r="G936" t="n">
        <v>2.8</v>
      </c>
      <c r="H936" t="n">
        <v>0</v>
      </c>
      <c r="I936" t="n">
        <v>0</v>
      </c>
      <c r="J936" t="n">
        <v>0</v>
      </c>
      <c r="K936" t="n">
        <v>0</v>
      </c>
      <c r="L936" t="n">
        <v>0</v>
      </c>
      <c r="M936" t="n">
        <v>0</v>
      </c>
      <c r="N936" t="n">
        <v>0</v>
      </c>
      <c r="O936" t="n">
        <v>0</v>
      </c>
      <c r="P936" t="n">
        <v>0</v>
      </c>
      <c r="Q936" t="n">
        <v>0</v>
      </c>
      <c r="R936" s="2" t="inlineStr"/>
    </row>
    <row r="937" ht="15" customHeight="1">
      <c r="A937" t="inlineStr">
        <is>
          <t>A 30450-2023</t>
        </is>
      </c>
      <c r="B937" s="1" t="n">
        <v>45099</v>
      </c>
      <c r="C937" s="1" t="n">
        <v>45582</v>
      </c>
      <c r="D937" t="inlineStr">
        <is>
          <t>JÄMTLANDS LÄN</t>
        </is>
      </c>
      <c r="E937" t="inlineStr">
        <is>
          <t>KROKOM</t>
        </is>
      </c>
      <c r="G937" t="n">
        <v>5.3</v>
      </c>
      <c r="H937" t="n">
        <v>0</v>
      </c>
      <c r="I937" t="n">
        <v>0</v>
      </c>
      <c r="J937" t="n">
        <v>0</v>
      </c>
      <c r="K937" t="n">
        <v>0</v>
      </c>
      <c r="L937" t="n">
        <v>0</v>
      </c>
      <c r="M937" t="n">
        <v>0</v>
      </c>
      <c r="N937" t="n">
        <v>0</v>
      </c>
      <c r="O937" t="n">
        <v>0</v>
      </c>
      <c r="P937" t="n">
        <v>0</v>
      </c>
      <c r="Q937" t="n">
        <v>0</v>
      </c>
      <c r="R937" s="2" t="inlineStr"/>
    </row>
    <row r="938" ht="15" customHeight="1">
      <c r="A938" t="inlineStr">
        <is>
          <t>A 28758-2023</t>
        </is>
      </c>
      <c r="B938" s="1" t="n">
        <v>45104</v>
      </c>
      <c r="C938" s="1" t="n">
        <v>45582</v>
      </c>
      <c r="D938" t="inlineStr">
        <is>
          <t>JÄMTLANDS LÄN</t>
        </is>
      </c>
      <c r="E938" t="inlineStr">
        <is>
          <t>KROKOM</t>
        </is>
      </c>
      <c r="G938" t="n">
        <v>9.6</v>
      </c>
      <c r="H938" t="n">
        <v>0</v>
      </c>
      <c r="I938" t="n">
        <v>0</v>
      </c>
      <c r="J938" t="n">
        <v>0</v>
      </c>
      <c r="K938" t="n">
        <v>0</v>
      </c>
      <c r="L938" t="n">
        <v>0</v>
      </c>
      <c r="M938" t="n">
        <v>0</v>
      </c>
      <c r="N938" t="n">
        <v>0</v>
      </c>
      <c r="O938" t="n">
        <v>0</v>
      </c>
      <c r="P938" t="n">
        <v>0</v>
      </c>
      <c r="Q938" t="n">
        <v>0</v>
      </c>
      <c r="R938" s="2" t="inlineStr"/>
    </row>
    <row r="939" ht="15" customHeight="1">
      <c r="A939" t="inlineStr">
        <is>
          <t>A 28763-2023</t>
        </is>
      </c>
      <c r="B939" s="1" t="n">
        <v>45104</v>
      </c>
      <c r="C939" s="1" t="n">
        <v>45582</v>
      </c>
      <c r="D939" t="inlineStr">
        <is>
          <t>JÄMTLANDS LÄN</t>
        </is>
      </c>
      <c r="E939" t="inlineStr">
        <is>
          <t>KROKOM</t>
        </is>
      </c>
      <c r="G939" t="n">
        <v>6</v>
      </c>
      <c r="H939" t="n">
        <v>0</v>
      </c>
      <c r="I939" t="n">
        <v>0</v>
      </c>
      <c r="J939" t="n">
        <v>0</v>
      </c>
      <c r="K939" t="n">
        <v>0</v>
      </c>
      <c r="L939" t="n">
        <v>0</v>
      </c>
      <c r="M939" t="n">
        <v>0</v>
      </c>
      <c r="N939" t="n">
        <v>0</v>
      </c>
      <c r="O939" t="n">
        <v>0</v>
      </c>
      <c r="P939" t="n">
        <v>0</v>
      </c>
      <c r="Q939" t="n">
        <v>0</v>
      </c>
      <c r="R939" s="2" t="inlineStr"/>
    </row>
    <row r="940" ht="15" customHeight="1">
      <c r="A940" t="inlineStr">
        <is>
          <t>A 29345-2023</t>
        </is>
      </c>
      <c r="B940" s="1" t="n">
        <v>45105</v>
      </c>
      <c r="C940" s="1" t="n">
        <v>45582</v>
      </c>
      <c r="D940" t="inlineStr">
        <is>
          <t>JÄMTLANDS LÄN</t>
        </is>
      </c>
      <c r="E940" t="inlineStr">
        <is>
          <t>KROKOM</t>
        </is>
      </c>
      <c r="G940" t="n">
        <v>33.9</v>
      </c>
      <c r="H940" t="n">
        <v>0</v>
      </c>
      <c r="I940" t="n">
        <v>0</v>
      </c>
      <c r="J940" t="n">
        <v>0</v>
      </c>
      <c r="K940" t="n">
        <v>0</v>
      </c>
      <c r="L940" t="n">
        <v>0</v>
      </c>
      <c r="M940" t="n">
        <v>0</v>
      </c>
      <c r="N940" t="n">
        <v>0</v>
      </c>
      <c r="O940" t="n">
        <v>0</v>
      </c>
      <c r="P940" t="n">
        <v>0</v>
      </c>
      <c r="Q940" t="n">
        <v>0</v>
      </c>
      <c r="R940" s="2" t="inlineStr"/>
    </row>
    <row r="941" ht="15" customHeight="1">
      <c r="A941" t="inlineStr">
        <is>
          <t>A 29630-2023</t>
        </is>
      </c>
      <c r="B941" s="1" t="n">
        <v>45107</v>
      </c>
      <c r="C941" s="1" t="n">
        <v>45582</v>
      </c>
      <c r="D941" t="inlineStr">
        <is>
          <t>JÄMTLANDS LÄN</t>
        </is>
      </c>
      <c r="E941" t="inlineStr">
        <is>
          <t>KROKOM</t>
        </is>
      </c>
      <c r="G941" t="n">
        <v>15.4</v>
      </c>
      <c r="H941" t="n">
        <v>0</v>
      </c>
      <c r="I941" t="n">
        <v>0</v>
      </c>
      <c r="J941" t="n">
        <v>0</v>
      </c>
      <c r="K941" t="n">
        <v>0</v>
      </c>
      <c r="L941" t="n">
        <v>0</v>
      </c>
      <c r="M941" t="n">
        <v>0</v>
      </c>
      <c r="N941" t="n">
        <v>0</v>
      </c>
      <c r="O941" t="n">
        <v>0</v>
      </c>
      <c r="P941" t="n">
        <v>0</v>
      </c>
      <c r="Q941" t="n">
        <v>0</v>
      </c>
      <c r="R941" s="2" t="inlineStr"/>
    </row>
    <row r="942" ht="15" customHeight="1">
      <c r="A942" t="inlineStr">
        <is>
          <t>A 29936-2023</t>
        </is>
      </c>
      <c r="B942" s="1" t="n">
        <v>45107</v>
      </c>
      <c r="C942" s="1" t="n">
        <v>45582</v>
      </c>
      <c r="D942" t="inlineStr">
        <is>
          <t>JÄMTLANDS LÄN</t>
        </is>
      </c>
      <c r="E942" t="inlineStr">
        <is>
          <t>KROKOM</t>
        </is>
      </c>
      <c r="G942" t="n">
        <v>77.40000000000001</v>
      </c>
      <c r="H942" t="n">
        <v>0</v>
      </c>
      <c r="I942" t="n">
        <v>0</v>
      </c>
      <c r="J942" t="n">
        <v>0</v>
      </c>
      <c r="K942" t="n">
        <v>0</v>
      </c>
      <c r="L942" t="n">
        <v>0</v>
      </c>
      <c r="M942" t="n">
        <v>0</v>
      </c>
      <c r="N942" t="n">
        <v>0</v>
      </c>
      <c r="O942" t="n">
        <v>0</v>
      </c>
      <c r="P942" t="n">
        <v>0</v>
      </c>
      <c r="Q942" t="n">
        <v>0</v>
      </c>
      <c r="R942" s="2" t="inlineStr"/>
    </row>
    <row r="943" ht="15" customHeight="1">
      <c r="A943" t="inlineStr">
        <is>
          <t>A 32131-2023</t>
        </is>
      </c>
      <c r="B943" s="1" t="n">
        <v>45107</v>
      </c>
      <c r="C943" s="1" t="n">
        <v>45582</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32123-2023</t>
        </is>
      </c>
      <c r="B944" s="1" t="n">
        <v>45107</v>
      </c>
      <c r="C944" s="1" t="n">
        <v>45582</v>
      </c>
      <c r="D944" t="inlineStr">
        <is>
          <t>JÄMTLANDS LÄN</t>
        </is>
      </c>
      <c r="E944" t="inlineStr">
        <is>
          <t>KROKOM</t>
        </is>
      </c>
      <c r="G944" t="n">
        <v>10.8</v>
      </c>
      <c r="H944" t="n">
        <v>0</v>
      </c>
      <c r="I944" t="n">
        <v>0</v>
      </c>
      <c r="J944" t="n">
        <v>0</v>
      </c>
      <c r="K944" t="n">
        <v>0</v>
      </c>
      <c r="L944" t="n">
        <v>0</v>
      </c>
      <c r="M944" t="n">
        <v>0</v>
      </c>
      <c r="N944" t="n">
        <v>0</v>
      </c>
      <c r="O944" t="n">
        <v>0</v>
      </c>
      <c r="P944" t="n">
        <v>0</v>
      </c>
      <c r="Q944" t="n">
        <v>0</v>
      </c>
      <c r="R944" s="2" t="inlineStr"/>
    </row>
    <row r="945" ht="15" customHeight="1">
      <c r="A945" t="inlineStr">
        <is>
          <t>A 29986-2023</t>
        </is>
      </c>
      <c r="B945" s="1" t="n">
        <v>45109</v>
      </c>
      <c r="C945" s="1" t="n">
        <v>45582</v>
      </c>
      <c r="D945" t="inlineStr">
        <is>
          <t>JÄMTLANDS LÄN</t>
        </is>
      </c>
      <c r="E945" t="inlineStr">
        <is>
          <t>KROKOM</t>
        </is>
      </c>
      <c r="F945" t="inlineStr">
        <is>
          <t>Övriga Aktiebolag</t>
        </is>
      </c>
      <c r="G945" t="n">
        <v>0.5</v>
      </c>
      <c r="H945" t="n">
        <v>0</v>
      </c>
      <c r="I945" t="n">
        <v>0</v>
      </c>
      <c r="J945" t="n">
        <v>0</v>
      </c>
      <c r="K945" t="n">
        <v>0</v>
      </c>
      <c r="L945" t="n">
        <v>0</v>
      </c>
      <c r="M945" t="n">
        <v>0</v>
      </c>
      <c r="N945" t="n">
        <v>0</v>
      </c>
      <c r="O945" t="n">
        <v>0</v>
      </c>
      <c r="P945" t="n">
        <v>0</v>
      </c>
      <c r="Q945" t="n">
        <v>0</v>
      </c>
      <c r="R945" s="2" t="inlineStr"/>
    </row>
    <row r="946" ht="15" customHeight="1">
      <c r="A946" t="inlineStr">
        <is>
          <t>A 30314-2023</t>
        </is>
      </c>
      <c r="B946" s="1" t="n">
        <v>45111</v>
      </c>
      <c r="C946" s="1" t="n">
        <v>45582</v>
      </c>
      <c r="D946" t="inlineStr">
        <is>
          <t>JÄMTLANDS LÄN</t>
        </is>
      </c>
      <c r="E946" t="inlineStr">
        <is>
          <t>KROKOM</t>
        </is>
      </c>
      <c r="G946" t="n">
        <v>4.8</v>
      </c>
      <c r="H946" t="n">
        <v>0</v>
      </c>
      <c r="I946" t="n">
        <v>0</v>
      </c>
      <c r="J946" t="n">
        <v>0</v>
      </c>
      <c r="K946" t="n">
        <v>0</v>
      </c>
      <c r="L946" t="n">
        <v>0</v>
      </c>
      <c r="M946" t="n">
        <v>0</v>
      </c>
      <c r="N946" t="n">
        <v>0</v>
      </c>
      <c r="O946" t="n">
        <v>0</v>
      </c>
      <c r="P946" t="n">
        <v>0</v>
      </c>
      <c r="Q946" t="n">
        <v>0</v>
      </c>
      <c r="R946" s="2" t="inlineStr"/>
    </row>
    <row r="947" ht="15" customHeight="1">
      <c r="A947" t="inlineStr">
        <is>
          <t>A 30486-2023</t>
        </is>
      </c>
      <c r="B947" s="1" t="n">
        <v>45111</v>
      </c>
      <c r="C947" s="1" t="n">
        <v>45582</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30488-2023</t>
        </is>
      </c>
      <c r="B948" s="1" t="n">
        <v>45111</v>
      </c>
      <c r="C948" s="1" t="n">
        <v>45582</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30429-2023</t>
        </is>
      </c>
      <c r="B949" s="1" t="n">
        <v>45111</v>
      </c>
      <c r="C949" s="1" t="n">
        <v>45582</v>
      </c>
      <c r="D949" t="inlineStr">
        <is>
          <t>JÄMTLANDS LÄN</t>
        </is>
      </c>
      <c r="E949" t="inlineStr">
        <is>
          <t>KROKOM</t>
        </is>
      </c>
      <c r="G949" t="n">
        <v>7.2</v>
      </c>
      <c r="H949" t="n">
        <v>0</v>
      </c>
      <c r="I949" t="n">
        <v>0</v>
      </c>
      <c r="J949" t="n">
        <v>0</v>
      </c>
      <c r="K949" t="n">
        <v>0</v>
      </c>
      <c r="L949" t="n">
        <v>0</v>
      </c>
      <c r="M949" t="n">
        <v>0</v>
      </c>
      <c r="N949" t="n">
        <v>0</v>
      </c>
      <c r="O949" t="n">
        <v>0</v>
      </c>
      <c r="P949" t="n">
        <v>0</v>
      </c>
      <c r="Q949" t="n">
        <v>0</v>
      </c>
      <c r="R949" s="2" t="inlineStr"/>
    </row>
    <row r="950" ht="15" customHeight="1">
      <c r="A950" t="inlineStr">
        <is>
          <t>A 30566-2023</t>
        </is>
      </c>
      <c r="B950" s="1" t="n">
        <v>45112</v>
      </c>
      <c r="C950" s="1" t="n">
        <v>45582</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30771-2023</t>
        </is>
      </c>
      <c r="B951" s="1" t="n">
        <v>45112</v>
      </c>
      <c r="C951" s="1" t="n">
        <v>45582</v>
      </c>
      <c r="D951" t="inlineStr">
        <is>
          <t>JÄMTLANDS LÄN</t>
        </is>
      </c>
      <c r="E951" t="inlineStr">
        <is>
          <t>KROKOM</t>
        </is>
      </c>
      <c r="G951" t="n">
        <v>10.6</v>
      </c>
      <c r="H951" t="n">
        <v>0</v>
      </c>
      <c r="I951" t="n">
        <v>0</v>
      </c>
      <c r="J951" t="n">
        <v>0</v>
      </c>
      <c r="K951" t="n">
        <v>0</v>
      </c>
      <c r="L951" t="n">
        <v>0</v>
      </c>
      <c r="M951" t="n">
        <v>0</v>
      </c>
      <c r="N951" t="n">
        <v>0</v>
      </c>
      <c r="O951" t="n">
        <v>0</v>
      </c>
      <c r="P951" t="n">
        <v>0</v>
      </c>
      <c r="Q951" t="n">
        <v>0</v>
      </c>
      <c r="R951" s="2" t="inlineStr"/>
    </row>
    <row r="952" ht="15" customHeight="1">
      <c r="A952" t="inlineStr">
        <is>
          <t>A 32692-2023</t>
        </is>
      </c>
      <c r="B952" s="1" t="n">
        <v>45112</v>
      </c>
      <c r="C952" s="1" t="n">
        <v>45582</v>
      </c>
      <c r="D952" t="inlineStr">
        <is>
          <t>JÄMTLANDS LÄN</t>
        </is>
      </c>
      <c r="E952" t="inlineStr">
        <is>
          <t>KROKOM</t>
        </is>
      </c>
      <c r="G952" t="n">
        <v>6.6</v>
      </c>
      <c r="H952" t="n">
        <v>0</v>
      </c>
      <c r="I952" t="n">
        <v>0</v>
      </c>
      <c r="J952" t="n">
        <v>0</v>
      </c>
      <c r="K952" t="n">
        <v>0</v>
      </c>
      <c r="L952" t="n">
        <v>0</v>
      </c>
      <c r="M952" t="n">
        <v>0</v>
      </c>
      <c r="N952" t="n">
        <v>0</v>
      </c>
      <c r="O952" t="n">
        <v>0</v>
      </c>
      <c r="P952" t="n">
        <v>0</v>
      </c>
      <c r="Q952" t="n">
        <v>0</v>
      </c>
      <c r="R952" s="2" t="inlineStr"/>
    </row>
    <row r="953" ht="15" customHeight="1">
      <c r="A953" t="inlineStr">
        <is>
          <t>A 32650-2023</t>
        </is>
      </c>
      <c r="B953" s="1" t="n">
        <v>45112</v>
      </c>
      <c r="C953" s="1" t="n">
        <v>45582</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32881-2023</t>
        </is>
      </c>
      <c r="B954" s="1" t="n">
        <v>45112</v>
      </c>
      <c r="C954" s="1" t="n">
        <v>45582</v>
      </c>
      <c r="D954" t="inlineStr">
        <is>
          <t>JÄMTLANDS LÄN</t>
        </is>
      </c>
      <c r="E954" t="inlineStr">
        <is>
          <t>KROKOM</t>
        </is>
      </c>
      <c r="G954" t="n">
        <v>3.5</v>
      </c>
      <c r="H954" t="n">
        <v>0</v>
      </c>
      <c r="I954" t="n">
        <v>0</v>
      </c>
      <c r="J954" t="n">
        <v>0</v>
      </c>
      <c r="K954" t="n">
        <v>0</v>
      </c>
      <c r="L954" t="n">
        <v>0</v>
      </c>
      <c r="M954" t="n">
        <v>0</v>
      </c>
      <c r="N954" t="n">
        <v>0</v>
      </c>
      <c r="O954" t="n">
        <v>0</v>
      </c>
      <c r="P954" t="n">
        <v>0</v>
      </c>
      <c r="Q954" t="n">
        <v>0</v>
      </c>
      <c r="R954" s="2" t="inlineStr"/>
    </row>
    <row r="955" ht="15" customHeight="1">
      <c r="A955" t="inlineStr">
        <is>
          <t>A 32837-2023</t>
        </is>
      </c>
      <c r="B955" s="1" t="n">
        <v>45112</v>
      </c>
      <c r="C955" s="1" t="n">
        <v>45582</v>
      </c>
      <c r="D955" t="inlineStr">
        <is>
          <t>JÄMTLANDS LÄN</t>
        </is>
      </c>
      <c r="E955" t="inlineStr">
        <is>
          <t>KROKOM</t>
        </is>
      </c>
      <c r="G955" t="n">
        <v>6.7</v>
      </c>
      <c r="H955" t="n">
        <v>0</v>
      </c>
      <c r="I955" t="n">
        <v>0</v>
      </c>
      <c r="J955" t="n">
        <v>0</v>
      </c>
      <c r="K955" t="n">
        <v>0</v>
      </c>
      <c r="L955" t="n">
        <v>0</v>
      </c>
      <c r="M955" t="n">
        <v>0</v>
      </c>
      <c r="N955" t="n">
        <v>0</v>
      </c>
      <c r="O955" t="n">
        <v>0</v>
      </c>
      <c r="P955" t="n">
        <v>0</v>
      </c>
      <c r="Q955" t="n">
        <v>0</v>
      </c>
      <c r="R955" s="2" t="inlineStr"/>
    </row>
    <row r="956" ht="15" customHeight="1">
      <c r="A956" t="inlineStr">
        <is>
          <t>A 31386-2023</t>
        </is>
      </c>
      <c r="B956" s="1" t="n">
        <v>45114</v>
      </c>
      <c r="C956" s="1" t="n">
        <v>45582</v>
      </c>
      <c r="D956" t="inlineStr">
        <is>
          <t>JÄMTLANDS LÄN</t>
        </is>
      </c>
      <c r="E956" t="inlineStr">
        <is>
          <t>KROKOM</t>
        </is>
      </c>
      <c r="G956" t="n">
        <v>2.9</v>
      </c>
      <c r="H956" t="n">
        <v>0</v>
      </c>
      <c r="I956" t="n">
        <v>0</v>
      </c>
      <c r="J956" t="n">
        <v>0</v>
      </c>
      <c r="K956" t="n">
        <v>0</v>
      </c>
      <c r="L956" t="n">
        <v>0</v>
      </c>
      <c r="M956" t="n">
        <v>0</v>
      </c>
      <c r="N956" t="n">
        <v>0</v>
      </c>
      <c r="O956" t="n">
        <v>0</v>
      </c>
      <c r="P956" t="n">
        <v>0</v>
      </c>
      <c r="Q956" t="n">
        <v>0</v>
      </c>
      <c r="R956" s="2" t="inlineStr"/>
    </row>
    <row r="957" ht="15" customHeight="1">
      <c r="A957" t="inlineStr">
        <is>
          <t>A 31395-2023</t>
        </is>
      </c>
      <c r="B957" s="1" t="n">
        <v>45114</v>
      </c>
      <c r="C957" s="1" t="n">
        <v>45582</v>
      </c>
      <c r="D957" t="inlineStr">
        <is>
          <t>JÄMTLANDS LÄN</t>
        </is>
      </c>
      <c r="E957" t="inlineStr">
        <is>
          <t>KROKOM</t>
        </is>
      </c>
      <c r="G957" t="n">
        <v>4.2</v>
      </c>
      <c r="H957" t="n">
        <v>0</v>
      </c>
      <c r="I957" t="n">
        <v>0</v>
      </c>
      <c r="J957" t="n">
        <v>0</v>
      </c>
      <c r="K957" t="n">
        <v>0</v>
      </c>
      <c r="L957" t="n">
        <v>0</v>
      </c>
      <c r="M957" t="n">
        <v>0</v>
      </c>
      <c r="N957" t="n">
        <v>0</v>
      </c>
      <c r="O957" t="n">
        <v>0</v>
      </c>
      <c r="P957" t="n">
        <v>0</v>
      </c>
      <c r="Q957" t="n">
        <v>0</v>
      </c>
      <c r="R957" s="2" t="inlineStr"/>
    </row>
    <row r="958" ht="15" customHeight="1">
      <c r="A958" t="inlineStr">
        <is>
          <t>A 31580-2023</t>
        </is>
      </c>
      <c r="B958" s="1" t="n">
        <v>45117</v>
      </c>
      <c r="C958" s="1" t="n">
        <v>45582</v>
      </c>
      <c r="D958" t="inlineStr">
        <is>
          <t>JÄMTLANDS LÄN</t>
        </is>
      </c>
      <c r="E958" t="inlineStr">
        <is>
          <t>KROKOM</t>
        </is>
      </c>
      <c r="G958" t="n">
        <v>0.9</v>
      </c>
      <c r="H958" t="n">
        <v>0</v>
      </c>
      <c r="I958" t="n">
        <v>0</v>
      </c>
      <c r="J958" t="n">
        <v>0</v>
      </c>
      <c r="K958" t="n">
        <v>0</v>
      </c>
      <c r="L958" t="n">
        <v>0</v>
      </c>
      <c r="M958" t="n">
        <v>0</v>
      </c>
      <c r="N958" t="n">
        <v>0</v>
      </c>
      <c r="O958" t="n">
        <v>0</v>
      </c>
      <c r="P958" t="n">
        <v>0</v>
      </c>
      <c r="Q958" t="n">
        <v>0</v>
      </c>
      <c r="R958" s="2" t="inlineStr"/>
    </row>
    <row r="959" ht="15" customHeight="1">
      <c r="A959" t="inlineStr">
        <is>
          <t>A 31584-2023</t>
        </is>
      </c>
      <c r="B959" s="1" t="n">
        <v>45117</v>
      </c>
      <c r="C959" s="1" t="n">
        <v>45582</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31537-2023</t>
        </is>
      </c>
      <c r="B960" s="1" t="n">
        <v>45117</v>
      </c>
      <c r="C960" s="1" t="n">
        <v>45582</v>
      </c>
      <c r="D960" t="inlineStr">
        <is>
          <t>JÄMTLANDS LÄN</t>
        </is>
      </c>
      <c r="E960" t="inlineStr">
        <is>
          <t>KROKOM</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31538-2023</t>
        </is>
      </c>
      <c r="B961" s="1" t="n">
        <v>45117</v>
      </c>
      <c r="C961" s="1" t="n">
        <v>45582</v>
      </c>
      <c r="D961" t="inlineStr">
        <is>
          <t>JÄMTLANDS LÄN</t>
        </is>
      </c>
      <c r="E961" t="inlineStr">
        <is>
          <t>KROKOM</t>
        </is>
      </c>
      <c r="F961" t="inlineStr">
        <is>
          <t>Övriga Aktiebolag</t>
        </is>
      </c>
      <c r="G961" t="n">
        <v>9.9</v>
      </c>
      <c r="H961" t="n">
        <v>0</v>
      </c>
      <c r="I961" t="n">
        <v>0</v>
      </c>
      <c r="J961" t="n">
        <v>0</v>
      </c>
      <c r="K961" t="n">
        <v>0</v>
      </c>
      <c r="L961" t="n">
        <v>0</v>
      </c>
      <c r="M961" t="n">
        <v>0</v>
      </c>
      <c r="N961" t="n">
        <v>0</v>
      </c>
      <c r="O961" t="n">
        <v>0</v>
      </c>
      <c r="P961" t="n">
        <v>0</v>
      </c>
      <c r="Q961" t="n">
        <v>0</v>
      </c>
      <c r="R961" s="2" t="inlineStr"/>
    </row>
    <row r="962" ht="15" customHeight="1">
      <c r="A962" t="inlineStr">
        <is>
          <t>A 31601-2023</t>
        </is>
      </c>
      <c r="B962" s="1" t="n">
        <v>45117</v>
      </c>
      <c r="C962" s="1" t="n">
        <v>45582</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31550-2023</t>
        </is>
      </c>
      <c r="B963" s="1" t="n">
        <v>45117</v>
      </c>
      <c r="C963" s="1" t="n">
        <v>45582</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31927-2023</t>
        </is>
      </c>
      <c r="B964" s="1" t="n">
        <v>45119</v>
      </c>
      <c r="C964" s="1" t="n">
        <v>45582</v>
      </c>
      <c r="D964" t="inlineStr">
        <is>
          <t>JÄMTLANDS LÄN</t>
        </is>
      </c>
      <c r="E964" t="inlineStr">
        <is>
          <t>KROKOM</t>
        </is>
      </c>
      <c r="G964" t="n">
        <v>56.6</v>
      </c>
      <c r="H964" t="n">
        <v>0</v>
      </c>
      <c r="I964" t="n">
        <v>0</v>
      </c>
      <c r="J964" t="n">
        <v>0</v>
      </c>
      <c r="K964" t="n">
        <v>0</v>
      </c>
      <c r="L964" t="n">
        <v>0</v>
      </c>
      <c r="M964" t="n">
        <v>0</v>
      </c>
      <c r="N964" t="n">
        <v>0</v>
      </c>
      <c r="O964" t="n">
        <v>0</v>
      </c>
      <c r="P964" t="n">
        <v>0</v>
      </c>
      <c r="Q964" t="n">
        <v>0</v>
      </c>
      <c r="R964" s="2" t="inlineStr"/>
    </row>
    <row r="965" ht="15" customHeight="1">
      <c r="A965" t="inlineStr">
        <is>
          <t>A 31877-2023</t>
        </is>
      </c>
      <c r="B965" s="1" t="n">
        <v>45118</v>
      </c>
      <c r="C965" s="1" t="n">
        <v>45582</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32019-2023</t>
        </is>
      </c>
      <c r="B966" s="1" t="n">
        <v>45119</v>
      </c>
      <c r="C966" s="1" t="n">
        <v>45582</v>
      </c>
      <c r="D966" t="inlineStr">
        <is>
          <t>JÄMTLANDS LÄN</t>
        </is>
      </c>
      <c r="E966" t="inlineStr">
        <is>
          <t>KROKOM</t>
        </is>
      </c>
      <c r="F966" t="inlineStr">
        <is>
          <t>Övriga Aktiebolag</t>
        </is>
      </c>
      <c r="G966" t="n">
        <v>37.5</v>
      </c>
      <c r="H966" t="n">
        <v>0</v>
      </c>
      <c r="I966" t="n">
        <v>0</v>
      </c>
      <c r="J966" t="n">
        <v>0</v>
      </c>
      <c r="K966" t="n">
        <v>0</v>
      </c>
      <c r="L966" t="n">
        <v>0</v>
      </c>
      <c r="M966" t="n">
        <v>0</v>
      </c>
      <c r="N966" t="n">
        <v>0</v>
      </c>
      <c r="O966" t="n">
        <v>0</v>
      </c>
      <c r="P966" t="n">
        <v>0</v>
      </c>
      <c r="Q966" t="n">
        <v>0</v>
      </c>
      <c r="R966" s="2" t="inlineStr"/>
    </row>
    <row r="967" ht="15" customHeight="1">
      <c r="A967" t="inlineStr">
        <is>
          <t>A 32090-2023</t>
        </is>
      </c>
      <c r="B967" s="1" t="n">
        <v>45119</v>
      </c>
      <c r="C967" s="1" t="n">
        <v>45582</v>
      </c>
      <c r="D967" t="inlineStr">
        <is>
          <t>JÄMTLANDS LÄN</t>
        </is>
      </c>
      <c r="E967" t="inlineStr">
        <is>
          <t>KROKOM</t>
        </is>
      </c>
      <c r="F967" t="inlineStr">
        <is>
          <t>Övriga Aktiebolag</t>
        </is>
      </c>
      <c r="G967" t="n">
        <v>4.3</v>
      </c>
      <c r="H967" t="n">
        <v>0</v>
      </c>
      <c r="I967" t="n">
        <v>0</v>
      </c>
      <c r="J967" t="n">
        <v>0</v>
      </c>
      <c r="K967" t="n">
        <v>0</v>
      </c>
      <c r="L967" t="n">
        <v>0</v>
      </c>
      <c r="M967" t="n">
        <v>0</v>
      </c>
      <c r="N967" t="n">
        <v>0</v>
      </c>
      <c r="O967" t="n">
        <v>0</v>
      </c>
      <c r="P967" t="n">
        <v>0</v>
      </c>
      <c r="Q967" t="n">
        <v>0</v>
      </c>
      <c r="R967" s="2" t="inlineStr"/>
    </row>
    <row r="968" ht="15" customHeight="1">
      <c r="A968" t="inlineStr">
        <is>
          <t>A 33653-2023</t>
        </is>
      </c>
      <c r="B968" s="1" t="n">
        <v>45119</v>
      </c>
      <c r="C968" s="1" t="n">
        <v>45582</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32676-2023</t>
        </is>
      </c>
      <c r="B969" s="1" t="n">
        <v>45121</v>
      </c>
      <c r="C969" s="1" t="n">
        <v>45582</v>
      </c>
      <c r="D969" t="inlineStr">
        <is>
          <t>JÄMTLANDS LÄN</t>
        </is>
      </c>
      <c r="E969" t="inlineStr">
        <is>
          <t>KROKOM</t>
        </is>
      </c>
      <c r="F969" t="inlineStr">
        <is>
          <t>Övriga Aktiebolag</t>
        </is>
      </c>
      <c r="G969" t="n">
        <v>7.1</v>
      </c>
      <c r="H969" t="n">
        <v>0</v>
      </c>
      <c r="I969" t="n">
        <v>0</v>
      </c>
      <c r="J969" t="n">
        <v>0</v>
      </c>
      <c r="K969" t="n">
        <v>0</v>
      </c>
      <c r="L969" t="n">
        <v>0</v>
      </c>
      <c r="M969" t="n">
        <v>0</v>
      </c>
      <c r="N969" t="n">
        <v>0</v>
      </c>
      <c r="O969" t="n">
        <v>0</v>
      </c>
      <c r="P969" t="n">
        <v>0</v>
      </c>
      <c r="Q969" t="n">
        <v>0</v>
      </c>
      <c r="R969" s="2" t="inlineStr"/>
    </row>
    <row r="970" ht="15" customHeight="1">
      <c r="A970" t="inlineStr">
        <is>
          <t>A 32765-2023</t>
        </is>
      </c>
      <c r="B970" s="1" t="n">
        <v>45123</v>
      </c>
      <c r="C970" s="1" t="n">
        <v>45582</v>
      </c>
      <c r="D970" t="inlineStr">
        <is>
          <t>JÄMTLANDS LÄN</t>
        </is>
      </c>
      <c r="E970" t="inlineStr">
        <is>
          <t>KROKOM</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34070-2023</t>
        </is>
      </c>
      <c r="B971" s="1" t="n">
        <v>45125</v>
      </c>
      <c r="C971" s="1" t="n">
        <v>45582</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34502-2023</t>
        </is>
      </c>
      <c r="B972" s="1" t="n">
        <v>45133</v>
      </c>
      <c r="C972" s="1" t="n">
        <v>45582</v>
      </c>
      <c r="D972" t="inlineStr">
        <is>
          <t>JÄMTLANDS LÄN</t>
        </is>
      </c>
      <c r="E972" t="inlineStr">
        <is>
          <t>KROKOM</t>
        </is>
      </c>
      <c r="G972" t="n">
        <v>6.9</v>
      </c>
      <c r="H972" t="n">
        <v>0</v>
      </c>
      <c r="I972" t="n">
        <v>0</v>
      </c>
      <c r="J972" t="n">
        <v>0</v>
      </c>
      <c r="K972" t="n">
        <v>0</v>
      </c>
      <c r="L972" t="n">
        <v>0</v>
      </c>
      <c r="M972" t="n">
        <v>0</v>
      </c>
      <c r="N972" t="n">
        <v>0</v>
      </c>
      <c r="O972" t="n">
        <v>0</v>
      </c>
      <c r="P972" t="n">
        <v>0</v>
      </c>
      <c r="Q972" t="n">
        <v>0</v>
      </c>
      <c r="R972" s="2" t="inlineStr"/>
    </row>
    <row r="973" ht="15" customHeight="1">
      <c r="A973" t="inlineStr">
        <is>
          <t>A 34155-2023</t>
        </is>
      </c>
      <c r="B973" s="1" t="n">
        <v>45137</v>
      </c>
      <c r="C973" s="1" t="n">
        <v>45582</v>
      </c>
      <c r="D973" t="inlineStr">
        <is>
          <t>JÄMTLANDS LÄN</t>
        </is>
      </c>
      <c r="E973" t="inlineStr">
        <is>
          <t>KROKOM</t>
        </is>
      </c>
      <c r="F973" t="inlineStr">
        <is>
          <t>Övriga Aktiebolag</t>
        </is>
      </c>
      <c r="G973" t="n">
        <v>7.3</v>
      </c>
      <c r="H973" t="n">
        <v>0</v>
      </c>
      <c r="I973" t="n">
        <v>0</v>
      </c>
      <c r="J973" t="n">
        <v>0</v>
      </c>
      <c r="K973" t="n">
        <v>0</v>
      </c>
      <c r="L973" t="n">
        <v>0</v>
      </c>
      <c r="M973" t="n">
        <v>0</v>
      </c>
      <c r="N973" t="n">
        <v>0</v>
      </c>
      <c r="O973" t="n">
        <v>0</v>
      </c>
      <c r="P973" t="n">
        <v>0</v>
      </c>
      <c r="Q973" t="n">
        <v>0</v>
      </c>
      <c r="R973" s="2" t="inlineStr"/>
    </row>
    <row r="974" ht="15" customHeight="1">
      <c r="A974" t="inlineStr">
        <is>
          <t>A 34720-2023</t>
        </is>
      </c>
      <c r="B974" s="1" t="n">
        <v>45139</v>
      </c>
      <c r="C974" s="1" t="n">
        <v>45582</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34801-2023</t>
        </is>
      </c>
      <c r="B975" s="1" t="n">
        <v>45140</v>
      </c>
      <c r="C975" s="1" t="n">
        <v>45582</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34803-2023</t>
        </is>
      </c>
      <c r="B976" s="1" t="n">
        <v>45140</v>
      </c>
      <c r="C976" s="1" t="n">
        <v>45582</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35257-2023</t>
        </is>
      </c>
      <c r="B977" s="1" t="n">
        <v>45146</v>
      </c>
      <c r="C977" s="1" t="n">
        <v>45582</v>
      </c>
      <c r="D977" t="inlineStr">
        <is>
          <t>JÄMTLANDS LÄN</t>
        </is>
      </c>
      <c r="E977" t="inlineStr">
        <is>
          <t>KROKOM</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35281-2023</t>
        </is>
      </c>
      <c r="B978" s="1" t="n">
        <v>45146</v>
      </c>
      <c r="C978" s="1" t="n">
        <v>45582</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35282-2023</t>
        </is>
      </c>
      <c r="B979" s="1" t="n">
        <v>45146</v>
      </c>
      <c r="C979" s="1" t="n">
        <v>45582</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35334-2023</t>
        </is>
      </c>
      <c r="B980" s="1" t="n">
        <v>45146</v>
      </c>
      <c r="C980" s="1" t="n">
        <v>45582</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35350-2023</t>
        </is>
      </c>
      <c r="B981" s="1" t="n">
        <v>45146</v>
      </c>
      <c r="C981" s="1" t="n">
        <v>45582</v>
      </c>
      <c r="D981" t="inlineStr">
        <is>
          <t>JÄMTLANDS LÄN</t>
        </is>
      </c>
      <c r="E981" t="inlineStr">
        <is>
          <t>KROKOM</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35887-2023</t>
        </is>
      </c>
      <c r="B982" s="1" t="n">
        <v>45148</v>
      </c>
      <c r="C982" s="1" t="n">
        <v>45582</v>
      </c>
      <c r="D982" t="inlineStr">
        <is>
          <t>JÄMTLANDS LÄN</t>
        </is>
      </c>
      <c r="E982" t="inlineStr">
        <is>
          <t>KROKOM</t>
        </is>
      </c>
      <c r="F982" t="inlineStr">
        <is>
          <t>Övriga Aktiebolag</t>
        </is>
      </c>
      <c r="G982" t="n">
        <v>14.3</v>
      </c>
      <c r="H982" t="n">
        <v>0</v>
      </c>
      <c r="I982" t="n">
        <v>0</v>
      </c>
      <c r="J982" t="n">
        <v>0</v>
      </c>
      <c r="K982" t="n">
        <v>0</v>
      </c>
      <c r="L982" t="n">
        <v>0</v>
      </c>
      <c r="M982" t="n">
        <v>0</v>
      </c>
      <c r="N982" t="n">
        <v>0</v>
      </c>
      <c r="O982" t="n">
        <v>0</v>
      </c>
      <c r="P982" t="n">
        <v>0</v>
      </c>
      <c r="Q982" t="n">
        <v>0</v>
      </c>
      <c r="R982" s="2" t="inlineStr"/>
    </row>
    <row r="983" ht="15" customHeight="1">
      <c r="A983" t="inlineStr">
        <is>
          <t>A 36396-2023</t>
        </is>
      </c>
      <c r="B983" s="1" t="n">
        <v>45149</v>
      </c>
      <c r="C983" s="1" t="n">
        <v>45582</v>
      </c>
      <c r="D983" t="inlineStr">
        <is>
          <t>JÄMTLANDS LÄN</t>
        </is>
      </c>
      <c r="E983" t="inlineStr">
        <is>
          <t>KROKOM</t>
        </is>
      </c>
      <c r="G983" t="n">
        <v>3.2</v>
      </c>
      <c r="H983" t="n">
        <v>0</v>
      </c>
      <c r="I983" t="n">
        <v>0</v>
      </c>
      <c r="J983" t="n">
        <v>0</v>
      </c>
      <c r="K983" t="n">
        <v>0</v>
      </c>
      <c r="L983" t="n">
        <v>0</v>
      </c>
      <c r="M983" t="n">
        <v>0</v>
      </c>
      <c r="N983" t="n">
        <v>0</v>
      </c>
      <c r="O983" t="n">
        <v>0</v>
      </c>
      <c r="P983" t="n">
        <v>0</v>
      </c>
      <c r="Q983" t="n">
        <v>0</v>
      </c>
      <c r="R983" s="2" t="inlineStr"/>
    </row>
    <row r="984" ht="15" customHeight="1">
      <c r="A984" t="inlineStr">
        <is>
          <t>A 36439-2023</t>
        </is>
      </c>
      <c r="B984" s="1" t="n">
        <v>45152</v>
      </c>
      <c r="C984" s="1" t="n">
        <v>45582</v>
      </c>
      <c r="D984" t="inlineStr">
        <is>
          <t>JÄMTLANDS LÄN</t>
        </is>
      </c>
      <c r="E984" t="inlineStr">
        <is>
          <t>KROKOM</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36424-2023</t>
        </is>
      </c>
      <c r="B985" s="1" t="n">
        <v>45152</v>
      </c>
      <c r="C985" s="1" t="n">
        <v>45582</v>
      </c>
      <c r="D985" t="inlineStr">
        <is>
          <t>JÄMTLANDS LÄN</t>
        </is>
      </c>
      <c r="E985" t="inlineStr">
        <is>
          <t>KROKOM</t>
        </is>
      </c>
      <c r="G985" t="n">
        <v>12.3</v>
      </c>
      <c r="H985" t="n">
        <v>0</v>
      </c>
      <c r="I985" t="n">
        <v>0</v>
      </c>
      <c r="J985" t="n">
        <v>0</v>
      </c>
      <c r="K985" t="n">
        <v>0</v>
      </c>
      <c r="L985" t="n">
        <v>0</v>
      </c>
      <c r="M985" t="n">
        <v>0</v>
      </c>
      <c r="N985" t="n">
        <v>0</v>
      </c>
      <c r="O985" t="n">
        <v>0</v>
      </c>
      <c r="P985" t="n">
        <v>0</v>
      </c>
      <c r="Q985" t="n">
        <v>0</v>
      </c>
      <c r="R985" s="2" t="inlineStr"/>
    </row>
    <row r="986" ht="15" customHeight="1">
      <c r="A986" t="inlineStr">
        <is>
          <t>A 36488-2023</t>
        </is>
      </c>
      <c r="B986" s="1" t="n">
        <v>45152</v>
      </c>
      <c r="C986" s="1" t="n">
        <v>45582</v>
      </c>
      <c r="D986" t="inlineStr">
        <is>
          <t>JÄMTLANDS LÄN</t>
        </is>
      </c>
      <c r="E986" t="inlineStr">
        <is>
          <t>KROKOM</t>
        </is>
      </c>
      <c r="G986" t="n">
        <v>7.6</v>
      </c>
      <c r="H986" t="n">
        <v>0</v>
      </c>
      <c r="I986" t="n">
        <v>0</v>
      </c>
      <c r="J986" t="n">
        <v>0</v>
      </c>
      <c r="K986" t="n">
        <v>0</v>
      </c>
      <c r="L986" t="n">
        <v>0</v>
      </c>
      <c r="M986" t="n">
        <v>0</v>
      </c>
      <c r="N986" t="n">
        <v>0</v>
      </c>
      <c r="O986" t="n">
        <v>0</v>
      </c>
      <c r="P986" t="n">
        <v>0</v>
      </c>
      <c r="Q986" t="n">
        <v>0</v>
      </c>
      <c r="R986" s="2" t="inlineStr"/>
    </row>
    <row r="987" ht="15" customHeight="1">
      <c r="A987" t="inlineStr">
        <is>
          <t>A 36535-2023</t>
        </is>
      </c>
      <c r="B987" s="1" t="n">
        <v>45152</v>
      </c>
      <c r="C987" s="1" t="n">
        <v>45582</v>
      </c>
      <c r="D987" t="inlineStr">
        <is>
          <t>JÄMTLANDS LÄN</t>
        </is>
      </c>
      <c r="E987" t="inlineStr">
        <is>
          <t>KROKOM</t>
        </is>
      </c>
      <c r="G987" t="n">
        <v>11.8</v>
      </c>
      <c r="H987" t="n">
        <v>0</v>
      </c>
      <c r="I987" t="n">
        <v>0</v>
      </c>
      <c r="J987" t="n">
        <v>0</v>
      </c>
      <c r="K987" t="n">
        <v>0</v>
      </c>
      <c r="L987" t="n">
        <v>0</v>
      </c>
      <c r="M987" t="n">
        <v>0</v>
      </c>
      <c r="N987" t="n">
        <v>0</v>
      </c>
      <c r="O987" t="n">
        <v>0</v>
      </c>
      <c r="P987" t="n">
        <v>0</v>
      </c>
      <c r="Q987" t="n">
        <v>0</v>
      </c>
      <c r="R987" s="2" t="inlineStr"/>
    </row>
    <row r="988" ht="15" customHeight="1">
      <c r="A988" t="inlineStr">
        <is>
          <t>A 36990-2023</t>
        </is>
      </c>
      <c r="B988" s="1" t="n">
        <v>45154</v>
      </c>
      <c r="C988" s="1" t="n">
        <v>45582</v>
      </c>
      <c r="D988" t="inlineStr">
        <is>
          <t>JÄMTLANDS LÄN</t>
        </is>
      </c>
      <c r="E988" t="inlineStr">
        <is>
          <t>KROKOM</t>
        </is>
      </c>
      <c r="G988" t="n">
        <v>1.8</v>
      </c>
      <c r="H988" t="n">
        <v>0</v>
      </c>
      <c r="I988" t="n">
        <v>0</v>
      </c>
      <c r="J988" t="n">
        <v>0</v>
      </c>
      <c r="K988" t="n">
        <v>0</v>
      </c>
      <c r="L988" t="n">
        <v>0</v>
      </c>
      <c r="M988" t="n">
        <v>0</v>
      </c>
      <c r="N988" t="n">
        <v>0</v>
      </c>
      <c r="O988" t="n">
        <v>0</v>
      </c>
      <c r="P988" t="n">
        <v>0</v>
      </c>
      <c r="Q988" t="n">
        <v>0</v>
      </c>
      <c r="R988" s="2" t="inlineStr"/>
    </row>
    <row r="989" ht="15" customHeight="1">
      <c r="A989" t="inlineStr">
        <is>
          <t>A 37019-2023</t>
        </is>
      </c>
      <c r="B989" s="1" t="n">
        <v>45155</v>
      </c>
      <c r="C989" s="1" t="n">
        <v>45582</v>
      </c>
      <c r="D989" t="inlineStr">
        <is>
          <t>JÄMTLANDS LÄN</t>
        </is>
      </c>
      <c r="E989" t="inlineStr">
        <is>
          <t>KROKOM</t>
        </is>
      </c>
      <c r="F989" t="inlineStr">
        <is>
          <t>Kyrkan</t>
        </is>
      </c>
      <c r="G989" t="n">
        <v>6.8</v>
      </c>
      <c r="H989" t="n">
        <v>0</v>
      </c>
      <c r="I989" t="n">
        <v>0</v>
      </c>
      <c r="J989" t="n">
        <v>0</v>
      </c>
      <c r="K989" t="n">
        <v>0</v>
      </c>
      <c r="L989" t="n">
        <v>0</v>
      </c>
      <c r="M989" t="n">
        <v>0</v>
      </c>
      <c r="N989" t="n">
        <v>0</v>
      </c>
      <c r="O989" t="n">
        <v>0</v>
      </c>
      <c r="P989" t="n">
        <v>0</v>
      </c>
      <c r="Q989" t="n">
        <v>0</v>
      </c>
      <c r="R989" s="2" t="inlineStr"/>
    </row>
    <row r="990" ht="15" customHeight="1">
      <c r="A990" t="inlineStr">
        <is>
          <t>A 37844-2023</t>
        </is>
      </c>
      <c r="B990" s="1" t="n">
        <v>45158</v>
      </c>
      <c r="C990" s="1" t="n">
        <v>45582</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37946-2023</t>
        </is>
      </c>
      <c r="B991" s="1" t="n">
        <v>45159</v>
      </c>
      <c r="C991" s="1" t="n">
        <v>45582</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38043-2023</t>
        </is>
      </c>
      <c r="B992" s="1" t="n">
        <v>45160</v>
      </c>
      <c r="C992" s="1" t="n">
        <v>45582</v>
      </c>
      <c r="D992" t="inlineStr">
        <is>
          <t>JÄMTLANDS LÄN</t>
        </is>
      </c>
      <c r="E992" t="inlineStr">
        <is>
          <t>KROKOM</t>
        </is>
      </c>
      <c r="F992" t="inlineStr">
        <is>
          <t>Övriga Aktiebolag</t>
        </is>
      </c>
      <c r="G992" t="n">
        <v>10.4</v>
      </c>
      <c r="H992" t="n">
        <v>0</v>
      </c>
      <c r="I992" t="n">
        <v>0</v>
      </c>
      <c r="J992" t="n">
        <v>0</v>
      </c>
      <c r="K992" t="n">
        <v>0</v>
      </c>
      <c r="L992" t="n">
        <v>0</v>
      </c>
      <c r="M992" t="n">
        <v>0</v>
      </c>
      <c r="N992" t="n">
        <v>0</v>
      </c>
      <c r="O992" t="n">
        <v>0</v>
      </c>
      <c r="P992" t="n">
        <v>0</v>
      </c>
      <c r="Q992" t="n">
        <v>0</v>
      </c>
      <c r="R992" s="2" t="inlineStr"/>
    </row>
    <row r="993" ht="15" customHeight="1">
      <c r="A993" t="inlineStr">
        <is>
          <t>A 38589-2023</t>
        </is>
      </c>
      <c r="B993" s="1" t="n">
        <v>45162</v>
      </c>
      <c r="C993" s="1" t="n">
        <v>45582</v>
      </c>
      <c r="D993" t="inlineStr">
        <is>
          <t>JÄMTLANDS LÄN</t>
        </is>
      </c>
      <c r="E993" t="inlineStr">
        <is>
          <t>KROKOM</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39063-2023</t>
        </is>
      </c>
      <c r="B994" s="1" t="n">
        <v>45163</v>
      </c>
      <c r="C994" s="1" t="n">
        <v>45582</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39078-2023</t>
        </is>
      </c>
      <c r="B995" s="1" t="n">
        <v>45164</v>
      </c>
      <c r="C995" s="1" t="n">
        <v>45582</v>
      </c>
      <c r="D995" t="inlineStr">
        <is>
          <t>JÄMTLANDS LÄN</t>
        </is>
      </c>
      <c r="E995" t="inlineStr">
        <is>
          <t>KROKOM</t>
        </is>
      </c>
      <c r="G995" t="n">
        <v>28.3</v>
      </c>
      <c r="H995" t="n">
        <v>0</v>
      </c>
      <c r="I995" t="n">
        <v>0</v>
      </c>
      <c r="J995" t="n">
        <v>0</v>
      </c>
      <c r="K995" t="n">
        <v>0</v>
      </c>
      <c r="L995" t="n">
        <v>0</v>
      </c>
      <c r="M995" t="n">
        <v>0</v>
      </c>
      <c r="N995" t="n">
        <v>0</v>
      </c>
      <c r="O995" t="n">
        <v>0</v>
      </c>
      <c r="P995" t="n">
        <v>0</v>
      </c>
      <c r="Q995" t="n">
        <v>0</v>
      </c>
      <c r="R995" s="2" t="inlineStr"/>
    </row>
    <row r="996" ht="15" customHeight="1">
      <c r="A996" t="inlineStr">
        <is>
          <t>A 39127-2023</t>
        </is>
      </c>
      <c r="B996" s="1" t="n">
        <v>45165</v>
      </c>
      <c r="C996" s="1" t="n">
        <v>45582</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39126-2023</t>
        </is>
      </c>
      <c r="B997" s="1" t="n">
        <v>45165</v>
      </c>
      <c r="C997" s="1" t="n">
        <v>45582</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39169-2023</t>
        </is>
      </c>
      <c r="B998" s="1" t="n">
        <v>45166</v>
      </c>
      <c r="C998" s="1" t="n">
        <v>45582</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39701-2023</t>
        </is>
      </c>
      <c r="B999" s="1" t="n">
        <v>45166</v>
      </c>
      <c r="C999" s="1" t="n">
        <v>45582</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39563-2023</t>
        </is>
      </c>
      <c r="B1000" s="1" t="n">
        <v>45167</v>
      </c>
      <c r="C1000" s="1" t="n">
        <v>45582</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39683-2023</t>
        </is>
      </c>
      <c r="B1001" s="1" t="n">
        <v>45167</v>
      </c>
      <c r="C1001" s="1" t="n">
        <v>45582</v>
      </c>
      <c r="D1001" t="inlineStr">
        <is>
          <t>JÄMTLANDS LÄN</t>
        </is>
      </c>
      <c r="E1001" t="inlineStr">
        <is>
          <t>KROKOM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39902-2023</t>
        </is>
      </c>
      <c r="B1002" s="1" t="n">
        <v>45168</v>
      </c>
      <c r="C1002" s="1" t="n">
        <v>45582</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40364-2023</t>
        </is>
      </c>
      <c r="B1003" s="1" t="n">
        <v>45168</v>
      </c>
      <c r="C1003" s="1" t="n">
        <v>45582</v>
      </c>
      <c r="D1003" t="inlineStr">
        <is>
          <t>JÄMTLANDS LÄN</t>
        </is>
      </c>
      <c r="E1003" t="inlineStr">
        <is>
          <t>KROKOM</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41090-2023</t>
        </is>
      </c>
      <c r="B1004" s="1" t="n">
        <v>45173</v>
      </c>
      <c r="C1004" s="1" t="n">
        <v>45582</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41142-2023</t>
        </is>
      </c>
      <c r="B1005" s="1" t="n">
        <v>45173</v>
      </c>
      <c r="C1005" s="1" t="n">
        <v>45582</v>
      </c>
      <c r="D1005" t="inlineStr">
        <is>
          <t>JÄMTLANDS LÄN</t>
        </is>
      </c>
      <c r="E1005" t="inlineStr">
        <is>
          <t>KROKOM</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41543-2023</t>
        </is>
      </c>
      <c r="B1006" s="1" t="n">
        <v>45173</v>
      </c>
      <c r="C1006" s="1" t="n">
        <v>45582</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41553-2023</t>
        </is>
      </c>
      <c r="B1007" s="1" t="n">
        <v>45173</v>
      </c>
      <c r="C1007" s="1" t="n">
        <v>45582</v>
      </c>
      <c r="D1007" t="inlineStr">
        <is>
          <t>JÄMTLANDS LÄN</t>
        </is>
      </c>
      <c r="E1007" t="inlineStr">
        <is>
          <t>KROKOM</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41769-2023</t>
        </is>
      </c>
      <c r="B1008" s="1" t="n">
        <v>45176</v>
      </c>
      <c r="C1008" s="1" t="n">
        <v>45582</v>
      </c>
      <c r="D1008" t="inlineStr">
        <is>
          <t>JÄMTLANDS LÄN</t>
        </is>
      </c>
      <c r="E1008" t="inlineStr">
        <is>
          <t>KROKOM</t>
        </is>
      </c>
      <c r="F1008" t="inlineStr">
        <is>
          <t>Övriga Aktiebolag</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41784-2023</t>
        </is>
      </c>
      <c r="B1009" s="1" t="n">
        <v>45176</v>
      </c>
      <c r="C1009" s="1" t="n">
        <v>45582</v>
      </c>
      <c r="D1009" t="inlineStr">
        <is>
          <t>JÄMTLANDS LÄN</t>
        </is>
      </c>
      <c r="E1009" t="inlineStr">
        <is>
          <t>KROKOM</t>
        </is>
      </c>
      <c r="F1009" t="inlineStr">
        <is>
          <t>Övriga Aktiebolag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42154-2023</t>
        </is>
      </c>
      <c r="B1010" s="1" t="n">
        <v>45177</v>
      </c>
      <c r="C1010" s="1" t="n">
        <v>45582</v>
      </c>
      <c r="D1010" t="inlineStr">
        <is>
          <t>JÄMTLANDS LÄN</t>
        </is>
      </c>
      <c r="E1010" t="inlineStr">
        <is>
          <t>KROKOM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42155-2023</t>
        </is>
      </c>
      <c r="B1011" s="1" t="n">
        <v>45177</v>
      </c>
      <c r="C1011" s="1" t="n">
        <v>45582</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42372-2023</t>
        </is>
      </c>
      <c r="B1012" s="1" t="n">
        <v>45180</v>
      </c>
      <c r="C1012" s="1" t="n">
        <v>45582</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42422-2023</t>
        </is>
      </c>
      <c r="B1013" s="1" t="n">
        <v>45180</v>
      </c>
      <c r="C1013" s="1" t="n">
        <v>45582</v>
      </c>
      <c r="D1013" t="inlineStr">
        <is>
          <t>JÄMTLANDS LÄN</t>
        </is>
      </c>
      <c r="E1013" t="inlineStr">
        <is>
          <t>KROKOM</t>
        </is>
      </c>
      <c r="F1013" t="inlineStr">
        <is>
          <t>Övriga Aktiebolag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42369-2023</t>
        </is>
      </c>
      <c r="B1014" s="1" t="n">
        <v>45180</v>
      </c>
      <c r="C1014" s="1" t="n">
        <v>45582</v>
      </c>
      <c r="D1014" t="inlineStr">
        <is>
          <t>JÄMTLANDS LÄN</t>
        </is>
      </c>
      <c r="E1014" t="inlineStr">
        <is>
          <t>KROKOM</t>
        </is>
      </c>
      <c r="F1014" t="inlineStr">
        <is>
          <t>Övriga Aktiebolag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42437-2023</t>
        </is>
      </c>
      <c r="B1015" s="1" t="n">
        <v>45180</v>
      </c>
      <c r="C1015" s="1" t="n">
        <v>45582</v>
      </c>
      <c r="D1015" t="inlineStr">
        <is>
          <t>JÄMTLANDS LÄN</t>
        </is>
      </c>
      <c r="E1015" t="inlineStr">
        <is>
          <t>KROKOM</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42417-2023</t>
        </is>
      </c>
      <c r="B1016" s="1" t="n">
        <v>45180</v>
      </c>
      <c r="C1016" s="1" t="n">
        <v>45582</v>
      </c>
      <c r="D1016" t="inlineStr">
        <is>
          <t>JÄMTLANDS LÄN</t>
        </is>
      </c>
      <c r="E1016" t="inlineStr">
        <is>
          <t>KROKOM</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42439-2023</t>
        </is>
      </c>
      <c r="B1017" s="1" t="n">
        <v>45180</v>
      </c>
      <c r="C1017" s="1" t="n">
        <v>45582</v>
      </c>
      <c r="D1017" t="inlineStr">
        <is>
          <t>JÄMTLANDS LÄN</t>
        </is>
      </c>
      <c r="E1017" t="inlineStr">
        <is>
          <t>KROKOM</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42424-2023</t>
        </is>
      </c>
      <c r="B1018" s="1" t="n">
        <v>45180</v>
      </c>
      <c r="C1018" s="1" t="n">
        <v>45582</v>
      </c>
      <c r="D1018" t="inlineStr">
        <is>
          <t>JÄMTLANDS LÄN</t>
        </is>
      </c>
      <c r="E1018" t="inlineStr">
        <is>
          <t>KROKOM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42828-2023</t>
        </is>
      </c>
      <c r="B1019" s="1" t="n">
        <v>45182</v>
      </c>
      <c r="C1019" s="1" t="n">
        <v>45582</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42816-2023</t>
        </is>
      </c>
      <c r="B1020" s="1" t="n">
        <v>45182</v>
      </c>
      <c r="C1020" s="1" t="n">
        <v>45582</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42825-2023</t>
        </is>
      </c>
      <c r="B1021" s="1" t="n">
        <v>45182</v>
      </c>
      <c r="C1021" s="1" t="n">
        <v>45582</v>
      </c>
      <c r="D1021" t="inlineStr">
        <is>
          <t>JÄMTLANDS LÄN</t>
        </is>
      </c>
      <c r="E1021" t="inlineStr">
        <is>
          <t>KROKOM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44751-2023</t>
        </is>
      </c>
      <c r="B1022" s="1" t="n">
        <v>45184</v>
      </c>
      <c r="C1022" s="1" t="n">
        <v>45582</v>
      </c>
      <c r="D1022" t="inlineStr">
        <is>
          <t>JÄMTLANDS LÄN</t>
        </is>
      </c>
      <c r="E1022" t="inlineStr">
        <is>
          <t>KROKOM</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44594-2023</t>
        </is>
      </c>
      <c r="B1023" s="1" t="n">
        <v>45189</v>
      </c>
      <c r="C1023" s="1" t="n">
        <v>45582</v>
      </c>
      <c r="D1023" t="inlineStr">
        <is>
          <t>JÄMTLANDS LÄN</t>
        </is>
      </c>
      <c r="E1023" t="inlineStr">
        <is>
          <t>KROKOM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44453-2023</t>
        </is>
      </c>
      <c r="B1024" s="1" t="n">
        <v>45189</v>
      </c>
      <c r="C1024" s="1" t="n">
        <v>45582</v>
      </c>
      <c r="D1024" t="inlineStr">
        <is>
          <t>JÄMTLANDS LÄN</t>
        </is>
      </c>
      <c r="E1024" t="inlineStr">
        <is>
          <t>KROKOM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46061-2023</t>
        </is>
      </c>
      <c r="B1025" s="1" t="n">
        <v>45190</v>
      </c>
      <c r="C1025" s="1" t="n">
        <v>45582</v>
      </c>
      <c r="D1025" t="inlineStr">
        <is>
          <t>JÄMTLANDS LÄN</t>
        </is>
      </c>
      <c r="E1025" t="inlineStr">
        <is>
          <t>KROKOM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46046-2023</t>
        </is>
      </c>
      <c r="B1026" s="1" t="n">
        <v>45190</v>
      </c>
      <c r="C1026" s="1" t="n">
        <v>45582</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45455-2023</t>
        </is>
      </c>
      <c r="B1027" s="1" t="n">
        <v>45194</v>
      </c>
      <c r="C1027" s="1" t="n">
        <v>45582</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45494-2023</t>
        </is>
      </c>
      <c r="B1028" s="1" t="n">
        <v>45194</v>
      </c>
      <c r="C1028" s="1" t="n">
        <v>45582</v>
      </c>
      <c r="D1028" t="inlineStr">
        <is>
          <t>JÄMTLANDS LÄN</t>
        </is>
      </c>
      <c r="E1028" t="inlineStr">
        <is>
          <t>KROKOM</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46676-2023</t>
        </is>
      </c>
      <c r="B1029" s="1" t="n">
        <v>45194</v>
      </c>
      <c r="C1029" s="1" t="n">
        <v>45582</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45786-2023</t>
        </is>
      </c>
      <c r="B1030" s="1" t="n">
        <v>45195</v>
      </c>
      <c r="C1030" s="1" t="n">
        <v>45582</v>
      </c>
      <c r="D1030" t="inlineStr">
        <is>
          <t>JÄMTLANDS LÄN</t>
        </is>
      </c>
      <c r="E1030" t="inlineStr">
        <is>
          <t>KROKOM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45822-2023</t>
        </is>
      </c>
      <c r="B1031" s="1" t="n">
        <v>45195</v>
      </c>
      <c r="C1031" s="1" t="n">
        <v>45582</v>
      </c>
      <c r="D1031" t="inlineStr">
        <is>
          <t>JÄMTLANDS LÄN</t>
        </is>
      </c>
      <c r="E1031" t="inlineStr">
        <is>
          <t>KROKOM</t>
        </is>
      </c>
      <c r="F1031" t="inlineStr">
        <is>
          <t>Övriga Aktiebolag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45827-2023</t>
        </is>
      </c>
      <c r="B1032" s="1" t="n">
        <v>45195</v>
      </c>
      <c r="C1032" s="1" t="n">
        <v>45582</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46592-2023</t>
        </is>
      </c>
      <c r="B1033" s="1" t="n">
        <v>45198</v>
      </c>
      <c r="C1033" s="1" t="n">
        <v>45582</v>
      </c>
      <c r="D1033" t="inlineStr">
        <is>
          <t>JÄMTLANDS LÄN</t>
        </is>
      </c>
      <c r="E1033" t="inlineStr">
        <is>
          <t>KROKOM</t>
        </is>
      </c>
      <c r="F1033" t="inlineStr">
        <is>
          <t>Övriga Aktiebolag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46626-2023</t>
        </is>
      </c>
      <c r="B1034" s="1" t="n">
        <v>45198</v>
      </c>
      <c r="C1034" s="1" t="n">
        <v>45582</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46636-2023</t>
        </is>
      </c>
      <c r="B1035" s="1" t="n">
        <v>45198</v>
      </c>
      <c r="C1035" s="1" t="n">
        <v>45582</v>
      </c>
      <c r="D1035" t="inlineStr">
        <is>
          <t>JÄMTLANDS LÄN</t>
        </is>
      </c>
      <c r="E1035" t="inlineStr">
        <is>
          <t>KROKOM</t>
        </is>
      </c>
      <c r="F1035" t="inlineStr">
        <is>
          <t>Övriga Aktiebolag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v>
      </c>
      <c r="C1036" s="1" t="n">
        <v>45582</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46820-2023</t>
        </is>
      </c>
      <c r="B1037" s="1" t="n">
        <v>45199</v>
      </c>
      <c r="C1037" s="1" t="n">
        <v>45582</v>
      </c>
      <c r="D1037" t="inlineStr">
        <is>
          <t>JÄMTLANDS LÄN</t>
        </is>
      </c>
      <c r="E1037" t="inlineStr">
        <is>
          <t>KROKOM</t>
        </is>
      </c>
      <c r="F1037" t="inlineStr">
        <is>
          <t>SCA</t>
        </is>
      </c>
      <c r="G1037" t="n">
        <v>60.6</v>
      </c>
      <c r="H1037" t="n">
        <v>0</v>
      </c>
      <c r="I1037" t="n">
        <v>0</v>
      </c>
      <c r="J1037" t="n">
        <v>0</v>
      </c>
      <c r="K1037" t="n">
        <v>0</v>
      </c>
      <c r="L1037" t="n">
        <v>0</v>
      </c>
      <c r="M1037" t="n">
        <v>0</v>
      </c>
      <c r="N1037" t="n">
        <v>0</v>
      </c>
      <c r="O1037" t="n">
        <v>0</v>
      </c>
      <c r="P1037" t="n">
        <v>0</v>
      </c>
      <c r="Q1037" t="n">
        <v>0</v>
      </c>
      <c r="R1037" s="2" t="inlineStr"/>
    </row>
    <row r="1038" ht="15" customHeight="1">
      <c r="A1038" t="inlineStr">
        <is>
          <t>A 46832-2023</t>
        </is>
      </c>
      <c r="B1038" s="1" t="n">
        <v>45199</v>
      </c>
      <c r="C1038" s="1" t="n">
        <v>45582</v>
      </c>
      <c r="D1038" t="inlineStr">
        <is>
          <t>JÄMTLANDS LÄN</t>
        </is>
      </c>
      <c r="E1038" t="inlineStr">
        <is>
          <t>KROKOM</t>
        </is>
      </c>
      <c r="F1038" t="inlineStr">
        <is>
          <t>Övriga Aktiebolag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46841-2023</t>
        </is>
      </c>
      <c r="B1039" s="1" t="n">
        <v>45199</v>
      </c>
      <c r="C1039" s="1" t="n">
        <v>45582</v>
      </c>
      <c r="D1039" t="inlineStr">
        <is>
          <t>JÄMTLANDS LÄN</t>
        </is>
      </c>
      <c r="E1039" t="inlineStr">
        <is>
          <t>KROKOM</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47073-2023</t>
        </is>
      </c>
      <c r="B1040" s="1" t="n">
        <v>45201</v>
      </c>
      <c r="C1040" s="1" t="n">
        <v>45582</v>
      </c>
      <c r="D1040" t="inlineStr">
        <is>
          <t>JÄMTLANDS LÄN</t>
        </is>
      </c>
      <c r="E1040" t="inlineStr">
        <is>
          <t>KROKOM</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48161-2023</t>
        </is>
      </c>
      <c r="B1041" s="1" t="n">
        <v>45201</v>
      </c>
      <c r="C1041" s="1" t="n">
        <v>45582</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47726-2023</t>
        </is>
      </c>
      <c r="B1042" s="1" t="n">
        <v>45203</v>
      </c>
      <c r="C1042" s="1" t="n">
        <v>45582</v>
      </c>
      <c r="D1042" t="inlineStr">
        <is>
          <t>JÄMTLANDS LÄN</t>
        </is>
      </c>
      <c r="E1042" t="inlineStr">
        <is>
          <t>KROKOM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47625-2023</t>
        </is>
      </c>
      <c r="B1043" s="1" t="n">
        <v>45203</v>
      </c>
      <c r="C1043" s="1" t="n">
        <v>45582</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47587-2023</t>
        </is>
      </c>
      <c r="B1044" s="1" t="n">
        <v>45203</v>
      </c>
      <c r="C1044" s="1" t="n">
        <v>45582</v>
      </c>
      <c r="D1044" t="inlineStr">
        <is>
          <t>JÄMTLANDS LÄN</t>
        </is>
      </c>
      <c r="E1044" t="inlineStr">
        <is>
          <t>KROKOM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47606-2023</t>
        </is>
      </c>
      <c r="B1045" s="1" t="n">
        <v>45203</v>
      </c>
      <c r="C1045" s="1" t="n">
        <v>45582</v>
      </c>
      <c r="D1045" t="inlineStr">
        <is>
          <t>JÄMTLANDS LÄN</t>
        </is>
      </c>
      <c r="E1045" t="inlineStr">
        <is>
          <t>KROKOM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47623-2023</t>
        </is>
      </c>
      <c r="B1046" s="1" t="n">
        <v>45203</v>
      </c>
      <c r="C1046" s="1" t="n">
        <v>45582</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47596-2023</t>
        </is>
      </c>
      <c r="B1047" s="1" t="n">
        <v>45203</v>
      </c>
      <c r="C1047" s="1" t="n">
        <v>45582</v>
      </c>
      <c r="D1047" t="inlineStr">
        <is>
          <t>JÄMTLANDS LÄN</t>
        </is>
      </c>
      <c r="E1047" t="inlineStr">
        <is>
          <t>KROKOM</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47635-2023</t>
        </is>
      </c>
      <c r="B1048" s="1" t="n">
        <v>45203</v>
      </c>
      <c r="C1048" s="1" t="n">
        <v>45582</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47838-2023</t>
        </is>
      </c>
      <c r="B1049" s="1" t="n">
        <v>45204</v>
      </c>
      <c r="C1049" s="1" t="n">
        <v>45582</v>
      </c>
      <c r="D1049" t="inlineStr">
        <is>
          <t>JÄMTLANDS LÄN</t>
        </is>
      </c>
      <c r="E1049" t="inlineStr">
        <is>
          <t>KROKOM</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47850-2023</t>
        </is>
      </c>
      <c r="B1050" s="1" t="n">
        <v>45204</v>
      </c>
      <c r="C1050" s="1" t="n">
        <v>45582</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49380-2023</t>
        </is>
      </c>
      <c r="B1051" s="1" t="n">
        <v>45205</v>
      </c>
      <c r="C1051" s="1" t="n">
        <v>45582</v>
      </c>
      <c r="D1051" t="inlineStr">
        <is>
          <t>JÄMTLANDS LÄN</t>
        </is>
      </c>
      <c r="E1051" t="inlineStr">
        <is>
          <t>KROKOM</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49438-2023</t>
        </is>
      </c>
      <c r="B1052" s="1" t="n">
        <v>45205</v>
      </c>
      <c r="C1052" s="1" t="n">
        <v>45582</v>
      </c>
      <c r="D1052" t="inlineStr">
        <is>
          <t>JÄMTLANDS LÄN</t>
        </is>
      </c>
      <c r="E1052" t="inlineStr">
        <is>
          <t>KROKOM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49536-2023</t>
        </is>
      </c>
      <c r="B1053" s="1" t="n">
        <v>45205</v>
      </c>
      <c r="C1053" s="1" t="n">
        <v>45582</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49046-2023</t>
        </is>
      </c>
      <c r="B1054" s="1" t="n">
        <v>45209</v>
      </c>
      <c r="C1054" s="1" t="n">
        <v>45582</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51050-2023</t>
        </is>
      </c>
      <c r="B1055" s="1" t="n">
        <v>45211</v>
      </c>
      <c r="C1055" s="1" t="n">
        <v>45582</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50227-2023</t>
        </is>
      </c>
      <c r="B1056" s="1" t="n">
        <v>45216</v>
      </c>
      <c r="C1056" s="1" t="n">
        <v>45582</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50216-2023</t>
        </is>
      </c>
      <c r="B1057" s="1" t="n">
        <v>45215</v>
      </c>
      <c r="C1057" s="1" t="n">
        <v>45582</v>
      </c>
      <c r="D1057" t="inlineStr">
        <is>
          <t>JÄMTLANDS LÄN</t>
        </is>
      </c>
      <c r="E1057" t="inlineStr">
        <is>
          <t>KROKOM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50228-2023</t>
        </is>
      </c>
      <c r="B1058" s="1" t="n">
        <v>45216</v>
      </c>
      <c r="C1058" s="1" t="n">
        <v>45582</v>
      </c>
      <c r="D1058" t="inlineStr">
        <is>
          <t>JÄMTLANDS LÄN</t>
        </is>
      </c>
      <c r="E1058" t="inlineStr">
        <is>
          <t>KROKOM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50270-2023</t>
        </is>
      </c>
      <c r="B1059" s="1" t="n">
        <v>45216</v>
      </c>
      <c r="C1059" s="1" t="n">
        <v>45582</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50493-2023</t>
        </is>
      </c>
      <c r="B1060" s="1" t="n">
        <v>45217</v>
      </c>
      <c r="C1060" s="1" t="n">
        <v>45582</v>
      </c>
      <c r="D1060" t="inlineStr">
        <is>
          <t>JÄMTLANDS LÄN</t>
        </is>
      </c>
      <c r="E1060" t="inlineStr">
        <is>
          <t>KROKOM</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50246-2023</t>
        </is>
      </c>
      <c r="B1061" s="1" t="n">
        <v>45216</v>
      </c>
      <c r="C1061" s="1" t="n">
        <v>45582</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50363-2023</t>
        </is>
      </c>
      <c r="B1062" s="1" t="n">
        <v>45216</v>
      </c>
      <c r="C1062" s="1" t="n">
        <v>45582</v>
      </c>
      <c r="D1062" t="inlineStr">
        <is>
          <t>JÄMTLANDS LÄN</t>
        </is>
      </c>
      <c r="E1062" t="inlineStr">
        <is>
          <t>KROKOM</t>
        </is>
      </c>
      <c r="F1062" t="inlineStr">
        <is>
          <t>Övriga Aktiebolag</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51929-2023</t>
        </is>
      </c>
      <c r="B1063" s="1" t="n">
        <v>45216</v>
      </c>
      <c r="C1063" s="1" t="n">
        <v>45582</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51910-2023</t>
        </is>
      </c>
      <c r="B1064" s="1" t="n">
        <v>45216</v>
      </c>
      <c r="C1064" s="1" t="n">
        <v>45582</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50606-2023</t>
        </is>
      </c>
      <c r="B1065" s="1" t="n">
        <v>45217</v>
      </c>
      <c r="C1065" s="1" t="n">
        <v>45582</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50782-2023</t>
        </is>
      </c>
      <c r="B1066" s="1" t="n">
        <v>45217</v>
      </c>
      <c r="C1066" s="1" t="n">
        <v>45582</v>
      </c>
      <c r="D1066" t="inlineStr">
        <is>
          <t>JÄMTLANDS LÄN</t>
        </is>
      </c>
      <c r="E1066" t="inlineStr">
        <is>
          <t>KROKOM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50787-2023</t>
        </is>
      </c>
      <c r="B1067" s="1" t="n">
        <v>45217</v>
      </c>
      <c r="C1067" s="1" t="n">
        <v>45582</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51816-2023</t>
        </is>
      </c>
      <c r="B1068" s="1" t="n">
        <v>45222</v>
      </c>
      <c r="C1068" s="1" t="n">
        <v>45582</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51817-2023</t>
        </is>
      </c>
      <c r="B1069" s="1" t="n">
        <v>45223</v>
      </c>
      <c r="C1069" s="1" t="n">
        <v>45582</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51882-2023</t>
        </is>
      </c>
      <c r="B1070" s="1" t="n">
        <v>45223</v>
      </c>
      <c r="C1070" s="1" t="n">
        <v>45582</v>
      </c>
      <c r="D1070" t="inlineStr">
        <is>
          <t>JÄMTLANDS LÄN</t>
        </is>
      </c>
      <c r="E1070" t="inlineStr">
        <is>
          <t>KROKOM</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51916-2023</t>
        </is>
      </c>
      <c r="B1071" s="1" t="n">
        <v>45223</v>
      </c>
      <c r="C1071" s="1" t="n">
        <v>45582</v>
      </c>
      <c r="D1071" t="inlineStr">
        <is>
          <t>JÄMTLANDS LÄN</t>
        </is>
      </c>
      <c r="E1071" t="inlineStr">
        <is>
          <t>KROKOM</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53429-2023</t>
        </is>
      </c>
      <c r="B1072" s="1" t="n">
        <v>45223</v>
      </c>
      <c r="C1072" s="1" t="n">
        <v>45582</v>
      </c>
      <c r="D1072" t="inlineStr">
        <is>
          <t>JÄMTLANDS LÄN</t>
        </is>
      </c>
      <c r="E1072" t="inlineStr">
        <is>
          <t>KROKOM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52295-2023</t>
        </is>
      </c>
      <c r="B1073" s="1" t="n">
        <v>45224</v>
      </c>
      <c r="C1073" s="1" t="n">
        <v>45582</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52590-2023</t>
        </is>
      </c>
      <c r="B1074" s="1" t="n">
        <v>45225</v>
      </c>
      <c r="C1074" s="1" t="n">
        <v>45582</v>
      </c>
      <c r="D1074" t="inlineStr">
        <is>
          <t>JÄMTLANDS LÄN</t>
        </is>
      </c>
      <c r="E1074" t="inlineStr">
        <is>
          <t>KROKOM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52599-2023</t>
        </is>
      </c>
      <c r="B1075" s="1" t="n">
        <v>45225</v>
      </c>
      <c r="C1075" s="1" t="n">
        <v>45582</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52604-2023</t>
        </is>
      </c>
      <c r="B1076" s="1" t="n">
        <v>45225</v>
      </c>
      <c r="C1076" s="1" t="n">
        <v>45582</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54514-2023</t>
        </is>
      </c>
      <c r="B1077" s="1" t="n">
        <v>45226</v>
      </c>
      <c r="C1077" s="1" t="n">
        <v>45582</v>
      </c>
      <c r="D1077" t="inlineStr">
        <is>
          <t>JÄMTLANDS LÄN</t>
        </is>
      </c>
      <c r="E1077" t="inlineStr">
        <is>
          <t>KROKOM</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52911-2023</t>
        </is>
      </c>
      <c r="B1078" s="1" t="n">
        <v>45226</v>
      </c>
      <c r="C1078" s="1" t="n">
        <v>45582</v>
      </c>
      <c r="D1078" t="inlineStr">
        <is>
          <t>JÄMTLANDS LÄN</t>
        </is>
      </c>
      <c r="E1078" t="inlineStr">
        <is>
          <t>KROKOM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53055-2023</t>
        </is>
      </c>
      <c r="B1079" s="1" t="n">
        <v>45226</v>
      </c>
      <c r="C1079" s="1" t="n">
        <v>45582</v>
      </c>
      <c r="D1079" t="inlineStr">
        <is>
          <t>JÄMTLANDS LÄN</t>
        </is>
      </c>
      <c r="E1079" t="inlineStr">
        <is>
          <t>KROKOM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54503-2023</t>
        </is>
      </c>
      <c r="B1080" s="1" t="n">
        <v>45226</v>
      </c>
      <c r="C1080" s="1" t="n">
        <v>45582</v>
      </c>
      <c r="D1080" t="inlineStr">
        <is>
          <t>JÄMTLANDS LÄN</t>
        </is>
      </c>
      <c r="E1080" t="inlineStr">
        <is>
          <t>KROKOM</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52869-2023</t>
        </is>
      </c>
      <c r="B1081" s="1" t="n">
        <v>45226</v>
      </c>
      <c r="C1081" s="1" t="n">
        <v>45582</v>
      </c>
      <c r="D1081" t="inlineStr">
        <is>
          <t>JÄMTLANDS LÄN</t>
        </is>
      </c>
      <c r="E1081" t="inlineStr">
        <is>
          <t>KROKOM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53908-2023</t>
        </is>
      </c>
      <c r="B1082" s="1" t="n">
        <v>45231</v>
      </c>
      <c r="C1082" s="1" t="n">
        <v>45582</v>
      </c>
      <c r="D1082" t="inlineStr">
        <is>
          <t>JÄMTLANDS LÄN</t>
        </is>
      </c>
      <c r="E1082" t="inlineStr">
        <is>
          <t>KROKOM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53916-2023</t>
        </is>
      </c>
      <c r="B1083" s="1" t="n">
        <v>45231</v>
      </c>
      <c r="C1083" s="1" t="n">
        <v>45582</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54043-2023</t>
        </is>
      </c>
      <c r="B1084" s="1" t="n">
        <v>45231</v>
      </c>
      <c r="C1084" s="1" t="n">
        <v>45582</v>
      </c>
      <c r="D1084" t="inlineStr">
        <is>
          <t>JÄMTLANDS LÄN</t>
        </is>
      </c>
      <c r="E1084" t="inlineStr">
        <is>
          <t>KROKOM</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54054-2023</t>
        </is>
      </c>
      <c r="B1085" s="1" t="n">
        <v>45232</v>
      </c>
      <c r="C1085" s="1" t="n">
        <v>45582</v>
      </c>
      <c r="D1085" t="inlineStr">
        <is>
          <t>JÄMTLANDS LÄN</t>
        </is>
      </c>
      <c r="E1085" t="inlineStr">
        <is>
          <t>KROKOM</t>
        </is>
      </c>
      <c r="G1085" t="n">
        <v>20.8</v>
      </c>
      <c r="H1085" t="n">
        <v>0</v>
      </c>
      <c r="I1085" t="n">
        <v>0</v>
      </c>
      <c r="J1085" t="n">
        <v>0</v>
      </c>
      <c r="K1085" t="n">
        <v>0</v>
      </c>
      <c r="L1085" t="n">
        <v>0</v>
      </c>
      <c r="M1085" t="n">
        <v>0</v>
      </c>
      <c r="N1085" t="n">
        <v>0</v>
      </c>
      <c r="O1085" t="n">
        <v>0</v>
      </c>
      <c r="P1085" t="n">
        <v>0</v>
      </c>
      <c r="Q1085" t="n">
        <v>0</v>
      </c>
      <c r="R1085" s="2" t="inlineStr"/>
    </row>
    <row r="1086" ht="15" customHeight="1">
      <c r="A1086" t="inlineStr">
        <is>
          <t>A 54058-2023</t>
        </is>
      </c>
      <c r="B1086" s="1" t="n">
        <v>45231</v>
      </c>
      <c r="C1086" s="1" t="n">
        <v>45582</v>
      </c>
      <c r="D1086" t="inlineStr">
        <is>
          <t>JÄMTLANDS LÄN</t>
        </is>
      </c>
      <c r="E1086" t="inlineStr">
        <is>
          <t>KROKOM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54062-2023</t>
        </is>
      </c>
      <c r="B1087" s="1" t="n">
        <v>45232</v>
      </c>
      <c r="C1087" s="1" t="n">
        <v>45582</v>
      </c>
      <c r="D1087" t="inlineStr">
        <is>
          <t>JÄMTLANDS LÄN</t>
        </is>
      </c>
      <c r="E1087" t="inlineStr">
        <is>
          <t>KROKOM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54056-2023</t>
        </is>
      </c>
      <c r="B1088" s="1" t="n">
        <v>45232</v>
      </c>
      <c r="C1088" s="1" t="n">
        <v>45582</v>
      </c>
      <c r="D1088" t="inlineStr">
        <is>
          <t>JÄMTLANDS LÄN</t>
        </is>
      </c>
      <c r="E1088" t="inlineStr">
        <is>
          <t>KROKOM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53901-2023</t>
        </is>
      </c>
      <c r="B1089" s="1" t="n">
        <v>45231</v>
      </c>
      <c r="C1089" s="1" t="n">
        <v>45582</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54057-2023</t>
        </is>
      </c>
      <c r="B1090" s="1" t="n">
        <v>45232</v>
      </c>
      <c r="C1090" s="1" t="n">
        <v>45582</v>
      </c>
      <c r="D1090" t="inlineStr">
        <is>
          <t>JÄMTLANDS LÄN</t>
        </is>
      </c>
      <c r="E1090" t="inlineStr">
        <is>
          <t>KROKOM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54160-2023</t>
        </is>
      </c>
      <c r="B1091" s="1" t="n">
        <v>45232</v>
      </c>
      <c r="C1091" s="1" t="n">
        <v>45582</v>
      </c>
      <c r="D1091" t="inlineStr">
        <is>
          <t>JÄMTLANDS LÄN</t>
        </is>
      </c>
      <c r="E1091" t="inlineStr">
        <is>
          <t>KROKOM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56177-2023</t>
        </is>
      </c>
      <c r="B1092" s="1" t="n">
        <v>45236</v>
      </c>
      <c r="C1092" s="1" t="n">
        <v>45582</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56171-2023</t>
        </is>
      </c>
      <c r="B1093" s="1" t="n">
        <v>45236</v>
      </c>
      <c r="C1093" s="1" t="n">
        <v>45582</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55645-2023</t>
        </is>
      </c>
      <c r="B1094" s="1" t="n">
        <v>45239</v>
      </c>
      <c r="C1094" s="1" t="n">
        <v>45582</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55661-2023</t>
        </is>
      </c>
      <c r="B1095" s="1" t="n">
        <v>45239</v>
      </c>
      <c r="C1095" s="1" t="n">
        <v>45582</v>
      </c>
      <c r="D1095" t="inlineStr">
        <is>
          <t>JÄMTLANDS LÄN</t>
        </is>
      </c>
      <c r="E1095" t="inlineStr">
        <is>
          <t>KROKOM</t>
        </is>
      </c>
      <c r="F1095" t="inlineStr">
        <is>
          <t>Kommuner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55660-2023</t>
        </is>
      </c>
      <c r="B1096" s="1" t="n">
        <v>45238</v>
      </c>
      <c r="C1096" s="1" t="n">
        <v>45582</v>
      </c>
      <c r="D1096" t="inlineStr">
        <is>
          <t>JÄMTLANDS LÄN</t>
        </is>
      </c>
      <c r="E1096" t="inlineStr">
        <is>
          <t>KROKOM</t>
        </is>
      </c>
      <c r="F1096" t="inlineStr">
        <is>
          <t>SCA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56538-2023</t>
        </is>
      </c>
      <c r="B1097" s="1" t="n">
        <v>45238</v>
      </c>
      <c r="C1097" s="1" t="n">
        <v>45582</v>
      </c>
      <c r="D1097" t="inlineStr">
        <is>
          <t>JÄMTLANDS LÄN</t>
        </is>
      </c>
      <c r="E1097" t="inlineStr">
        <is>
          <t>KROKOM</t>
        </is>
      </c>
      <c r="G1097" t="n">
        <v>17.7</v>
      </c>
      <c r="H1097" t="n">
        <v>0</v>
      </c>
      <c r="I1097" t="n">
        <v>0</v>
      </c>
      <c r="J1097" t="n">
        <v>0</v>
      </c>
      <c r="K1097" t="n">
        <v>0</v>
      </c>
      <c r="L1097" t="n">
        <v>0</v>
      </c>
      <c r="M1097" t="n">
        <v>0</v>
      </c>
      <c r="N1097" t="n">
        <v>0</v>
      </c>
      <c r="O1097" t="n">
        <v>0</v>
      </c>
      <c r="P1097" t="n">
        <v>0</v>
      </c>
      <c r="Q1097" t="n">
        <v>0</v>
      </c>
      <c r="R1097" s="2" t="inlineStr"/>
    </row>
    <row r="1098" ht="15" customHeight="1">
      <c r="A1098" t="inlineStr">
        <is>
          <t>A 55914-2023</t>
        </is>
      </c>
      <c r="B1098" s="1" t="n">
        <v>45240</v>
      </c>
      <c r="C1098" s="1" t="n">
        <v>45582</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55693-2023</t>
        </is>
      </c>
      <c r="B1099" s="1" t="n">
        <v>45239</v>
      </c>
      <c r="C1099" s="1" t="n">
        <v>45582</v>
      </c>
      <c r="D1099" t="inlineStr">
        <is>
          <t>JÄMTLANDS LÄN</t>
        </is>
      </c>
      <c r="E1099" t="inlineStr">
        <is>
          <t>KROKOM</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55915-2023</t>
        </is>
      </c>
      <c r="B1100" s="1" t="n">
        <v>45240</v>
      </c>
      <c r="C1100" s="1" t="n">
        <v>45582</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57188-2023</t>
        </is>
      </c>
      <c r="B1101" s="1" t="n">
        <v>45239</v>
      </c>
      <c r="C1101" s="1" t="n">
        <v>45582</v>
      </c>
      <c r="D1101" t="inlineStr">
        <is>
          <t>JÄMTLANDS LÄN</t>
        </is>
      </c>
      <c r="E1101" t="inlineStr">
        <is>
          <t>KROKOM</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57257-2023</t>
        </is>
      </c>
      <c r="B1102" s="1" t="n">
        <v>45239</v>
      </c>
      <c r="C1102" s="1" t="n">
        <v>45582</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57266-2023</t>
        </is>
      </c>
      <c r="B1103" s="1" t="n">
        <v>45239</v>
      </c>
      <c r="C1103" s="1" t="n">
        <v>45582</v>
      </c>
      <c r="D1103" t="inlineStr">
        <is>
          <t>JÄMTLANDS LÄN</t>
        </is>
      </c>
      <c r="E1103" t="inlineStr">
        <is>
          <t>KROKOM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57360-2023</t>
        </is>
      </c>
      <c r="B1104" s="1" t="n">
        <v>45240</v>
      </c>
      <c r="C1104" s="1" t="n">
        <v>45582</v>
      </c>
      <c r="D1104" t="inlineStr">
        <is>
          <t>JÄMTLANDS LÄN</t>
        </is>
      </c>
      <c r="E1104" t="inlineStr">
        <is>
          <t>KROKOM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56353-2023</t>
        </is>
      </c>
      <c r="B1105" s="1" t="n">
        <v>45243</v>
      </c>
      <c r="C1105" s="1" t="n">
        <v>45582</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56328-2023</t>
        </is>
      </c>
      <c r="B1106" s="1" t="n">
        <v>45243</v>
      </c>
      <c r="C1106" s="1" t="n">
        <v>45582</v>
      </c>
      <c r="D1106" t="inlineStr">
        <is>
          <t>JÄMTLANDS LÄN</t>
        </is>
      </c>
      <c r="E1106" t="inlineStr">
        <is>
          <t>KROKOM</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56694-2023</t>
        </is>
      </c>
      <c r="B1107" s="1" t="n">
        <v>45244</v>
      </c>
      <c r="C1107" s="1" t="n">
        <v>45582</v>
      </c>
      <c r="D1107" t="inlineStr">
        <is>
          <t>JÄMTLANDS LÄN</t>
        </is>
      </c>
      <c r="E1107" t="inlineStr">
        <is>
          <t>KROKOM</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56515-2023</t>
        </is>
      </c>
      <c r="B1108" s="1" t="n">
        <v>45243</v>
      </c>
      <c r="C1108" s="1" t="n">
        <v>45582</v>
      </c>
      <c r="D1108" t="inlineStr">
        <is>
          <t>JÄMTLANDS LÄN</t>
        </is>
      </c>
      <c r="E1108" t="inlineStr">
        <is>
          <t>KROKOM</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56601-2023</t>
        </is>
      </c>
      <c r="B1109" s="1" t="n">
        <v>45243</v>
      </c>
      <c r="C1109" s="1" t="n">
        <v>45582</v>
      </c>
      <c r="D1109" t="inlineStr">
        <is>
          <t>JÄMTLANDS LÄN</t>
        </is>
      </c>
      <c r="E1109" t="inlineStr">
        <is>
          <t>KROKOM</t>
        </is>
      </c>
      <c r="G1109" t="n">
        <v>16.8</v>
      </c>
      <c r="H1109" t="n">
        <v>0</v>
      </c>
      <c r="I1109" t="n">
        <v>0</v>
      </c>
      <c r="J1109" t="n">
        <v>0</v>
      </c>
      <c r="K1109" t="n">
        <v>0</v>
      </c>
      <c r="L1109" t="n">
        <v>0</v>
      </c>
      <c r="M1109" t="n">
        <v>0</v>
      </c>
      <c r="N1109" t="n">
        <v>0</v>
      </c>
      <c r="O1109" t="n">
        <v>0</v>
      </c>
      <c r="P1109" t="n">
        <v>0</v>
      </c>
      <c r="Q1109" t="n">
        <v>0</v>
      </c>
      <c r="R1109" s="2" t="inlineStr"/>
    </row>
    <row r="1110" ht="15" customHeight="1">
      <c r="A1110" t="inlineStr">
        <is>
          <t>A 56346-2023</t>
        </is>
      </c>
      <c r="B1110" s="1" t="n">
        <v>45243</v>
      </c>
      <c r="C1110" s="1" t="n">
        <v>45582</v>
      </c>
      <c r="D1110" t="inlineStr">
        <is>
          <t>JÄMTLANDS LÄN</t>
        </is>
      </c>
      <c r="E1110" t="inlineStr">
        <is>
          <t>KROKOM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56361-2023</t>
        </is>
      </c>
      <c r="B1111" s="1" t="n">
        <v>45243</v>
      </c>
      <c r="C1111" s="1" t="n">
        <v>45582</v>
      </c>
      <c r="D1111" t="inlineStr">
        <is>
          <t>JÄMTLANDS LÄN</t>
        </is>
      </c>
      <c r="E1111" t="inlineStr">
        <is>
          <t>KROKOM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56546-2023</t>
        </is>
      </c>
      <c r="B1112" s="1" t="n">
        <v>45243</v>
      </c>
      <c r="C1112" s="1" t="n">
        <v>45582</v>
      </c>
      <c r="D1112" t="inlineStr">
        <is>
          <t>JÄMTLANDS LÄN</t>
        </is>
      </c>
      <c r="E1112" t="inlineStr">
        <is>
          <t>KROKOM</t>
        </is>
      </c>
      <c r="G1112" t="n">
        <v>19.9</v>
      </c>
      <c r="H1112" t="n">
        <v>0</v>
      </c>
      <c r="I1112" t="n">
        <v>0</v>
      </c>
      <c r="J1112" t="n">
        <v>0</v>
      </c>
      <c r="K1112" t="n">
        <v>0</v>
      </c>
      <c r="L1112" t="n">
        <v>0</v>
      </c>
      <c r="M1112" t="n">
        <v>0</v>
      </c>
      <c r="N1112" t="n">
        <v>0</v>
      </c>
      <c r="O1112" t="n">
        <v>0</v>
      </c>
      <c r="P1112" t="n">
        <v>0</v>
      </c>
      <c r="Q1112" t="n">
        <v>0</v>
      </c>
      <c r="R1112" s="2" t="inlineStr"/>
    </row>
    <row r="1113" ht="15" customHeight="1">
      <c r="A1113" t="inlineStr">
        <is>
          <t>A 56927-2023</t>
        </is>
      </c>
      <c r="B1113" s="1" t="n">
        <v>45244</v>
      </c>
      <c r="C1113" s="1" t="n">
        <v>45582</v>
      </c>
      <c r="D1113" t="inlineStr">
        <is>
          <t>JÄMTLANDS LÄN</t>
        </is>
      </c>
      <c r="E1113" t="inlineStr">
        <is>
          <t>KROKOM</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56924-2023</t>
        </is>
      </c>
      <c r="B1114" s="1" t="n">
        <v>45244</v>
      </c>
      <c r="C1114" s="1" t="n">
        <v>45582</v>
      </c>
      <c r="D1114" t="inlineStr">
        <is>
          <t>JÄMTLANDS LÄN</t>
        </is>
      </c>
      <c r="E1114" t="inlineStr">
        <is>
          <t>KROKOM</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56932-2023</t>
        </is>
      </c>
      <c r="B1115" s="1" t="n">
        <v>45244</v>
      </c>
      <c r="C1115" s="1" t="n">
        <v>45582</v>
      </c>
      <c r="D1115" t="inlineStr">
        <is>
          <t>JÄMTLANDS LÄN</t>
        </is>
      </c>
      <c r="E1115" t="inlineStr">
        <is>
          <t>KROKOM</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56936-2023</t>
        </is>
      </c>
      <c r="B1116" s="1" t="n">
        <v>45244</v>
      </c>
      <c r="C1116" s="1" t="n">
        <v>45582</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57239-2023</t>
        </is>
      </c>
      <c r="B1117" s="1" t="n">
        <v>45245</v>
      </c>
      <c r="C1117" s="1" t="n">
        <v>45582</v>
      </c>
      <c r="D1117" t="inlineStr">
        <is>
          <t>JÄMTLANDS LÄN</t>
        </is>
      </c>
      <c r="E1117" t="inlineStr">
        <is>
          <t>KROKOM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57259-2023</t>
        </is>
      </c>
      <c r="B1118" s="1" t="n">
        <v>45245</v>
      </c>
      <c r="C1118" s="1" t="n">
        <v>45582</v>
      </c>
      <c r="D1118" t="inlineStr">
        <is>
          <t>JÄMTLANDS LÄN</t>
        </is>
      </c>
      <c r="E1118" t="inlineStr">
        <is>
          <t>KROKOM</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57149-2023</t>
        </is>
      </c>
      <c r="B1119" s="1" t="n">
        <v>45245</v>
      </c>
      <c r="C1119" s="1" t="n">
        <v>45582</v>
      </c>
      <c r="D1119" t="inlineStr">
        <is>
          <t>JÄMTLANDS LÄN</t>
        </is>
      </c>
      <c r="E1119" t="inlineStr">
        <is>
          <t>KROKOM</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57402-2023</t>
        </is>
      </c>
      <c r="B1120" s="1" t="n">
        <v>45246</v>
      </c>
      <c r="C1120" s="1" t="n">
        <v>45582</v>
      </c>
      <c r="D1120" t="inlineStr">
        <is>
          <t>JÄMTLANDS LÄN</t>
        </is>
      </c>
      <c r="E1120" t="inlineStr">
        <is>
          <t>KROKOM</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57401-2023</t>
        </is>
      </c>
      <c r="B1121" s="1" t="n">
        <v>45246</v>
      </c>
      <c r="C1121" s="1" t="n">
        <v>45582</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57514-2023</t>
        </is>
      </c>
      <c r="B1122" s="1" t="n">
        <v>45246</v>
      </c>
      <c r="C1122" s="1" t="n">
        <v>45582</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57782-2023</t>
        </is>
      </c>
      <c r="B1123" s="1" t="n">
        <v>45246</v>
      </c>
      <c r="C1123" s="1" t="n">
        <v>45582</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58569-2023</t>
        </is>
      </c>
      <c r="B1124" s="1" t="n">
        <v>45246</v>
      </c>
      <c r="C1124" s="1" t="n">
        <v>45582</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58556-2023</t>
        </is>
      </c>
      <c r="B1125" s="1" t="n">
        <v>45246</v>
      </c>
      <c r="C1125" s="1" t="n">
        <v>45582</v>
      </c>
      <c r="D1125" t="inlineStr">
        <is>
          <t>JÄMTLANDS LÄN</t>
        </is>
      </c>
      <c r="E1125" t="inlineStr">
        <is>
          <t>KROKOM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58594-2023</t>
        </is>
      </c>
      <c r="B1126" s="1" t="n">
        <v>45246</v>
      </c>
      <c r="C1126" s="1" t="n">
        <v>45582</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58563-2023</t>
        </is>
      </c>
      <c r="B1127" s="1" t="n">
        <v>45246</v>
      </c>
      <c r="C1127" s="1" t="n">
        <v>45582</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57820-2023</t>
        </is>
      </c>
      <c r="B1128" s="1" t="n">
        <v>45247</v>
      </c>
      <c r="C1128" s="1" t="n">
        <v>45582</v>
      </c>
      <c r="D1128" t="inlineStr">
        <is>
          <t>JÄMTLANDS LÄN</t>
        </is>
      </c>
      <c r="E1128" t="inlineStr">
        <is>
          <t>KROKOM</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57847-2023</t>
        </is>
      </c>
      <c r="B1129" s="1" t="n">
        <v>45247</v>
      </c>
      <c r="C1129" s="1" t="n">
        <v>45582</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57814-2023</t>
        </is>
      </c>
      <c r="B1130" s="1" t="n">
        <v>45247</v>
      </c>
      <c r="C1130" s="1" t="n">
        <v>45582</v>
      </c>
      <c r="D1130" t="inlineStr">
        <is>
          <t>JÄMTLANDS LÄN</t>
        </is>
      </c>
      <c r="E1130" t="inlineStr">
        <is>
          <t>KROKOM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57856-2023</t>
        </is>
      </c>
      <c r="B1131" s="1" t="n">
        <v>45247</v>
      </c>
      <c r="C1131" s="1" t="n">
        <v>45582</v>
      </c>
      <c r="D1131" t="inlineStr">
        <is>
          <t>JÄMTLANDS LÄN</t>
        </is>
      </c>
      <c r="E1131" t="inlineStr">
        <is>
          <t>KROKOM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57861-2023</t>
        </is>
      </c>
      <c r="B1132" s="1" t="n">
        <v>45247</v>
      </c>
      <c r="C1132" s="1" t="n">
        <v>45582</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57849-2023</t>
        </is>
      </c>
      <c r="B1133" s="1" t="n">
        <v>45247</v>
      </c>
      <c r="C1133" s="1" t="n">
        <v>45582</v>
      </c>
      <c r="D1133" t="inlineStr">
        <is>
          <t>JÄMTLANDS LÄN</t>
        </is>
      </c>
      <c r="E1133" t="inlineStr">
        <is>
          <t>KROKOM</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58355-2023</t>
        </is>
      </c>
      <c r="B1134" s="1" t="n">
        <v>45250</v>
      </c>
      <c r="C1134" s="1" t="n">
        <v>45582</v>
      </c>
      <c r="D1134" t="inlineStr">
        <is>
          <t>JÄMTLANDS LÄN</t>
        </is>
      </c>
      <c r="E1134" t="inlineStr">
        <is>
          <t>KROKOM</t>
        </is>
      </c>
      <c r="F1134" t="inlineStr">
        <is>
          <t>Övriga Aktiebolag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58264-2023</t>
        </is>
      </c>
      <c r="B1135" s="1" t="n">
        <v>45250</v>
      </c>
      <c r="C1135" s="1" t="n">
        <v>45582</v>
      </c>
      <c r="D1135" t="inlineStr">
        <is>
          <t>JÄMTLANDS LÄN</t>
        </is>
      </c>
      <c r="E1135" t="inlineStr">
        <is>
          <t>KROKOM</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58677-2023</t>
        </is>
      </c>
      <c r="B1136" s="1" t="n">
        <v>45251</v>
      </c>
      <c r="C1136" s="1" t="n">
        <v>45582</v>
      </c>
      <c r="D1136" t="inlineStr">
        <is>
          <t>JÄMTLANDS LÄN</t>
        </is>
      </c>
      <c r="E1136" t="inlineStr">
        <is>
          <t>KROKOM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58942-2023</t>
        </is>
      </c>
      <c r="B1137" s="1" t="n">
        <v>45252</v>
      </c>
      <c r="C1137" s="1" t="n">
        <v>45582</v>
      </c>
      <c r="D1137" t="inlineStr">
        <is>
          <t>JÄMTLANDS LÄN</t>
        </is>
      </c>
      <c r="E1137" t="inlineStr">
        <is>
          <t>KROKOM</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58951-2023</t>
        </is>
      </c>
      <c r="B1138" s="1" t="n">
        <v>45252</v>
      </c>
      <c r="C1138" s="1" t="n">
        <v>45582</v>
      </c>
      <c r="D1138" t="inlineStr">
        <is>
          <t>JÄMTLANDS LÄN</t>
        </is>
      </c>
      <c r="E1138" t="inlineStr">
        <is>
          <t>KROKOM</t>
        </is>
      </c>
      <c r="F1138" t="inlineStr">
        <is>
          <t>Övriga Aktiebolag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58798-2023</t>
        </is>
      </c>
      <c r="B1139" s="1" t="n">
        <v>45252</v>
      </c>
      <c r="C1139" s="1" t="n">
        <v>45582</v>
      </c>
      <c r="D1139" t="inlineStr">
        <is>
          <t>JÄMTLANDS LÄN</t>
        </is>
      </c>
      <c r="E1139" t="inlineStr">
        <is>
          <t>KROKOM</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59031-2023</t>
        </is>
      </c>
      <c r="B1140" s="1" t="n">
        <v>45252</v>
      </c>
      <c r="C1140" s="1" t="n">
        <v>45582</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59293-2023</t>
        </is>
      </c>
      <c r="B1141" s="1" t="n">
        <v>45253</v>
      </c>
      <c r="C1141" s="1" t="n">
        <v>45582</v>
      </c>
      <c r="D1141" t="inlineStr">
        <is>
          <t>JÄMTLANDS LÄN</t>
        </is>
      </c>
      <c r="E1141" t="inlineStr">
        <is>
          <t>KROKOM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59622-2023</t>
        </is>
      </c>
      <c r="B1142" s="1" t="n">
        <v>45254</v>
      </c>
      <c r="C1142" s="1" t="n">
        <v>45582</v>
      </c>
      <c r="D1142" t="inlineStr">
        <is>
          <t>JÄMTLANDS LÄN</t>
        </is>
      </c>
      <c r="E1142" t="inlineStr">
        <is>
          <t>KROKOM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59668-2023</t>
        </is>
      </c>
      <c r="B1143" s="1" t="n">
        <v>45254</v>
      </c>
      <c r="C1143" s="1" t="n">
        <v>45582</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59819-2023</t>
        </is>
      </c>
      <c r="B1144" s="1" t="n">
        <v>45257</v>
      </c>
      <c r="C1144" s="1" t="n">
        <v>45582</v>
      </c>
      <c r="D1144" t="inlineStr">
        <is>
          <t>JÄMTLANDS LÄN</t>
        </is>
      </c>
      <c r="E1144" t="inlineStr">
        <is>
          <t>KROKOM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59843-2023</t>
        </is>
      </c>
      <c r="B1145" s="1" t="n">
        <v>45257</v>
      </c>
      <c r="C1145" s="1" t="n">
        <v>45582</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59973-2023</t>
        </is>
      </c>
      <c r="B1146" s="1" t="n">
        <v>45257</v>
      </c>
      <c r="C1146" s="1" t="n">
        <v>45582</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60006-2023</t>
        </is>
      </c>
      <c r="B1147" s="1" t="n">
        <v>45258</v>
      </c>
      <c r="C1147" s="1" t="n">
        <v>45582</v>
      </c>
      <c r="D1147" t="inlineStr">
        <is>
          <t>JÄMTLANDS LÄN</t>
        </is>
      </c>
      <c r="E1147" t="inlineStr">
        <is>
          <t>KROKOM</t>
        </is>
      </c>
      <c r="F1147" t="inlineStr">
        <is>
          <t>Kommuner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60102-2023</t>
        </is>
      </c>
      <c r="B1148" s="1" t="n">
        <v>45257</v>
      </c>
      <c r="C1148" s="1" t="n">
        <v>45582</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59828-2023</t>
        </is>
      </c>
      <c r="B1149" s="1" t="n">
        <v>45257</v>
      </c>
      <c r="C1149" s="1" t="n">
        <v>45582</v>
      </c>
      <c r="D1149" t="inlineStr">
        <is>
          <t>JÄMTLANDS LÄN</t>
        </is>
      </c>
      <c r="E1149" t="inlineStr">
        <is>
          <t>KROKOM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60007-2023</t>
        </is>
      </c>
      <c r="B1150" s="1" t="n">
        <v>45258</v>
      </c>
      <c r="C1150" s="1" t="n">
        <v>45582</v>
      </c>
      <c r="D1150" t="inlineStr">
        <is>
          <t>JÄMTLANDS LÄN</t>
        </is>
      </c>
      <c r="E1150" t="inlineStr">
        <is>
          <t>KROKOM</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60333-2023</t>
        </is>
      </c>
      <c r="B1151" s="1" t="n">
        <v>45258</v>
      </c>
      <c r="C1151" s="1" t="n">
        <v>45582</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60364-2023</t>
        </is>
      </c>
      <c r="B1152" s="1" t="n">
        <v>45259</v>
      </c>
      <c r="C1152" s="1" t="n">
        <v>45582</v>
      </c>
      <c r="D1152" t="inlineStr">
        <is>
          <t>JÄMTLANDS LÄN</t>
        </is>
      </c>
      <c r="E1152" t="inlineStr">
        <is>
          <t>KROKOM</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60680-2023</t>
        </is>
      </c>
      <c r="B1153" s="1" t="n">
        <v>45260</v>
      </c>
      <c r="C1153" s="1" t="n">
        <v>45582</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61078-2023</t>
        </is>
      </c>
      <c r="B1154" s="1" t="n">
        <v>45261</v>
      </c>
      <c r="C1154" s="1" t="n">
        <v>45582</v>
      </c>
      <c r="D1154" t="inlineStr">
        <is>
          <t>JÄMTLANDS LÄN</t>
        </is>
      </c>
      <c r="E1154" t="inlineStr">
        <is>
          <t>KROKOM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61337-2023</t>
        </is>
      </c>
      <c r="B1155" s="1" t="n">
        <v>45264</v>
      </c>
      <c r="C1155" s="1" t="n">
        <v>45582</v>
      </c>
      <c r="D1155" t="inlineStr">
        <is>
          <t>JÄMTLANDS LÄN</t>
        </is>
      </c>
      <c r="E1155" t="inlineStr">
        <is>
          <t>KROKOM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61329-2023</t>
        </is>
      </c>
      <c r="B1156" s="1" t="n">
        <v>45264</v>
      </c>
      <c r="C1156" s="1" t="n">
        <v>45582</v>
      </c>
      <c r="D1156" t="inlineStr">
        <is>
          <t>JÄMTLANDS LÄN</t>
        </is>
      </c>
      <c r="E1156" t="inlineStr">
        <is>
          <t>KROKOM</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61886-2023</t>
        </is>
      </c>
      <c r="B1157" s="1" t="n">
        <v>45264</v>
      </c>
      <c r="C1157" s="1" t="n">
        <v>45582</v>
      </c>
      <c r="D1157" t="inlineStr">
        <is>
          <t>JÄMTLANDS LÄN</t>
        </is>
      </c>
      <c r="E1157" t="inlineStr">
        <is>
          <t>KROKOM</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61615-2023</t>
        </is>
      </c>
      <c r="B1158" s="1" t="n">
        <v>45265</v>
      </c>
      <c r="C1158" s="1" t="n">
        <v>45582</v>
      </c>
      <c r="D1158" t="inlineStr">
        <is>
          <t>JÄMTLANDS LÄN</t>
        </is>
      </c>
      <c r="E1158" t="inlineStr">
        <is>
          <t>KROKOM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62042-2023</t>
        </is>
      </c>
      <c r="B1159" s="1" t="n">
        <v>45265</v>
      </c>
      <c r="C1159" s="1" t="n">
        <v>45582</v>
      </c>
      <c r="D1159" t="inlineStr">
        <is>
          <t>JÄMTLANDS LÄN</t>
        </is>
      </c>
      <c r="E1159" t="inlineStr">
        <is>
          <t>KROKOM</t>
        </is>
      </c>
      <c r="F1159" t="inlineStr">
        <is>
          <t>Övriga statliga verk och myndigheter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62058-2023</t>
        </is>
      </c>
      <c r="B1160" s="1" t="n">
        <v>45265</v>
      </c>
      <c r="C1160" s="1" t="n">
        <v>45582</v>
      </c>
      <c r="D1160" t="inlineStr">
        <is>
          <t>JÄMTLANDS LÄN</t>
        </is>
      </c>
      <c r="E1160" t="inlineStr">
        <is>
          <t>KROKOM</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62117-2023</t>
        </is>
      </c>
      <c r="B1161" s="1" t="n">
        <v>45266</v>
      </c>
      <c r="C1161" s="1" t="n">
        <v>45582</v>
      </c>
      <c r="D1161" t="inlineStr">
        <is>
          <t>JÄMTLANDS LÄN</t>
        </is>
      </c>
      <c r="E1161" t="inlineStr">
        <is>
          <t>KROKOM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62413-2023</t>
        </is>
      </c>
      <c r="B1162" s="1" t="n">
        <v>45266</v>
      </c>
      <c r="C1162" s="1" t="n">
        <v>45582</v>
      </c>
      <c r="D1162" t="inlineStr">
        <is>
          <t>JÄMTLANDS LÄN</t>
        </is>
      </c>
      <c r="E1162" t="inlineStr">
        <is>
          <t>KROKOM</t>
        </is>
      </c>
      <c r="G1162" t="n">
        <v>12.8</v>
      </c>
      <c r="H1162" t="n">
        <v>0</v>
      </c>
      <c r="I1162" t="n">
        <v>0</v>
      </c>
      <c r="J1162" t="n">
        <v>0</v>
      </c>
      <c r="K1162" t="n">
        <v>0</v>
      </c>
      <c r="L1162" t="n">
        <v>0</v>
      </c>
      <c r="M1162" t="n">
        <v>0</v>
      </c>
      <c r="N1162" t="n">
        <v>0</v>
      </c>
      <c r="O1162" t="n">
        <v>0</v>
      </c>
      <c r="P1162" t="n">
        <v>0</v>
      </c>
      <c r="Q1162" t="n">
        <v>0</v>
      </c>
      <c r="R1162" s="2" t="inlineStr"/>
    </row>
    <row r="1163" ht="15" customHeight="1">
      <c r="A1163" t="inlineStr">
        <is>
          <t>A 62929-2023</t>
        </is>
      </c>
      <c r="B1163" s="1" t="n">
        <v>45271</v>
      </c>
      <c r="C1163" s="1" t="n">
        <v>45582</v>
      </c>
      <c r="D1163" t="inlineStr">
        <is>
          <t>JÄMTLANDS LÄN</t>
        </is>
      </c>
      <c r="E1163" t="inlineStr">
        <is>
          <t>KROKOM</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63165-2023</t>
        </is>
      </c>
      <c r="B1164" s="1" t="n">
        <v>45272</v>
      </c>
      <c r="C1164" s="1" t="n">
        <v>45582</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63533-2023</t>
        </is>
      </c>
      <c r="B1165" s="1" t="n">
        <v>45274</v>
      </c>
      <c r="C1165" s="1" t="n">
        <v>45582</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63313-2023</t>
        </is>
      </c>
      <c r="B1166" s="1" t="n">
        <v>45274</v>
      </c>
      <c r="C1166" s="1" t="n">
        <v>45582</v>
      </c>
      <c r="D1166" t="inlineStr">
        <is>
          <t>JÄMTLANDS LÄN</t>
        </is>
      </c>
      <c r="E1166" t="inlineStr">
        <is>
          <t>KROKOM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63532-2023</t>
        </is>
      </c>
      <c r="B1167" s="1" t="n">
        <v>45274</v>
      </c>
      <c r="C1167" s="1" t="n">
        <v>45582</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63960-2023</t>
        </is>
      </c>
      <c r="B1168" s="1" t="n">
        <v>45278</v>
      </c>
      <c r="C1168" s="1" t="n">
        <v>45582</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64163-2023</t>
        </is>
      </c>
      <c r="B1169" s="1" t="n">
        <v>45279</v>
      </c>
      <c r="C1169" s="1" t="n">
        <v>45582</v>
      </c>
      <c r="D1169" t="inlineStr">
        <is>
          <t>JÄMTLANDS LÄN</t>
        </is>
      </c>
      <c r="E1169" t="inlineStr">
        <is>
          <t>KROKOM</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64174-2023</t>
        </is>
      </c>
      <c r="B1170" s="1" t="n">
        <v>45279</v>
      </c>
      <c r="C1170" s="1" t="n">
        <v>45582</v>
      </c>
      <c r="D1170" t="inlineStr">
        <is>
          <t>JÄMTLANDS LÄN</t>
        </is>
      </c>
      <c r="E1170" t="inlineStr">
        <is>
          <t>KROKOM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64273-2023</t>
        </is>
      </c>
      <c r="B1171" s="1" t="n">
        <v>45279</v>
      </c>
      <c r="C1171" s="1" t="n">
        <v>45582</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64662-2023</t>
        </is>
      </c>
      <c r="B1172" s="1" t="n">
        <v>45281</v>
      </c>
      <c r="C1172" s="1" t="n">
        <v>45582</v>
      </c>
      <c r="D1172" t="inlineStr">
        <is>
          <t>JÄMTLANDS LÄN</t>
        </is>
      </c>
      <c r="E1172" t="inlineStr">
        <is>
          <t>KROKOM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64768-2023</t>
        </is>
      </c>
      <c r="B1173" s="1" t="n">
        <v>45282</v>
      </c>
      <c r="C1173" s="1" t="n">
        <v>45582</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45582</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65236-2023</t>
        </is>
      </c>
      <c r="B1175" s="1" t="n">
        <v>45289</v>
      </c>
      <c r="C1175" s="1" t="n">
        <v>45582</v>
      </c>
      <c r="D1175" t="inlineStr">
        <is>
          <t>JÄMTLANDS LÄN</t>
        </is>
      </c>
      <c r="E1175" t="inlineStr">
        <is>
          <t>KROKOM</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417-2024</t>
        </is>
      </c>
      <c r="B1176" s="1" t="n">
        <v>45296</v>
      </c>
      <c r="C1176" s="1" t="n">
        <v>45582</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704-2024</t>
        </is>
      </c>
      <c r="B1177" s="1" t="n">
        <v>45300</v>
      </c>
      <c r="C1177" s="1" t="n">
        <v>45582</v>
      </c>
      <c r="D1177" t="inlineStr">
        <is>
          <t>JÄMTLANDS LÄN</t>
        </is>
      </c>
      <c r="E1177" t="inlineStr">
        <is>
          <t>KROKOM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785-2024</t>
        </is>
      </c>
      <c r="B1178" s="1" t="n">
        <v>45300</v>
      </c>
      <c r="C1178" s="1" t="n">
        <v>45582</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773-2024</t>
        </is>
      </c>
      <c r="B1179" s="1" t="n">
        <v>45300</v>
      </c>
      <c r="C1179" s="1" t="n">
        <v>45582</v>
      </c>
      <c r="D1179" t="inlineStr">
        <is>
          <t>JÄMTLANDS LÄN</t>
        </is>
      </c>
      <c r="E1179" t="inlineStr">
        <is>
          <t>KROKOM</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739-2024</t>
        </is>
      </c>
      <c r="B1180" s="1" t="n">
        <v>45300</v>
      </c>
      <c r="C1180" s="1" t="n">
        <v>45582</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715-2024</t>
        </is>
      </c>
      <c r="B1181" s="1" t="n">
        <v>45300</v>
      </c>
      <c r="C1181" s="1" t="n">
        <v>45582</v>
      </c>
      <c r="D1181" t="inlineStr">
        <is>
          <t>JÄMTLANDS LÄN</t>
        </is>
      </c>
      <c r="E1181" t="inlineStr">
        <is>
          <t>KROKOM</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1109-2024</t>
        </is>
      </c>
      <c r="B1182" s="1" t="n">
        <v>45302</v>
      </c>
      <c r="C1182" s="1" t="n">
        <v>45582</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1464-2024</t>
        </is>
      </c>
      <c r="B1183" s="1" t="n">
        <v>45304</v>
      </c>
      <c r="C1183" s="1" t="n">
        <v>45582</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1556-2024</t>
        </is>
      </c>
      <c r="B1184" s="1" t="n">
        <v>45306</v>
      </c>
      <c r="C1184" s="1" t="n">
        <v>45582</v>
      </c>
      <c r="D1184" t="inlineStr">
        <is>
          <t>JÄMTLANDS LÄN</t>
        </is>
      </c>
      <c r="E1184" t="inlineStr">
        <is>
          <t>KROKOM</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2017-2024</t>
        </is>
      </c>
      <c r="B1185" s="1" t="n">
        <v>45308</v>
      </c>
      <c r="C1185" s="1" t="n">
        <v>45582</v>
      </c>
      <c r="D1185" t="inlineStr">
        <is>
          <t>JÄMTLANDS LÄN</t>
        </is>
      </c>
      <c r="E1185" t="inlineStr">
        <is>
          <t>KROKOM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2237-2024</t>
        </is>
      </c>
      <c r="B1186" s="1" t="n">
        <v>45309</v>
      </c>
      <c r="C1186" s="1" t="n">
        <v>45582</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2238-2024</t>
        </is>
      </c>
      <c r="B1187" s="1" t="n">
        <v>45309</v>
      </c>
      <c r="C1187" s="1" t="n">
        <v>45582</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2236-2024</t>
        </is>
      </c>
      <c r="B1188" s="1" t="n">
        <v>45309</v>
      </c>
      <c r="C1188" s="1" t="n">
        <v>45582</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2257-2024</t>
        </is>
      </c>
      <c r="B1189" s="1" t="n">
        <v>45310</v>
      </c>
      <c r="C1189" s="1" t="n">
        <v>45582</v>
      </c>
      <c r="D1189" t="inlineStr">
        <is>
          <t>JÄMTLANDS LÄN</t>
        </is>
      </c>
      <c r="E1189" t="inlineStr">
        <is>
          <t>KROKOM</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2628-2024</t>
        </is>
      </c>
      <c r="B1190" s="1" t="n">
        <v>45313</v>
      </c>
      <c r="C1190" s="1" t="n">
        <v>45582</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2775-2024</t>
        </is>
      </c>
      <c r="B1191" s="1" t="n">
        <v>45314</v>
      </c>
      <c r="C1191" s="1" t="n">
        <v>45582</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3188-2024</t>
        </is>
      </c>
      <c r="B1192" s="1" t="n">
        <v>45316</v>
      </c>
      <c r="C1192" s="1" t="n">
        <v>45582</v>
      </c>
      <c r="D1192" t="inlineStr">
        <is>
          <t>JÄMTLANDS LÄN</t>
        </is>
      </c>
      <c r="E1192" t="inlineStr">
        <is>
          <t>KROKOM</t>
        </is>
      </c>
      <c r="G1192" t="n">
        <v>24.9</v>
      </c>
      <c r="H1192" t="n">
        <v>0</v>
      </c>
      <c r="I1192" t="n">
        <v>0</v>
      </c>
      <c r="J1192" t="n">
        <v>0</v>
      </c>
      <c r="K1192" t="n">
        <v>0</v>
      </c>
      <c r="L1192" t="n">
        <v>0</v>
      </c>
      <c r="M1192" t="n">
        <v>0</v>
      </c>
      <c r="N1192" t="n">
        <v>0</v>
      </c>
      <c r="O1192" t="n">
        <v>0</v>
      </c>
      <c r="P1192" t="n">
        <v>0</v>
      </c>
      <c r="Q1192" t="n">
        <v>0</v>
      </c>
      <c r="R1192" s="2" t="inlineStr"/>
    </row>
    <row r="1193" ht="15" customHeight="1">
      <c r="A1193" t="inlineStr">
        <is>
          <t>A 3214-2024</t>
        </is>
      </c>
      <c r="B1193" s="1" t="n">
        <v>45316</v>
      </c>
      <c r="C1193" s="1" t="n">
        <v>45582</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3257-2024</t>
        </is>
      </c>
      <c r="B1194" s="1" t="n">
        <v>45316</v>
      </c>
      <c r="C1194" s="1" t="n">
        <v>45582</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4354-2024</t>
        </is>
      </c>
      <c r="B1195" s="1" t="n">
        <v>45324</v>
      </c>
      <c r="C1195" s="1" t="n">
        <v>45582</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4355-2024</t>
        </is>
      </c>
      <c r="B1196" s="1" t="n">
        <v>45324</v>
      </c>
      <c r="C1196" s="1" t="n">
        <v>45582</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4353-2024</t>
        </is>
      </c>
      <c r="B1197" s="1" t="n">
        <v>45324</v>
      </c>
      <c r="C1197" s="1" t="n">
        <v>45582</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5438-2024</t>
        </is>
      </c>
      <c r="B1198" s="1" t="n">
        <v>45331</v>
      </c>
      <c r="C1198" s="1" t="n">
        <v>45582</v>
      </c>
      <c r="D1198" t="inlineStr">
        <is>
          <t>JÄMTLANDS LÄN</t>
        </is>
      </c>
      <c r="E1198" t="inlineStr">
        <is>
          <t>KROKOM</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5437-2024</t>
        </is>
      </c>
      <c r="B1199" s="1" t="n">
        <v>45331</v>
      </c>
      <c r="C1199" s="1" t="n">
        <v>45582</v>
      </c>
      <c r="D1199" t="inlineStr">
        <is>
          <t>JÄMTLANDS LÄN</t>
        </is>
      </c>
      <c r="E1199" t="inlineStr">
        <is>
          <t>KROKOM</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5440-2024</t>
        </is>
      </c>
      <c r="B1200" s="1" t="n">
        <v>45331</v>
      </c>
      <c r="C1200" s="1" t="n">
        <v>45582</v>
      </c>
      <c r="D1200" t="inlineStr">
        <is>
          <t>JÄMTLANDS LÄN</t>
        </is>
      </c>
      <c r="E1200" t="inlineStr">
        <is>
          <t>KROKOM</t>
        </is>
      </c>
      <c r="F1200" t="inlineStr">
        <is>
          <t>SCA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6283-2024</t>
        </is>
      </c>
      <c r="B1201" s="1" t="n">
        <v>45337</v>
      </c>
      <c r="C1201" s="1" t="n">
        <v>45582</v>
      </c>
      <c r="D1201" t="inlineStr">
        <is>
          <t>JÄMTLANDS LÄN</t>
        </is>
      </c>
      <c r="E1201" t="inlineStr">
        <is>
          <t>KROKOM</t>
        </is>
      </c>
      <c r="F1201" t="inlineStr">
        <is>
          <t>SCA</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6284-2024</t>
        </is>
      </c>
      <c r="B1202" s="1" t="n">
        <v>45337</v>
      </c>
      <c r="C1202" s="1" t="n">
        <v>45582</v>
      </c>
      <c r="D1202" t="inlineStr">
        <is>
          <t>JÄMTLANDS LÄN</t>
        </is>
      </c>
      <c r="E1202" t="inlineStr">
        <is>
          <t>KROKOM</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6403-2024</t>
        </is>
      </c>
      <c r="B1203" s="1" t="n">
        <v>45338</v>
      </c>
      <c r="C1203" s="1" t="n">
        <v>45582</v>
      </c>
      <c r="D1203" t="inlineStr">
        <is>
          <t>JÄMTLANDS LÄN</t>
        </is>
      </c>
      <c r="E1203" t="inlineStr">
        <is>
          <t>KROKOM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6482-2024</t>
        </is>
      </c>
      <c r="B1204" s="1" t="n">
        <v>45338</v>
      </c>
      <c r="C1204" s="1" t="n">
        <v>45582</v>
      </c>
      <c r="D1204" t="inlineStr">
        <is>
          <t>JÄMTLANDS LÄN</t>
        </is>
      </c>
      <c r="E1204" t="inlineStr">
        <is>
          <t>KROKOM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6483-2024</t>
        </is>
      </c>
      <c r="B1205" s="1" t="n">
        <v>45338</v>
      </c>
      <c r="C1205" s="1" t="n">
        <v>45582</v>
      </c>
      <c r="D1205" t="inlineStr">
        <is>
          <t>JÄMTLANDS LÄN</t>
        </is>
      </c>
      <c r="E1205" t="inlineStr">
        <is>
          <t>KROKOM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6900-2024</t>
        </is>
      </c>
      <c r="B1206" s="1" t="n">
        <v>45342</v>
      </c>
      <c r="C1206" s="1" t="n">
        <v>45582</v>
      </c>
      <c r="D1206" t="inlineStr">
        <is>
          <t>JÄMTLANDS LÄN</t>
        </is>
      </c>
      <c r="E1206" t="inlineStr">
        <is>
          <t>KROKOM</t>
        </is>
      </c>
      <c r="F1206" t="inlineStr">
        <is>
          <t>SCA</t>
        </is>
      </c>
      <c r="G1206" t="n">
        <v>64.59999999999999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6898-2024</t>
        </is>
      </c>
      <c r="B1207" s="1" t="n">
        <v>45342</v>
      </c>
      <c r="C1207" s="1" t="n">
        <v>45582</v>
      </c>
      <c r="D1207" t="inlineStr">
        <is>
          <t>JÄMTLANDS LÄN</t>
        </is>
      </c>
      <c r="E1207" t="inlineStr">
        <is>
          <t>KROKOM</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7111-2024</t>
        </is>
      </c>
      <c r="B1208" s="1" t="n">
        <v>45343</v>
      </c>
      <c r="C1208" s="1" t="n">
        <v>45582</v>
      </c>
      <c r="D1208" t="inlineStr">
        <is>
          <t>JÄMTLANDS LÄN</t>
        </is>
      </c>
      <c r="E1208" t="inlineStr">
        <is>
          <t>KROKOM</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7761-2024</t>
        </is>
      </c>
      <c r="B1209" s="1" t="n">
        <v>45348</v>
      </c>
      <c r="C1209" s="1" t="n">
        <v>45582</v>
      </c>
      <c r="D1209" t="inlineStr">
        <is>
          <t>JÄMTLANDS LÄN</t>
        </is>
      </c>
      <c r="E1209" t="inlineStr">
        <is>
          <t>KROKOM</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7763-2024</t>
        </is>
      </c>
      <c r="B1210" s="1" t="n">
        <v>45348</v>
      </c>
      <c r="C1210" s="1" t="n">
        <v>45582</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7863-2024</t>
        </is>
      </c>
      <c r="B1211" s="1" t="n">
        <v>45350</v>
      </c>
      <c r="C1211" s="1" t="n">
        <v>45582</v>
      </c>
      <c r="D1211" t="inlineStr">
        <is>
          <t>JÄMTLANDS LÄN</t>
        </is>
      </c>
      <c r="E1211" t="inlineStr">
        <is>
          <t>KROKOM</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8130-2024</t>
        </is>
      </c>
      <c r="B1212" s="1" t="n">
        <v>45351</v>
      </c>
      <c r="C1212" s="1" t="n">
        <v>45582</v>
      </c>
      <c r="D1212" t="inlineStr">
        <is>
          <t>JÄMTLANDS LÄN</t>
        </is>
      </c>
      <c r="E1212" t="inlineStr">
        <is>
          <t>KROKOM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9750-2024</t>
        </is>
      </c>
      <c r="B1213" s="1" t="n">
        <v>45362</v>
      </c>
      <c r="C1213" s="1" t="n">
        <v>45582</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9755-2024</t>
        </is>
      </c>
      <c r="B1214" s="1" t="n">
        <v>45362</v>
      </c>
      <c r="C1214" s="1" t="n">
        <v>45582</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10597-2024</t>
        </is>
      </c>
      <c r="B1215" s="1" t="n">
        <v>45366</v>
      </c>
      <c r="C1215" s="1" t="n">
        <v>45582</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10612-2024</t>
        </is>
      </c>
      <c r="B1216" s="1" t="n">
        <v>45367</v>
      </c>
      <c r="C1216" s="1" t="n">
        <v>45582</v>
      </c>
      <c r="D1216" t="inlineStr">
        <is>
          <t>JÄMTLANDS LÄN</t>
        </is>
      </c>
      <c r="E1216" t="inlineStr">
        <is>
          <t>KROKOM</t>
        </is>
      </c>
      <c r="F1216" t="inlineStr">
        <is>
          <t>SCA</t>
        </is>
      </c>
      <c r="G1216" t="n">
        <v>25.3</v>
      </c>
      <c r="H1216" t="n">
        <v>0</v>
      </c>
      <c r="I1216" t="n">
        <v>0</v>
      </c>
      <c r="J1216" t="n">
        <v>0</v>
      </c>
      <c r="K1216" t="n">
        <v>0</v>
      </c>
      <c r="L1216" t="n">
        <v>0</v>
      </c>
      <c r="M1216" t="n">
        <v>0</v>
      </c>
      <c r="N1216" t="n">
        <v>0</v>
      </c>
      <c r="O1216" t="n">
        <v>0</v>
      </c>
      <c r="P1216" t="n">
        <v>0</v>
      </c>
      <c r="Q1216" t="n">
        <v>0</v>
      </c>
      <c r="R1216" s="2" t="inlineStr"/>
    </row>
    <row r="1217" ht="15" customHeight="1">
      <c r="A1217" t="inlineStr">
        <is>
          <t>A 10842-2024</t>
        </is>
      </c>
      <c r="B1217" s="1" t="n">
        <v>45369</v>
      </c>
      <c r="C1217" s="1" t="n">
        <v>45582</v>
      </c>
      <c r="D1217" t="inlineStr">
        <is>
          <t>JÄMTLANDS LÄN</t>
        </is>
      </c>
      <c r="E1217" t="inlineStr">
        <is>
          <t>KROKOM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10773-2024</t>
        </is>
      </c>
      <c r="B1218" s="1" t="n">
        <v>45369</v>
      </c>
      <c r="C1218" s="1" t="n">
        <v>45582</v>
      </c>
      <c r="D1218" t="inlineStr">
        <is>
          <t>JÄMTLANDS LÄN</t>
        </is>
      </c>
      <c r="E1218" t="inlineStr">
        <is>
          <t>KROKOM</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10961-2024</t>
        </is>
      </c>
      <c r="B1219" s="1" t="n">
        <v>45370</v>
      </c>
      <c r="C1219" s="1" t="n">
        <v>45582</v>
      </c>
      <c r="D1219" t="inlineStr">
        <is>
          <t>JÄMTLANDS LÄN</t>
        </is>
      </c>
      <c r="E1219" t="inlineStr">
        <is>
          <t>KROKOM</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11059-2024</t>
        </is>
      </c>
      <c r="B1220" s="1" t="n">
        <v>45370</v>
      </c>
      <c r="C1220" s="1" t="n">
        <v>45582</v>
      </c>
      <c r="D1220" t="inlineStr">
        <is>
          <t>JÄMTLANDS LÄN</t>
        </is>
      </c>
      <c r="E1220" t="inlineStr">
        <is>
          <t>KROKOM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11045-2024</t>
        </is>
      </c>
      <c r="B1221" s="1" t="n">
        <v>45370</v>
      </c>
      <c r="C1221" s="1" t="n">
        <v>45582</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10976-2024</t>
        </is>
      </c>
      <c r="B1222" s="1" t="n">
        <v>45370</v>
      </c>
      <c r="C1222" s="1" t="n">
        <v>45582</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11056-2024</t>
        </is>
      </c>
      <c r="B1223" s="1" t="n">
        <v>45370</v>
      </c>
      <c r="C1223" s="1" t="n">
        <v>45582</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11092-2024</t>
        </is>
      </c>
      <c r="B1224" s="1" t="n">
        <v>45370</v>
      </c>
      <c r="C1224" s="1" t="n">
        <v>45582</v>
      </c>
      <c r="D1224" t="inlineStr">
        <is>
          <t>JÄMTLANDS LÄN</t>
        </is>
      </c>
      <c r="E1224" t="inlineStr">
        <is>
          <t>KROKOM</t>
        </is>
      </c>
      <c r="F1224" t="inlineStr">
        <is>
          <t>SCA</t>
        </is>
      </c>
      <c r="G1224" t="n">
        <v>27.2</v>
      </c>
      <c r="H1224" t="n">
        <v>0</v>
      </c>
      <c r="I1224" t="n">
        <v>0</v>
      </c>
      <c r="J1224" t="n">
        <v>0</v>
      </c>
      <c r="K1224" t="n">
        <v>0</v>
      </c>
      <c r="L1224" t="n">
        <v>0</v>
      </c>
      <c r="M1224" t="n">
        <v>0</v>
      </c>
      <c r="N1224" t="n">
        <v>0</v>
      </c>
      <c r="O1224" t="n">
        <v>0</v>
      </c>
      <c r="P1224" t="n">
        <v>0</v>
      </c>
      <c r="Q1224" t="n">
        <v>0</v>
      </c>
      <c r="R1224" s="2" t="inlineStr"/>
    </row>
    <row r="1225" ht="15" customHeight="1">
      <c r="A1225" t="inlineStr">
        <is>
          <t>A 11097-2024</t>
        </is>
      </c>
      <c r="B1225" s="1" t="n">
        <v>45370</v>
      </c>
      <c r="C1225" s="1" t="n">
        <v>45582</v>
      </c>
      <c r="D1225" t="inlineStr">
        <is>
          <t>JÄMTLANDS LÄN</t>
        </is>
      </c>
      <c r="E1225" t="inlineStr">
        <is>
          <t>KROKOM</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11193-2024</t>
        </is>
      </c>
      <c r="B1226" s="1" t="n">
        <v>45371</v>
      </c>
      <c r="C1226" s="1" t="n">
        <v>45582</v>
      </c>
      <c r="D1226" t="inlineStr">
        <is>
          <t>JÄMTLANDS LÄN</t>
        </is>
      </c>
      <c r="E1226" t="inlineStr">
        <is>
          <t>KROKOM</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45582</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11417-2024</t>
        </is>
      </c>
      <c r="B1228" s="1" t="n">
        <v>45371</v>
      </c>
      <c r="C1228" s="1" t="n">
        <v>45582</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11384-2024</t>
        </is>
      </c>
      <c r="B1229" s="1" t="n">
        <v>45372</v>
      </c>
      <c r="C1229" s="1" t="n">
        <v>45582</v>
      </c>
      <c r="D1229" t="inlineStr">
        <is>
          <t>JÄMTLANDS LÄN</t>
        </is>
      </c>
      <c r="E1229" t="inlineStr">
        <is>
          <t>KROKOM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11412-2024</t>
        </is>
      </c>
      <c r="B1230" s="1" t="n">
        <v>45372</v>
      </c>
      <c r="C1230" s="1" t="n">
        <v>45582</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11639-2024</t>
        </is>
      </c>
      <c r="B1231" s="1" t="n">
        <v>45373</v>
      </c>
      <c r="C1231" s="1" t="n">
        <v>45582</v>
      </c>
      <c r="D1231" t="inlineStr">
        <is>
          <t>JÄMTLANDS LÄN</t>
        </is>
      </c>
      <c r="E1231" t="inlineStr">
        <is>
          <t>KROKOM</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12188-2024</t>
        </is>
      </c>
      <c r="B1232" s="1" t="n">
        <v>45377</v>
      </c>
      <c r="C1232" s="1" t="n">
        <v>45582</v>
      </c>
      <c r="D1232" t="inlineStr">
        <is>
          <t>JÄMTLANDS LÄN</t>
        </is>
      </c>
      <c r="E1232" t="inlineStr">
        <is>
          <t>KROKOM</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45582</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12471-2024</t>
        </is>
      </c>
      <c r="B1234" s="1" t="n">
        <v>45378</v>
      </c>
      <c r="C1234" s="1" t="n">
        <v>45582</v>
      </c>
      <c r="D1234" t="inlineStr">
        <is>
          <t>JÄMTLANDS LÄN</t>
        </is>
      </c>
      <c r="E1234" t="inlineStr">
        <is>
          <t>KROKOM</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12402-2024</t>
        </is>
      </c>
      <c r="B1235" s="1" t="n">
        <v>45379</v>
      </c>
      <c r="C1235" s="1" t="n">
        <v>45582</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12407-2024</t>
        </is>
      </c>
      <c r="B1236" s="1" t="n">
        <v>45379</v>
      </c>
      <c r="C1236" s="1" t="n">
        <v>45582</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12824-2024</t>
        </is>
      </c>
      <c r="B1237" s="1" t="n">
        <v>45384</v>
      </c>
      <c r="C1237" s="1" t="n">
        <v>45582</v>
      </c>
      <c r="D1237" t="inlineStr">
        <is>
          <t>JÄMTLANDS LÄN</t>
        </is>
      </c>
      <c r="E1237" t="inlineStr">
        <is>
          <t>KROKOM</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45582</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45582</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14032-2024</t>
        </is>
      </c>
      <c r="B1240" s="1" t="n">
        <v>45392</v>
      </c>
      <c r="C1240" s="1" t="n">
        <v>45582</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14170-2024</t>
        </is>
      </c>
      <c r="B1241" s="1" t="n">
        <v>45393</v>
      </c>
      <c r="C1241" s="1" t="n">
        <v>45582</v>
      </c>
      <c r="D1241" t="inlineStr">
        <is>
          <t>JÄMTLANDS LÄN</t>
        </is>
      </c>
      <c r="E1241" t="inlineStr">
        <is>
          <t>KROKOM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14026-2024</t>
        </is>
      </c>
      <c r="B1242" s="1" t="n">
        <v>45392</v>
      </c>
      <c r="C1242" s="1" t="n">
        <v>45582</v>
      </c>
      <c r="D1242" t="inlineStr">
        <is>
          <t>JÄMTLANDS LÄN</t>
        </is>
      </c>
      <c r="E1242" t="inlineStr">
        <is>
          <t>KROKOM</t>
        </is>
      </c>
      <c r="F1242" t="inlineStr">
        <is>
          <t>Kyrkan</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14171-2024</t>
        </is>
      </c>
      <c r="B1243" s="1" t="n">
        <v>45392</v>
      </c>
      <c r="C1243" s="1" t="n">
        <v>45582</v>
      </c>
      <c r="D1243" t="inlineStr">
        <is>
          <t>JÄMTLANDS LÄN</t>
        </is>
      </c>
      <c r="E1243" t="inlineStr">
        <is>
          <t>KROKOM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14184-2024</t>
        </is>
      </c>
      <c r="B1244" s="1" t="n">
        <v>45393</v>
      </c>
      <c r="C1244" s="1" t="n">
        <v>45582</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14457-2024</t>
        </is>
      </c>
      <c r="B1245" s="1" t="n">
        <v>45394</v>
      </c>
      <c r="C1245" s="1" t="n">
        <v>45582</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14531-2024</t>
        </is>
      </c>
      <c r="B1246" s="1" t="n">
        <v>45394</v>
      </c>
      <c r="C1246" s="1" t="n">
        <v>45582</v>
      </c>
      <c r="D1246" t="inlineStr">
        <is>
          <t>JÄMTLANDS LÄN</t>
        </is>
      </c>
      <c r="E1246" t="inlineStr">
        <is>
          <t>KROKOM</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14687-2024</t>
        </is>
      </c>
      <c r="B1247" s="1" t="n">
        <v>45397</v>
      </c>
      <c r="C1247" s="1" t="n">
        <v>45582</v>
      </c>
      <c r="D1247" t="inlineStr">
        <is>
          <t>JÄMTLANDS LÄN</t>
        </is>
      </c>
      <c r="E1247" t="inlineStr">
        <is>
          <t>KROKOM</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14827-2024</t>
        </is>
      </c>
      <c r="B1248" s="1" t="n">
        <v>45398</v>
      </c>
      <c r="C1248" s="1" t="n">
        <v>45582</v>
      </c>
      <c r="D1248" t="inlineStr">
        <is>
          <t>JÄMTLANDS LÄN</t>
        </is>
      </c>
      <c r="E1248" t="inlineStr">
        <is>
          <t>KROKOM</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15528-2024</t>
        </is>
      </c>
      <c r="B1249" s="1" t="n">
        <v>45401</v>
      </c>
      <c r="C1249" s="1" t="n">
        <v>45582</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15524-2024</t>
        </is>
      </c>
      <c r="B1250" s="1" t="n">
        <v>45401</v>
      </c>
      <c r="C1250" s="1" t="n">
        <v>45582</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15797-2024</t>
        </is>
      </c>
      <c r="B1251" s="1" t="n">
        <v>45404</v>
      </c>
      <c r="C1251" s="1" t="n">
        <v>45582</v>
      </c>
      <c r="D1251" t="inlineStr">
        <is>
          <t>JÄMTLANDS LÄN</t>
        </is>
      </c>
      <c r="E1251" t="inlineStr">
        <is>
          <t>KROKOM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15794-2024</t>
        </is>
      </c>
      <c r="B1252" s="1" t="n">
        <v>45404</v>
      </c>
      <c r="C1252" s="1" t="n">
        <v>45582</v>
      </c>
      <c r="D1252" t="inlineStr">
        <is>
          <t>JÄMTLANDS LÄN</t>
        </is>
      </c>
      <c r="E1252" t="inlineStr">
        <is>
          <t>KROKOM</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15934-2024</t>
        </is>
      </c>
      <c r="B1253" s="1" t="n">
        <v>45405</v>
      </c>
      <c r="C1253" s="1" t="n">
        <v>45582</v>
      </c>
      <c r="D1253" t="inlineStr">
        <is>
          <t>JÄMTLANDS LÄN</t>
        </is>
      </c>
      <c r="E1253" t="inlineStr">
        <is>
          <t>KROKOM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16064-2024</t>
        </is>
      </c>
      <c r="B1254" s="1" t="n">
        <v>45406</v>
      </c>
      <c r="C1254" s="1" t="n">
        <v>45582</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16349-2024</t>
        </is>
      </c>
      <c r="B1255" s="1" t="n">
        <v>45407</v>
      </c>
      <c r="C1255" s="1" t="n">
        <v>45582</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16431-2024</t>
        </is>
      </c>
      <c r="B1256" s="1" t="n">
        <v>45407</v>
      </c>
      <c r="C1256" s="1" t="n">
        <v>45582</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16545-2024</t>
        </is>
      </c>
      <c r="B1257" s="1" t="n">
        <v>45408</v>
      </c>
      <c r="C1257" s="1" t="n">
        <v>45582</v>
      </c>
      <c r="D1257" t="inlineStr">
        <is>
          <t>JÄMTLANDS LÄN</t>
        </is>
      </c>
      <c r="E1257" t="inlineStr">
        <is>
          <t>KROKOM</t>
        </is>
      </c>
      <c r="G1257" t="n">
        <v>46.1</v>
      </c>
      <c r="H1257" t="n">
        <v>0</v>
      </c>
      <c r="I1257" t="n">
        <v>0</v>
      </c>
      <c r="J1257" t="n">
        <v>0</v>
      </c>
      <c r="K1257" t="n">
        <v>0</v>
      </c>
      <c r="L1257" t="n">
        <v>0</v>
      </c>
      <c r="M1257" t="n">
        <v>0</v>
      </c>
      <c r="N1257" t="n">
        <v>0</v>
      </c>
      <c r="O1257" t="n">
        <v>0</v>
      </c>
      <c r="P1257" t="n">
        <v>0</v>
      </c>
      <c r="Q1257" t="n">
        <v>0</v>
      </c>
      <c r="R1257" s="2" t="inlineStr"/>
    </row>
    <row r="1258" ht="15" customHeight="1">
      <c r="A1258" t="inlineStr">
        <is>
          <t>A 16874-2024</t>
        </is>
      </c>
      <c r="B1258" s="1" t="n">
        <v>45411</v>
      </c>
      <c r="C1258" s="1" t="n">
        <v>45582</v>
      </c>
      <c r="D1258" t="inlineStr">
        <is>
          <t>JÄMTLANDS LÄN</t>
        </is>
      </c>
      <c r="E1258" t="inlineStr">
        <is>
          <t>KROKOM</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16817-2024</t>
        </is>
      </c>
      <c r="B1259" s="1" t="n">
        <v>45411</v>
      </c>
      <c r="C1259" s="1" t="n">
        <v>45582</v>
      </c>
      <c r="D1259" t="inlineStr">
        <is>
          <t>JÄMTLANDS LÄN</t>
        </is>
      </c>
      <c r="E1259" t="inlineStr">
        <is>
          <t>KROKOM</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17090-2024</t>
        </is>
      </c>
      <c r="B1260" s="1" t="n">
        <v>45412</v>
      </c>
      <c r="C1260" s="1" t="n">
        <v>45582</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17298-2024</t>
        </is>
      </c>
      <c r="B1261" s="1" t="n">
        <v>45414</v>
      </c>
      <c r="C1261" s="1" t="n">
        <v>45582</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17417-2024</t>
        </is>
      </c>
      <c r="B1262" s="1" t="n">
        <v>45415</v>
      </c>
      <c r="C1262" s="1" t="n">
        <v>45582</v>
      </c>
      <c r="D1262" t="inlineStr">
        <is>
          <t>JÄMTLANDS LÄN</t>
        </is>
      </c>
      <c r="E1262" t="inlineStr">
        <is>
          <t>KROKOM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17469-2024</t>
        </is>
      </c>
      <c r="B1263" s="1" t="n">
        <v>45415</v>
      </c>
      <c r="C1263" s="1" t="n">
        <v>45582</v>
      </c>
      <c r="D1263" t="inlineStr">
        <is>
          <t>JÄMTLANDS LÄN</t>
        </is>
      </c>
      <c r="E1263" t="inlineStr">
        <is>
          <t>KROKOM</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17593-2024</t>
        </is>
      </c>
      <c r="B1264" s="1" t="n">
        <v>45415</v>
      </c>
      <c r="C1264" s="1" t="n">
        <v>45582</v>
      </c>
      <c r="D1264" t="inlineStr">
        <is>
          <t>JÄMTLANDS LÄN</t>
        </is>
      </c>
      <c r="E1264" t="inlineStr">
        <is>
          <t>KROKOM</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45419</v>
      </c>
      <c r="C1265" s="1" t="n">
        <v>45582</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17821-2024</t>
        </is>
      </c>
      <c r="B1266" s="1" t="n">
        <v>45419</v>
      </c>
      <c r="C1266" s="1" t="n">
        <v>45582</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17853-2024</t>
        </is>
      </c>
      <c r="B1267" s="1" t="n">
        <v>45419</v>
      </c>
      <c r="C1267" s="1" t="n">
        <v>45582</v>
      </c>
      <c r="D1267" t="inlineStr">
        <is>
          <t>JÄMTLANDS LÄN</t>
        </is>
      </c>
      <c r="E1267" t="inlineStr">
        <is>
          <t>KROKOM</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18064-2024</t>
        </is>
      </c>
      <c r="B1268" s="1" t="n">
        <v>45420</v>
      </c>
      <c r="C1268" s="1" t="n">
        <v>45582</v>
      </c>
      <c r="D1268" t="inlineStr">
        <is>
          <t>JÄMTLANDS LÄN</t>
        </is>
      </c>
      <c r="E1268" t="inlineStr">
        <is>
          <t>KROKOM</t>
        </is>
      </c>
      <c r="F1268" t="inlineStr">
        <is>
          <t>Övriga Aktiebolag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18491-2024</t>
        </is>
      </c>
      <c r="B1269" s="1" t="n">
        <v>45425</v>
      </c>
      <c r="C1269" s="1" t="n">
        <v>45582</v>
      </c>
      <c r="D1269" t="inlineStr">
        <is>
          <t>JÄMTLANDS LÄN</t>
        </is>
      </c>
      <c r="E1269" t="inlineStr">
        <is>
          <t>KROKOM</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19248-2024</t>
        </is>
      </c>
      <c r="B1270" s="1" t="n">
        <v>45428</v>
      </c>
      <c r="C1270" s="1" t="n">
        <v>45582</v>
      </c>
      <c r="D1270" t="inlineStr">
        <is>
          <t>JÄMTLANDS LÄN</t>
        </is>
      </c>
      <c r="E1270" t="inlineStr">
        <is>
          <t>KROKOM</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19432-2024</t>
        </is>
      </c>
      <c r="B1271" s="1" t="n">
        <v>45429</v>
      </c>
      <c r="C1271" s="1" t="n">
        <v>45582</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19698-2024</t>
        </is>
      </c>
      <c r="B1272" s="1" t="n">
        <v>45432</v>
      </c>
      <c r="C1272" s="1" t="n">
        <v>45582</v>
      </c>
      <c r="D1272" t="inlineStr">
        <is>
          <t>JÄMTLANDS LÄN</t>
        </is>
      </c>
      <c r="E1272" t="inlineStr">
        <is>
          <t>KROKOM</t>
        </is>
      </c>
      <c r="G1272" t="n">
        <v>15.9</v>
      </c>
      <c r="H1272" t="n">
        <v>0</v>
      </c>
      <c r="I1272" t="n">
        <v>0</v>
      </c>
      <c r="J1272" t="n">
        <v>0</v>
      </c>
      <c r="K1272" t="n">
        <v>0</v>
      </c>
      <c r="L1272" t="n">
        <v>0</v>
      </c>
      <c r="M1272" t="n">
        <v>0</v>
      </c>
      <c r="N1272" t="n">
        <v>0</v>
      </c>
      <c r="O1272" t="n">
        <v>0</v>
      </c>
      <c r="P1272" t="n">
        <v>0</v>
      </c>
      <c r="Q1272" t="n">
        <v>0</v>
      </c>
      <c r="R1272" s="2" t="inlineStr"/>
    </row>
    <row r="1273" ht="15" customHeight="1">
      <c r="A1273" t="inlineStr">
        <is>
          <t>A 19635-2024</t>
        </is>
      </c>
      <c r="B1273" s="1" t="n">
        <v>45432</v>
      </c>
      <c r="C1273" s="1" t="n">
        <v>45582</v>
      </c>
      <c r="D1273" t="inlineStr">
        <is>
          <t>JÄMTLANDS LÄN</t>
        </is>
      </c>
      <c r="E1273" t="inlineStr">
        <is>
          <t>KROKOM</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21261-2024</t>
        </is>
      </c>
      <c r="B1274" s="1" t="n">
        <v>45440</v>
      </c>
      <c r="C1274" s="1" t="n">
        <v>45582</v>
      </c>
      <c r="D1274" t="inlineStr">
        <is>
          <t>JÄMTLANDS LÄN</t>
        </is>
      </c>
      <c r="E1274" t="inlineStr">
        <is>
          <t>KROKOM</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21304-2024</t>
        </is>
      </c>
      <c r="B1275" s="1" t="n">
        <v>45440</v>
      </c>
      <c r="C1275" s="1" t="n">
        <v>45582</v>
      </c>
      <c r="D1275" t="inlineStr">
        <is>
          <t>JÄMTLANDS LÄN</t>
        </is>
      </c>
      <c r="E1275" t="inlineStr">
        <is>
          <t>KROKOM</t>
        </is>
      </c>
      <c r="F1275" t="inlineStr">
        <is>
          <t>Övriga Aktiebolag</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21579-2024</t>
        </is>
      </c>
      <c r="B1276" s="1" t="n">
        <v>45441</v>
      </c>
      <c r="C1276" s="1" t="n">
        <v>45582</v>
      </c>
      <c r="D1276" t="inlineStr">
        <is>
          <t>JÄMTLANDS LÄN</t>
        </is>
      </c>
      <c r="E1276" t="inlineStr">
        <is>
          <t>KROKOM</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21806-2024</t>
        </is>
      </c>
      <c r="B1277" s="1" t="n">
        <v>45442</v>
      </c>
      <c r="C1277" s="1" t="n">
        <v>45582</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21801-2024</t>
        </is>
      </c>
      <c r="B1278" s="1" t="n">
        <v>45442</v>
      </c>
      <c r="C1278" s="1" t="n">
        <v>45582</v>
      </c>
      <c r="D1278" t="inlineStr">
        <is>
          <t>JÄMTLANDS LÄN</t>
        </is>
      </c>
      <c r="E1278" t="inlineStr">
        <is>
          <t>KROKOM</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21839-2024</t>
        </is>
      </c>
      <c r="B1279" s="1" t="n">
        <v>45442</v>
      </c>
      <c r="C1279" s="1" t="n">
        <v>45582</v>
      </c>
      <c r="D1279" t="inlineStr">
        <is>
          <t>JÄMTLANDS LÄN</t>
        </is>
      </c>
      <c r="E1279" t="inlineStr">
        <is>
          <t>KROKOM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22127-2024</t>
        </is>
      </c>
      <c r="B1280" s="1" t="n">
        <v>45443</v>
      </c>
      <c r="C1280" s="1" t="n">
        <v>45582</v>
      </c>
      <c r="D1280" t="inlineStr">
        <is>
          <t>JÄMTLANDS LÄN</t>
        </is>
      </c>
      <c r="E1280" t="inlineStr">
        <is>
          <t>KROKOM</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22411-2024</t>
        </is>
      </c>
      <c r="B1281" s="1" t="n">
        <v>45446</v>
      </c>
      <c r="C1281" s="1" t="n">
        <v>45582</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22258-2024</t>
        </is>
      </c>
      <c r="B1282" s="1" t="n">
        <v>45446</v>
      </c>
      <c r="C1282" s="1" t="n">
        <v>45582</v>
      </c>
      <c r="D1282" t="inlineStr">
        <is>
          <t>JÄMTLANDS LÄN</t>
        </is>
      </c>
      <c r="E1282" t="inlineStr">
        <is>
          <t>KROKOM</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22949-2024</t>
        </is>
      </c>
      <c r="B1283" s="1" t="n">
        <v>45448</v>
      </c>
      <c r="C1283" s="1" t="n">
        <v>45582</v>
      </c>
      <c r="D1283" t="inlineStr">
        <is>
          <t>JÄMTLANDS LÄN</t>
        </is>
      </c>
      <c r="E1283" t="inlineStr">
        <is>
          <t>KROKOM</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22850-2024</t>
        </is>
      </c>
      <c r="B1284" s="1" t="n">
        <v>45448</v>
      </c>
      <c r="C1284" s="1" t="n">
        <v>45582</v>
      </c>
      <c r="D1284" t="inlineStr">
        <is>
          <t>JÄMTLANDS LÄN</t>
        </is>
      </c>
      <c r="E1284" t="inlineStr">
        <is>
          <t>KROKOM</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22890-2024</t>
        </is>
      </c>
      <c r="B1285" s="1" t="n">
        <v>45448</v>
      </c>
      <c r="C1285" s="1" t="n">
        <v>45582</v>
      </c>
      <c r="D1285" t="inlineStr">
        <is>
          <t>JÄMTLANDS LÄN</t>
        </is>
      </c>
      <c r="E1285" t="inlineStr">
        <is>
          <t>KROKOM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22967-2024</t>
        </is>
      </c>
      <c r="B1286" s="1" t="n">
        <v>45449</v>
      </c>
      <c r="C1286" s="1" t="n">
        <v>45582</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22971-2024</t>
        </is>
      </c>
      <c r="B1287" s="1" t="n">
        <v>45449</v>
      </c>
      <c r="C1287" s="1" t="n">
        <v>45582</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23017-2024</t>
        </is>
      </c>
      <c r="B1288" s="1" t="n">
        <v>45450</v>
      </c>
      <c r="C1288" s="1" t="n">
        <v>45582</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23215-2024</t>
        </is>
      </c>
      <c r="B1289" s="1" t="n">
        <v>45452</v>
      </c>
      <c r="C1289" s="1" t="n">
        <v>45582</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23214-2024</t>
        </is>
      </c>
      <c r="B1290" s="1" t="n">
        <v>45452</v>
      </c>
      <c r="C1290" s="1" t="n">
        <v>45582</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23210-2024</t>
        </is>
      </c>
      <c r="B1291" s="1" t="n">
        <v>45452</v>
      </c>
      <c r="C1291" s="1" t="n">
        <v>45582</v>
      </c>
      <c r="D1291" t="inlineStr">
        <is>
          <t>JÄMTLANDS LÄN</t>
        </is>
      </c>
      <c r="E1291" t="inlineStr">
        <is>
          <t>KROKOM</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23281-2024</t>
        </is>
      </c>
      <c r="B1292" s="1" t="n">
        <v>45453</v>
      </c>
      <c r="C1292" s="1" t="n">
        <v>45582</v>
      </c>
      <c r="D1292" t="inlineStr">
        <is>
          <t>JÄMTLANDS LÄN</t>
        </is>
      </c>
      <c r="E1292" t="inlineStr">
        <is>
          <t>KROKOM</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23297-2024</t>
        </is>
      </c>
      <c r="B1293" s="1" t="n">
        <v>45453</v>
      </c>
      <c r="C1293" s="1" t="n">
        <v>45582</v>
      </c>
      <c r="D1293" t="inlineStr">
        <is>
          <t>JÄMTLANDS LÄN</t>
        </is>
      </c>
      <c r="E1293" t="inlineStr">
        <is>
          <t>KROKOM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23313-2024</t>
        </is>
      </c>
      <c r="B1294" s="1" t="n">
        <v>45453</v>
      </c>
      <c r="C1294" s="1" t="n">
        <v>45582</v>
      </c>
      <c r="D1294" t="inlineStr">
        <is>
          <t>JÄMTLANDS LÄN</t>
        </is>
      </c>
      <c r="E1294" t="inlineStr">
        <is>
          <t>KROKOM</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23319-2024</t>
        </is>
      </c>
      <c r="B1295" s="1" t="n">
        <v>45453</v>
      </c>
      <c r="C1295" s="1" t="n">
        <v>45582</v>
      </c>
      <c r="D1295" t="inlineStr">
        <is>
          <t>JÄMTLANDS LÄN</t>
        </is>
      </c>
      <c r="E1295" t="inlineStr">
        <is>
          <t>KROKOM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23554-2024</t>
        </is>
      </c>
      <c r="B1296" s="1" t="n">
        <v>45454</v>
      </c>
      <c r="C1296" s="1" t="n">
        <v>45582</v>
      </c>
      <c r="D1296" t="inlineStr">
        <is>
          <t>JÄMTLANDS LÄN</t>
        </is>
      </c>
      <c r="E1296" t="inlineStr">
        <is>
          <t>KROKOM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23316-2024</t>
        </is>
      </c>
      <c r="B1297" s="1" t="n">
        <v>45453</v>
      </c>
      <c r="C1297" s="1" t="n">
        <v>45582</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23507-2024</t>
        </is>
      </c>
      <c r="B1298" s="1" t="n">
        <v>45453</v>
      </c>
      <c r="C1298" s="1" t="n">
        <v>45582</v>
      </c>
      <c r="D1298" t="inlineStr">
        <is>
          <t>JÄMTLANDS LÄN</t>
        </is>
      </c>
      <c r="E1298" t="inlineStr">
        <is>
          <t>KROKOM</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23539-2024</t>
        </is>
      </c>
      <c r="B1299" s="1" t="n">
        <v>45454</v>
      </c>
      <c r="C1299" s="1" t="n">
        <v>45582</v>
      </c>
      <c r="D1299" t="inlineStr">
        <is>
          <t>JÄMTLANDS LÄN</t>
        </is>
      </c>
      <c r="E1299" t="inlineStr">
        <is>
          <t>KROKOM</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23379-2024</t>
        </is>
      </c>
      <c r="B1300" s="1" t="n">
        <v>45453</v>
      </c>
      <c r="C1300" s="1" t="n">
        <v>45582</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23635-2024</t>
        </is>
      </c>
      <c r="B1301" s="1" t="n">
        <v>45454</v>
      </c>
      <c r="C1301" s="1" t="n">
        <v>45582</v>
      </c>
      <c r="D1301" t="inlineStr">
        <is>
          <t>JÄMTLANDS LÄN</t>
        </is>
      </c>
      <c r="E1301" t="inlineStr">
        <is>
          <t>KROKOM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23665-2024</t>
        </is>
      </c>
      <c r="B1302" s="1" t="n">
        <v>45454</v>
      </c>
      <c r="C1302" s="1" t="n">
        <v>45582</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23948-2024</t>
        </is>
      </c>
      <c r="B1303" s="1" t="n">
        <v>45456</v>
      </c>
      <c r="C1303" s="1" t="n">
        <v>45582</v>
      </c>
      <c r="D1303" t="inlineStr">
        <is>
          <t>JÄMTLANDS LÄN</t>
        </is>
      </c>
      <c r="E1303" t="inlineStr">
        <is>
          <t>KROKOM</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23988-2024</t>
        </is>
      </c>
      <c r="B1304" s="1" t="n">
        <v>45456</v>
      </c>
      <c r="C1304" s="1" t="n">
        <v>45582</v>
      </c>
      <c r="D1304" t="inlineStr">
        <is>
          <t>JÄMTLANDS LÄN</t>
        </is>
      </c>
      <c r="E1304" t="inlineStr">
        <is>
          <t>KROKOM</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24198-2024</t>
        </is>
      </c>
      <c r="B1305" s="1" t="n">
        <v>45457</v>
      </c>
      <c r="C1305" s="1" t="n">
        <v>45582</v>
      </c>
      <c r="D1305" t="inlineStr">
        <is>
          <t>JÄMTLANDS LÄN</t>
        </is>
      </c>
      <c r="E1305" t="inlineStr">
        <is>
          <t>KROKOM</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24234-2024</t>
        </is>
      </c>
      <c r="B1306" s="1" t="n">
        <v>45457</v>
      </c>
      <c r="C1306" s="1" t="n">
        <v>45582</v>
      </c>
      <c r="D1306" t="inlineStr">
        <is>
          <t>JÄMTLANDS LÄN</t>
        </is>
      </c>
      <c r="E1306" t="inlineStr">
        <is>
          <t>KROKOM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24241-2024</t>
        </is>
      </c>
      <c r="B1307" s="1" t="n">
        <v>45457</v>
      </c>
      <c r="C1307" s="1" t="n">
        <v>45582</v>
      </c>
      <c r="D1307" t="inlineStr">
        <is>
          <t>JÄMTLANDS LÄN</t>
        </is>
      </c>
      <c r="E1307" t="inlineStr">
        <is>
          <t>KROKOM</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24333-2024</t>
        </is>
      </c>
      <c r="B1308" s="1" t="n">
        <v>45457</v>
      </c>
      <c r="C1308" s="1" t="n">
        <v>45582</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24252-2024</t>
        </is>
      </c>
      <c r="B1309" s="1" t="n">
        <v>45457</v>
      </c>
      <c r="C1309" s="1" t="n">
        <v>45582</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24484-2024</t>
        </is>
      </c>
      <c r="B1310" s="1" t="n">
        <v>45459</v>
      </c>
      <c r="C1310" s="1" t="n">
        <v>45582</v>
      </c>
      <c r="D1310" t="inlineStr">
        <is>
          <t>JÄMTLANDS LÄN</t>
        </is>
      </c>
      <c r="E1310" t="inlineStr">
        <is>
          <t>KROKOM</t>
        </is>
      </c>
      <c r="F1310" t="inlineStr">
        <is>
          <t>Övriga Aktiebolag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24559-2024</t>
        </is>
      </c>
      <c r="B1311" s="1" t="n">
        <v>45460</v>
      </c>
      <c r="C1311" s="1" t="n">
        <v>45582</v>
      </c>
      <c r="D1311" t="inlineStr">
        <is>
          <t>JÄMTLANDS LÄN</t>
        </is>
      </c>
      <c r="E1311" t="inlineStr">
        <is>
          <t>KROKOM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24877-2024</t>
        </is>
      </c>
      <c r="B1312" s="1" t="n">
        <v>45461</v>
      </c>
      <c r="C1312" s="1" t="n">
        <v>45582</v>
      </c>
      <c r="D1312" t="inlineStr">
        <is>
          <t>JÄMTLANDS LÄN</t>
        </is>
      </c>
      <c r="E1312" t="inlineStr">
        <is>
          <t>KROKOM</t>
        </is>
      </c>
      <c r="F1312" t="inlineStr">
        <is>
          <t>Övriga Aktiebolag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25532-2024</t>
        </is>
      </c>
      <c r="B1313" s="1" t="n">
        <v>45463</v>
      </c>
      <c r="C1313" s="1" t="n">
        <v>45582</v>
      </c>
      <c r="D1313" t="inlineStr">
        <is>
          <t>JÄMTLANDS LÄN</t>
        </is>
      </c>
      <c r="E1313" t="inlineStr">
        <is>
          <t>KROKOM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25775-2024</t>
        </is>
      </c>
      <c r="B1314" s="1" t="n">
        <v>45466</v>
      </c>
      <c r="C1314" s="1" t="n">
        <v>45582</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25906-2024</t>
        </is>
      </c>
      <c r="B1315" s="1" t="n">
        <v>45467</v>
      </c>
      <c r="C1315" s="1" t="n">
        <v>45582</v>
      </c>
      <c r="D1315" t="inlineStr">
        <is>
          <t>JÄMTLANDS LÄN</t>
        </is>
      </c>
      <c r="E1315" t="inlineStr">
        <is>
          <t>KROKOM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25956-2024</t>
        </is>
      </c>
      <c r="B1316" s="1" t="n">
        <v>45467</v>
      </c>
      <c r="C1316" s="1" t="n">
        <v>45582</v>
      </c>
      <c r="D1316" t="inlineStr">
        <is>
          <t>JÄMTLANDS LÄN</t>
        </is>
      </c>
      <c r="E1316" t="inlineStr">
        <is>
          <t>KROKOM</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26207-2024</t>
        </is>
      </c>
      <c r="B1317" s="1" t="n">
        <v>45467</v>
      </c>
      <c r="C1317" s="1" t="n">
        <v>45582</v>
      </c>
      <c r="D1317" t="inlineStr">
        <is>
          <t>JÄMTLANDS LÄN</t>
        </is>
      </c>
      <c r="E1317" t="inlineStr">
        <is>
          <t>KROKOM</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26231-2024</t>
        </is>
      </c>
      <c r="B1318" s="1" t="n">
        <v>45467</v>
      </c>
      <c r="C1318" s="1" t="n">
        <v>45582</v>
      </c>
      <c r="D1318" t="inlineStr">
        <is>
          <t>JÄMTLANDS LÄN</t>
        </is>
      </c>
      <c r="E1318" t="inlineStr">
        <is>
          <t>KROKOM</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26228-2024</t>
        </is>
      </c>
      <c r="B1319" s="1" t="n">
        <v>45467</v>
      </c>
      <c r="C1319" s="1" t="n">
        <v>45582</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26235-2024</t>
        </is>
      </c>
      <c r="B1320" s="1" t="n">
        <v>45467</v>
      </c>
      <c r="C1320" s="1" t="n">
        <v>45582</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26310-2024</t>
        </is>
      </c>
      <c r="B1321" s="1" t="n">
        <v>45469</v>
      </c>
      <c r="C1321" s="1" t="n">
        <v>45582</v>
      </c>
      <c r="D1321" t="inlineStr">
        <is>
          <t>JÄMTLANDS LÄN</t>
        </is>
      </c>
      <c r="E1321" t="inlineStr">
        <is>
          <t>KROKOM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26311-2024</t>
        </is>
      </c>
      <c r="B1322" s="1" t="n">
        <v>45469</v>
      </c>
      <c r="C1322" s="1" t="n">
        <v>45582</v>
      </c>
      <c r="D1322" t="inlineStr">
        <is>
          <t>JÄMTLANDS LÄN</t>
        </is>
      </c>
      <c r="E1322" t="inlineStr">
        <is>
          <t>KROKOM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26375-2024</t>
        </is>
      </c>
      <c r="B1323" s="1" t="n">
        <v>45469</v>
      </c>
      <c r="C1323" s="1" t="n">
        <v>45582</v>
      </c>
      <c r="D1323" t="inlineStr">
        <is>
          <t>JÄMTLANDS LÄN</t>
        </is>
      </c>
      <c r="E1323" t="inlineStr">
        <is>
          <t>KROKOM</t>
        </is>
      </c>
      <c r="G1323" t="n">
        <v>23.7</v>
      </c>
      <c r="H1323" t="n">
        <v>0</v>
      </c>
      <c r="I1323" t="n">
        <v>0</v>
      </c>
      <c r="J1323" t="n">
        <v>0</v>
      </c>
      <c r="K1323" t="n">
        <v>0</v>
      </c>
      <c r="L1323" t="n">
        <v>0</v>
      </c>
      <c r="M1323" t="n">
        <v>0</v>
      </c>
      <c r="N1323" t="n">
        <v>0</v>
      </c>
      <c r="O1323" t="n">
        <v>0</v>
      </c>
      <c r="P1323" t="n">
        <v>0</v>
      </c>
      <c r="Q1323" t="n">
        <v>0</v>
      </c>
      <c r="R1323" s="2" t="inlineStr"/>
    </row>
    <row r="1324" ht="15" customHeight="1">
      <c r="A1324" t="inlineStr">
        <is>
          <t>A 26414-2024</t>
        </is>
      </c>
      <c r="B1324" s="1" t="n">
        <v>45469</v>
      </c>
      <c r="C1324" s="1" t="n">
        <v>45582</v>
      </c>
      <c r="D1324" t="inlineStr">
        <is>
          <t>JÄMTLANDS LÄN</t>
        </is>
      </c>
      <c r="E1324" t="inlineStr">
        <is>
          <t>KROKOM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26438-2024</t>
        </is>
      </c>
      <c r="B1325" s="1" t="n">
        <v>45469</v>
      </c>
      <c r="C1325" s="1" t="n">
        <v>45582</v>
      </c>
      <c r="D1325" t="inlineStr">
        <is>
          <t>JÄMTLANDS LÄN</t>
        </is>
      </c>
      <c r="E1325" t="inlineStr">
        <is>
          <t>KROKOM</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26881-2024</t>
        </is>
      </c>
      <c r="B1326" s="1" t="n">
        <v>45470</v>
      </c>
      <c r="C1326" s="1" t="n">
        <v>45582</v>
      </c>
      <c r="D1326" t="inlineStr">
        <is>
          <t>JÄMTLANDS LÄN</t>
        </is>
      </c>
      <c r="E1326" t="inlineStr">
        <is>
          <t>KROKOM</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27224-2024</t>
        </is>
      </c>
      <c r="B1327" s="1" t="n">
        <v>45471</v>
      </c>
      <c r="C1327" s="1" t="n">
        <v>45582</v>
      </c>
      <c r="D1327" t="inlineStr">
        <is>
          <t>JÄMTLANDS LÄN</t>
        </is>
      </c>
      <c r="E1327" t="inlineStr">
        <is>
          <t>KROKOM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27431-2024</t>
        </is>
      </c>
      <c r="B1328" s="1" t="n">
        <v>45474</v>
      </c>
      <c r="C1328" s="1" t="n">
        <v>45582</v>
      </c>
      <c r="D1328" t="inlineStr">
        <is>
          <t>JÄMTLANDS LÄN</t>
        </is>
      </c>
      <c r="E1328" t="inlineStr">
        <is>
          <t>KROKOM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27492-2024</t>
        </is>
      </c>
      <c r="B1329" s="1" t="n">
        <v>45474</v>
      </c>
      <c r="C1329" s="1" t="n">
        <v>45582</v>
      </c>
      <c r="D1329" t="inlineStr">
        <is>
          <t>JÄMTLANDS LÄN</t>
        </is>
      </c>
      <c r="E1329" t="inlineStr">
        <is>
          <t>KROKOM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27416-2024</t>
        </is>
      </c>
      <c r="B1330" s="1" t="n">
        <v>45474</v>
      </c>
      <c r="C1330" s="1" t="n">
        <v>45582</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27440-2024</t>
        </is>
      </c>
      <c r="B1331" s="1" t="n">
        <v>45474</v>
      </c>
      <c r="C1331" s="1" t="n">
        <v>45582</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27434-2024</t>
        </is>
      </c>
      <c r="B1332" s="1" t="n">
        <v>45474</v>
      </c>
      <c r="C1332" s="1" t="n">
        <v>45582</v>
      </c>
      <c r="D1332" t="inlineStr">
        <is>
          <t>JÄMTLANDS LÄN</t>
        </is>
      </c>
      <c r="E1332" t="inlineStr">
        <is>
          <t>KROKOM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27596-2024</t>
        </is>
      </c>
      <c r="B1333" s="1" t="n">
        <v>45474</v>
      </c>
      <c r="C1333" s="1" t="n">
        <v>45582</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27600-2024</t>
        </is>
      </c>
      <c r="B1334" s="1" t="n">
        <v>45474</v>
      </c>
      <c r="C1334" s="1" t="n">
        <v>45582</v>
      </c>
      <c r="D1334" t="inlineStr">
        <is>
          <t>JÄMTLANDS LÄN</t>
        </is>
      </c>
      <c r="E1334" t="inlineStr">
        <is>
          <t>KROKOM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27597-2024</t>
        </is>
      </c>
      <c r="B1335" s="1" t="n">
        <v>45474</v>
      </c>
      <c r="C1335" s="1" t="n">
        <v>45582</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27695-2024</t>
        </is>
      </c>
      <c r="B1336" s="1" t="n">
        <v>45475</v>
      </c>
      <c r="C1336" s="1" t="n">
        <v>45582</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27730-2024</t>
        </is>
      </c>
      <c r="B1337" s="1" t="n">
        <v>45475</v>
      </c>
      <c r="C1337" s="1" t="n">
        <v>45582</v>
      </c>
      <c r="D1337" t="inlineStr">
        <is>
          <t>JÄMTLANDS LÄN</t>
        </is>
      </c>
      <c r="E1337" t="inlineStr">
        <is>
          <t>KROKOM</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27716-2024</t>
        </is>
      </c>
      <c r="B1338" s="1" t="n">
        <v>45475</v>
      </c>
      <c r="C1338" s="1" t="n">
        <v>45582</v>
      </c>
      <c r="D1338" t="inlineStr">
        <is>
          <t>JÄMTLANDS LÄN</t>
        </is>
      </c>
      <c r="E1338" t="inlineStr">
        <is>
          <t>KROKOM</t>
        </is>
      </c>
      <c r="F1338" t="inlineStr">
        <is>
          <t>Övriga Aktiebolag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27729-2024</t>
        </is>
      </c>
      <c r="B1339" s="1" t="n">
        <v>45475</v>
      </c>
      <c r="C1339" s="1" t="n">
        <v>45582</v>
      </c>
      <c r="D1339" t="inlineStr">
        <is>
          <t>JÄMTLANDS LÄN</t>
        </is>
      </c>
      <c r="E1339" t="inlineStr">
        <is>
          <t>KROKOM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27954-2024</t>
        </is>
      </c>
      <c r="B1340" s="1" t="n">
        <v>45476</v>
      </c>
      <c r="C1340" s="1" t="n">
        <v>45582</v>
      </c>
      <c r="D1340" t="inlineStr">
        <is>
          <t>JÄMTLANDS LÄN</t>
        </is>
      </c>
      <c r="E1340" t="inlineStr">
        <is>
          <t>KROKOM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28191-2024</t>
        </is>
      </c>
      <c r="B1341" s="1" t="n">
        <v>45477</v>
      </c>
      <c r="C1341" s="1" t="n">
        <v>45582</v>
      </c>
      <c r="D1341" t="inlineStr">
        <is>
          <t>JÄMTLANDS LÄN</t>
        </is>
      </c>
      <c r="E1341" t="inlineStr">
        <is>
          <t>KROKOM</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28210-2024</t>
        </is>
      </c>
      <c r="B1342" s="1" t="n">
        <v>45477</v>
      </c>
      <c r="C1342" s="1" t="n">
        <v>45582</v>
      </c>
      <c r="D1342" t="inlineStr">
        <is>
          <t>JÄMTLANDS LÄN</t>
        </is>
      </c>
      <c r="E1342" t="inlineStr">
        <is>
          <t>KROKOM</t>
        </is>
      </c>
      <c r="F1342" t="inlineStr">
        <is>
          <t>Övriga Aktiebolag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28185-2024</t>
        </is>
      </c>
      <c r="B1343" s="1" t="n">
        <v>45477</v>
      </c>
      <c r="C1343" s="1" t="n">
        <v>45582</v>
      </c>
      <c r="D1343" t="inlineStr">
        <is>
          <t>JÄMTLANDS LÄN</t>
        </is>
      </c>
      <c r="E1343" t="inlineStr">
        <is>
          <t>KROKOM</t>
        </is>
      </c>
      <c r="F1343" t="inlineStr">
        <is>
          <t>Övriga Aktiebolag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28595-2024</t>
        </is>
      </c>
      <c r="B1344" s="1" t="n">
        <v>45478</v>
      </c>
      <c r="C1344" s="1" t="n">
        <v>45582</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28533-2024</t>
        </is>
      </c>
      <c r="B1345" s="1" t="n">
        <v>45478</v>
      </c>
      <c r="C1345" s="1" t="n">
        <v>45582</v>
      </c>
      <c r="D1345" t="inlineStr">
        <is>
          <t>JÄMTLANDS LÄN</t>
        </is>
      </c>
      <c r="E1345" t="inlineStr">
        <is>
          <t>KROKOM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28780-2024</t>
        </is>
      </c>
      <c r="B1346" s="1" t="n">
        <v>45478</v>
      </c>
      <c r="C1346" s="1" t="n">
        <v>45582</v>
      </c>
      <c r="D1346" t="inlineStr">
        <is>
          <t>JÄMTLANDS LÄN</t>
        </is>
      </c>
      <c r="E1346" t="inlineStr">
        <is>
          <t>KROKOM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28568-2024</t>
        </is>
      </c>
      <c r="B1347" s="1" t="n">
        <v>45478</v>
      </c>
      <c r="C1347" s="1" t="n">
        <v>45582</v>
      </c>
      <c r="D1347" t="inlineStr">
        <is>
          <t>JÄMTLANDS LÄN</t>
        </is>
      </c>
      <c r="E1347" t="inlineStr">
        <is>
          <t>KROKOM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29276-2024</t>
        </is>
      </c>
      <c r="B1348" s="1" t="n">
        <v>45483</v>
      </c>
      <c r="C1348" s="1" t="n">
        <v>45582</v>
      </c>
      <c r="D1348" t="inlineStr">
        <is>
          <t>JÄMTLANDS LÄN</t>
        </is>
      </c>
      <c r="E1348" t="inlineStr">
        <is>
          <t>KROKOM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29275-2024</t>
        </is>
      </c>
      <c r="B1349" s="1" t="n">
        <v>45483</v>
      </c>
      <c r="C1349" s="1" t="n">
        <v>45582</v>
      </c>
      <c r="D1349" t="inlineStr">
        <is>
          <t>JÄMTLANDS LÄN</t>
        </is>
      </c>
      <c r="E1349" t="inlineStr">
        <is>
          <t>KROKOM</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29524-2024</t>
        </is>
      </c>
      <c r="B1350" s="1" t="n">
        <v>45484</v>
      </c>
      <c r="C1350" s="1" t="n">
        <v>45582</v>
      </c>
      <c r="D1350" t="inlineStr">
        <is>
          <t>JÄMTLANDS LÄN</t>
        </is>
      </c>
      <c r="E1350" t="inlineStr">
        <is>
          <t>KROKOM</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29484-2024</t>
        </is>
      </c>
      <c r="B1351" s="1" t="n">
        <v>45484</v>
      </c>
      <c r="C1351" s="1" t="n">
        <v>45582</v>
      </c>
      <c r="D1351" t="inlineStr">
        <is>
          <t>JÄMTLANDS LÄN</t>
        </is>
      </c>
      <c r="E1351" t="inlineStr">
        <is>
          <t>KROKOM</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29477-2024</t>
        </is>
      </c>
      <c r="B1352" s="1" t="n">
        <v>45484</v>
      </c>
      <c r="C1352" s="1" t="n">
        <v>45582</v>
      </c>
      <c r="D1352" t="inlineStr">
        <is>
          <t>JÄMTLANDS LÄN</t>
        </is>
      </c>
      <c r="E1352" t="inlineStr">
        <is>
          <t>KROKOM</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30065-2024</t>
        </is>
      </c>
      <c r="B1353" s="1" t="n">
        <v>45489</v>
      </c>
      <c r="C1353" s="1" t="n">
        <v>45582</v>
      </c>
      <c r="D1353" t="inlineStr">
        <is>
          <t>JÄMTLANDS LÄN</t>
        </is>
      </c>
      <c r="E1353" t="inlineStr">
        <is>
          <t>KROKOM</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30383-2024</t>
        </is>
      </c>
      <c r="B1354" s="1" t="n">
        <v>45491</v>
      </c>
      <c r="C1354" s="1" t="n">
        <v>45582</v>
      </c>
      <c r="D1354" t="inlineStr">
        <is>
          <t>JÄMTLANDS LÄN</t>
        </is>
      </c>
      <c r="E1354" t="inlineStr">
        <is>
          <t>KROKOM</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30494-2024</t>
        </is>
      </c>
      <c r="B1355" s="1" t="n">
        <v>45491</v>
      </c>
      <c r="C1355" s="1" t="n">
        <v>45582</v>
      </c>
      <c r="D1355" t="inlineStr">
        <is>
          <t>JÄMTLANDS LÄN</t>
        </is>
      </c>
      <c r="E1355" t="inlineStr">
        <is>
          <t>KROKOM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30709-2024</t>
        </is>
      </c>
      <c r="B1356" s="1" t="n">
        <v>45496</v>
      </c>
      <c r="C1356" s="1" t="n">
        <v>45582</v>
      </c>
      <c r="D1356" t="inlineStr">
        <is>
          <t>JÄMTLANDS LÄN</t>
        </is>
      </c>
      <c r="E1356" t="inlineStr">
        <is>
          <t>KROKOM</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30979-2024</t>
        </is>
      </c>
      <c r="B1357" s="1" t="n">
        <v>45499</v>
      </c>
      <c r="C1357" s="1" t="n">
        <v>45582</v>
      </c>
      <c r="D1357" t="inlineStr">
        <is>
          <t>JÄMTLANDS LÄN</t>
        </is>
      </c>
      <c r="E1357" t="inlineStr">
        <is>
          <t>KROKOM</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31478-2024</t>
        </is>
      </c>
      <c r="B1358" s="1" t="n">
        <v>45506</v>
      </c>
      <c r="C1358" s="1" t="n">
        <v>45582</v>
      </c>
      <c r="D1358" t="inlineStr">
        <is>
          <t>JÄMTLANDS LÄN</t>
        </is>
      </c>
      <c r="E1358" t="inlineStr">
        <is>
          <t>KROKOM</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31988-2024</t>
        </is>
      </c>
      <c r="B1359" s="1" t="n">
        <v>45510</v>
      </c>
      <c r="C1359" s="1" t="n">
        <v>45582</v>
      </c>
      <c r="D1359" t="inlineStr">
        <is>
          <t>JÄMTLANDS LÄN</t>
        </is>
      </c>
      <c r="E1359" t="inlineStr">
        <is>
          <t>KROKOM</t>
        </is>
      </c>
      <c r="F1359" t="inlineStr">
        <is>
          <t>Övriga Aktiebolag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32244-2024</t>
        </is>
      </c>
      <c r="B1360" s="1" t="n">
        <v>45512</v>
      </c>
      <c r="C1360" s="1" t="n">
        <v>45582</v>
      </c>
      <c r="D1360" t="inlineStr">
        <is>
          <t>JÄMTLANDS LÄN</t>
        </is>
      </c>
      <c r="E1360" t="inlineStr">
        <is>
          <t>KROKOM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32243-2024</t>
        </is>
      </c>
      <c r="B1361" s="1" t="n">
        <v>45512</v>
      </c>
      <c r="C1361" s="1" t="n">
        <v>45582</v>
      </c>
      <c r="D1361" t="inlineStr">
        <is>
          <t>JÄMTLANDS LÄN</t>
        </is>
      </c>
      <c r="E1361" t="inlineStr">
        <is>
          <t>KROKOM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33480-2024</t>
        </is>
      </c>
      <c r="B1362" s="1" t="n">
        <v>45519</v>
      </c>
      <c r="C1362" s="1" t="n">
        <v>45582</v>
      </c>
      <c r="D1362" t="inlineStr">
        <is>
          <t>JÄMTLANDS LÄN</t>
        </is>
      </c>
      <c r="E1362" t="inlineStr">
        <is>
          <t>KROKOM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34517-2024</t>
        </is>
      </c>
      <c r="B1363" s="1" t="n">
        <v>45525</v>
      </c>
      <c r="C1363" s="1" t="n">
        <v>45582</v>
      </c>
      <c r="D1363" t="inlineStr">
        <is>
          <t>JÄMTLANDS LÄN</t>
        </is>
      </c>
      <c r="E1363" t="inlineStr">
        <is>
          <t>KROKOM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34902-2024</t>
        </is>
      </c>
      <c r="B1364" s="1" t="n">
        <v>45527</v>
      </c>
      <c r="C1364" s="1" t="n">
        <v>45582</v>
      </c>
      <c r="D1364" t="inlineStr">
        <is>
          <t>JÄMTLANDS LÄN</t>
        </is>
      </c>
      <c r="E1364" t="inlineStr">
        <is>
          <t>KROKOM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34912-2024</t>
        </is>
      </c>
      <c r="B1365" s="1" t="n">
        <v>45527</v>
      </c>
      <c r="C1365" s="1" t="n">
        <v>45582</v>
      </c>
      <c r="D1365" t="inlineStr">
        <is>
          <t>JÄMTLANDS LÄN</t>
        </is>
      </c>
      <c r="E1365" t="inlineStr">
        <is>
          <t>KROKOM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35542-2024</t>
        </is>
      </c>
      <c r="B1366" s="1" t="n">
        <v>45531</v>
      </c>
      <c r="C1366" s="1" t="n">
        <v>45582</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35559-2024</t>
        </is>
      </c>
      <c r="B1367" s="1" t="n">
        <v>45531</v>
      </c>
      <c r="C1367" s="1" t="n">
        <v>45582</v>
      </c>
      <c r="D1367" t="inlineStr">
        <is>
          <t>JÄMTLANDS LÄN</t>
        </is>
      </c>
      <c r="E1367" t="inlineStr">
        <is>
          <t>KROKOM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35667-2024</t>
        </is>
      </c>
      <c r="B1368" s="1" t="n">
        <v>45532</v>
      </c>
      <c r="C1368" s="1" t="n">
        <v>45582</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35767-2024</t>
        </is>
      </c>
      <c r="B1369" s="1" t="n">
        <v>45532</v>
      </c>
      <c r="C1369" s="1" t="n">
        <v>45582</v>
      </c>
      <c r="D1369" t="inlineStr">
        <is>
          <t>JÄMTLANDS LÄN</t>
        </is>
      </c>
      <c r="E1369" t="inlineStr">
        <is>
          <t>KROKOM</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35651-2024</t>
        </is>
      </c>
      <c r="B1370" s="1" t="n">
        <v>45532</v>
      </c>
      <c r="C1370" s="1" t="n">
        <v>45582</v>
      </c>
      <c r="D1370" t="inlineStr">
        <is>
          <t>JÄMTLANDS LÄN</t>
        </is>
      </c>
      <c r="E1370" t="inlineStr">
        <is>
          <t>KROKOM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35720-2024</t>
        </is>
      </c>
      <c r="B1371" s="1" t="n">
        <v>45532</v>
      </c>
      <c r="C1371" s="1" t="n">
        <v>45582</v>
      </c>
      <c r="D1371" t="inlineStr">
        <is>
          <t>JÄMTLANDS LÄN</t>
        </is>
      </c>
      <c r="E1371" t="inlineStr">
        <is>
          <t>KROKOM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35753-2024</t>
        </is>
      </c>
      <c r="B1372" s="1" t="n">
        <v>45532</v>
      </c>
      <c r="C1372" s="1" t="n">
        <v>45582</v>
      </c>
      <c r="D1372" t="inlineStr">
        <is>
          <t>JÄMTLANDS LÄN</t>
        </is>
      </c>
      <c r="E1372" t="inlineStr">
        <is>
          <t>KROKOM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36272-2024</t>
        </is>
      </c>
      <c r="B1373" s="1" t="n">
        <v>45534</v>
      </c>
      <c r="C1373" s="1" t="n">
        <v>45582</v>
      </c>
      <c r="D1373" t="inlineStr">
        <is>
          <t>JÄMTLANDS LÄN</t>
        </is>
      </c>
      <c r="E1373" t="inlineStr">
        <is>
          <t>KROKOM</t>
        </is>
      </c>
      <c r="F1373" t="inlineStr">
        <is>
          <t>Övriga Aktiebolag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45582</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36531-2024</t>
        </is>
      </c>
      <c r="B1375" s="1" t="n">
        <v>45537</v>
      </c>
      <c r="C1375" s="1" t="n">
        <v>45582</v>
      </c>
      <c r="D1375" t="inlineStr">
        <is>
          <t>JÄMTLANDS LÄN</t>
        </is>
      </c>
      <c r="E1375" t="inlineStr">
        <is>
          <t>KROKOM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36615-2024</t>
        </is>
      </c>
      <c r="B1376" s="1" t="n">
        <v>45537</v>
      </c>
      <c r="C1376" s="1" t="n">
        <v>45582</v>
      </c>
      <c r="D1376" t="inlineStr">
        <is>
          <t>JÄMTLANDS LÄN</t>
        </is>
      </c>
      <c r="E1376" t="inlineStr">
        <is>
          <t>KROKOM</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36929-2024</t>
        </is>
      </c>
      <c r="B1377" s="1" t="n">
        <v>45538</v>
      </c>
      <c r="C1377" s="1" t="n">
        <v>45582</v>
      </c>
      <c r="D1377" t="inlineStr">
        <is>
          <t>JÄMTLANDS LÄN</t>
        </is>
      </c>
      <c r="E1377" t="inlineStr">
        <is>
          <t>KROKOM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37230-2024</t>
        </is>
      </c>
      <c r="B1378" s="1" t="n">
        <v>45539</v>
      </c>
      <c r="C1378" s="1" t="n">
        <v>45582</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37293-2024</t>
        </is>
      </c>
      <c r="B1379" s="1" t="n">
        <v>45540</v>
      </c>
      <c r="C1379" s="1" t="n">
        <v>45582</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45582</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38535-2024</t>
        </is>
      </c>
      <c r="B1381" s="1" t="n">
        <v>45546</v>
      </c>
      <c r="C1381" s="1" t="n">
        <v>45582</v>
      </c>
      <c r="D1381" t="inlineStr">
        <is>
          <t>JÄMTLANDS LÄN</t>
        </is>
      </c>
      <c r="E1381" t="inlineStr">
        <is>
          <t>KROKOM</t>
        </is>
      </c>
      <c r="G1381" t="n">
        <v>27.6</v>
      </c>
      <c r="H1381" t="n">
        <v>0</v>
      </c>
      <c r="I1381" t="n">
        <v>0</v>
      </c>
      <c r="J1381" t="n">
        <v>0</v>
      </c>
      <c r="K1381" t="n">
        <v>0</v>
      </c>
      <c r="L1381" t="n">
        <v>0</v>
      </c>
      <c r="M1381" t="n">
        <v>0</v>
      </c>
      <c r="N1381" t="n">
        <v>0</v>
      </c>
      <c r="O1381" t="n">
        <v>0</v>
      </c>
      <c r="P1381" t="n">
        <v>0</v>
      </c>
      <c r="Q1381" t="n">
        <v>0</v>
      </c>
      <c r="R1381" s="2" t="inlineStr"/>
    </row>
    <row r="1382" ht="15" customHeight="1">
      <c r="A1382" t="inlineStr">
        <is>
          <t>A 38748-2024</t>
        </is>
      </c>
      <c r="B1382" s="1" t="n">
        <v>45547</v>
      </c>
      <c r="C1382" s="1" t="n">
        <v>45582</v>
      </c>
      <c r="D1382" t="inlineStr">
        <is>
          <t>JÄMTLANDS LÄN</t>
        </is>
      </c>
      <c r="E1382" t="inlineStr">
        <is>
          <t>KROKOM</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38723-2024</t>
        </is>
      </c>
      <c r="B1383" s="1" t="n">
        <v>45547</v>
      </c>
      <c r="C1383" s="1" t="n">
        <v>45582</v>
      </c>
      <c r="D1383" t="inlineStr">
        <is>
          <t>JÄMTLANDS LÄN</t>
        </is>
      </c>
      <c r="E1383" t="inlineStr">
        <is>
          <t>KROKOM</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38747-2024</t>
        </is>
      </c>
      <c r="B1384" s="1" t="n">
        <v>45547</v>
      </c>
      <c r="C1384" s="1" t="n">
        <v>45582</v>
      </c>
      <c r="D1384" t="inlineStr">
        <is>
          <t>JÄMTLANDS LÄN</t>
        </is>
      </c>
      <c r="E1384" t="inlineStr">
        <is>
          <t>KROKOM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39056-2024</t>
        </is>
      </c>
      <c r="B1385" s="1" t="n">
        <v>45548</v>
      </c>
      <c r="C1385" s="1" t="n">
        <v>45582</v>
      </c>
      <c r="D1385" t="inlineStr">
        <is>
          <t>JÄMTLANDS LÄN</t>
        </is>
      </c>
      <c r="E1385" t="inlineStr">
        <is>
          <t>KROKOM</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39230-2024</t>
        </is>
      </c>
      <c r="B1386" s="1" t="n">
        <v>45550</v>
      </c>
      <c r="C1386" s="1" t="n">
        <v>45582</v>
      </c>
      <c r="D1386" t="inlineStr">
        <is>
          <t>JÄMTLANDS LÄN</t>
        </is>
      </c>
      <c r="E1386" t="inlineStr">
        <is>
          <t>KROKOM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39263-2024</t>
        </is>
      </c>
      <c r="B1387" s="1" t="n">
        <v>45551</v>
      </c>
      <c r="C1387" s="1" t="n">
        <v>45582</v>
      </c>
      <c r="D1387" t="inlineStr">
        <is>
          <t>JÄMTLANDS LÄN</t>
        </is>
      </c>
      <c r="E1387" t="inlineStr">
        <is>
          <t>KROKOM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39368-2024</t>
        </is>
      </c>
      <c r="B1388" s="1" t="n">
        <v>45551</v>
      </c>
      <c r="C1388" s="1" t="n">
        <v>45582</v>
      </c>
      <c r="D1388" t="inlineStr">
        <is>
          <t>JÄMTLANDS LÄN</t>
        </is>
      </c>
      <c r="E1388" t="inlineStr">
        <is>
          <t>KROKOM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45582</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45582</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45582</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45582</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39751-2024</t>
        </is>
      </c>
      <c r="B1393" s="1" t="n">
        <v>45552</v>
      </c>
      <c r="C1393" s="1" t="n">
        <v>45582</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39843-2024</t>
        </is>
      </c>
      <c r="B1394" s="1" t="n">
        <v>45553</v>
      </c>
      <c r="C1394" s="1" t="n">
        <v>45582</v>
      </c>
      <c r="D1394" t="inlineStr">
        <is>
          <t>JÄMTLANDS LÄN</t>
        </is>
      </c>
      <c r="E1394" t="inlineStr">
        <is>
          <t>KROKOM</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45582</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45582</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39937-2024</t>
        </is>
      </c>
      <c r="B1397" s="1" t="n">
        <v>45553</v>
      </c>
      <c r="C1397" s="1" t="n">
        <v>45582</v>
      </c>
      <c r="D1397" t="inlineStr">
        <is>
          <t>JÄMTLANDS LÄN</t>
        </is>
      </c>
      <c r="E1397" t="inlineStr">
        <is>
          <t>KROKOM</t>
        </is>
      </c>
      <c r="G1397" t="n">
        <v>16.9</v>
      </c>
      <c r="H1397" t="n">
        <v>0</v>
      </c>
      <c r="I1397" t="n">
        <v>0</v>
      </c>
      <c r="J1397" t="n">
        <v>0</v>
      </c>
      <c r="K1397" t="n">
        <v>0</v>
      </c>
      <c r="L1397" t="n">
        <v>0</v>
      </c>
      <c r="M1397" t="n">
        <v>0</v>
      </c>
      <c r="N1397" t="n">
        <v>0</v>
      </c>
      <c r="O1397" t="n">
        <v>0</v>
      </c>
      <c r="P1397" t="n">
        <v>0</v>
      </c>
      <c r="Q1397" t="n">
        <v>0</v>
      </c>
      <c r="R1397" s="2" t="inlineStr"/>
    </row>
    <row r="1398" ht="15" customHeight="1">
      <c r="A1398" t="inlineStr">
        <is>
          <t>A 40271-2024</t>
        </is>
      </c>
      <c r="B1398" s="1" t="n">
        <v>45554</v>
      </c>
      <c r="C1398" s="1" t="n">
        <v>45582</v>
      </c>
      <c r="D1398" t="inlineStr">
        <is>
          <t>JÄMTLANDS LÄN</t>
        </is>
      </c>
      <c r="E1398" t="inlineStr">
        <is>
          <t>KROKOM</t>
        </is>
      </c>
      <c r="F1398" t="inlineStr">
        <is>
          <t>Övriga Aktiebolag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40219-2024</t>
        </is>
      </c>
      <c r="B1399" s="1" t="n">
        <v>45554</v>
      </c>
      <c r="C1399" s="1" t="n">
        <v>45582</v>
      </c>
      <c r="D1399" t="inlineStr">
        <is>
          <t>JÄMTLANDS LÄN</t>
        </is>
      </c>
      <c r="E1399" t="inlineStr">
        <is>
          <t>KROKOM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40213-2024</t>
        </is>
      </c>
      <c r="B1400" s="1" t="n">
        <v>45554</v>
      </c>
      <c r="C1400" s="1" t="n">
        <v>45582</v>
      </c>
      <c r="D1400" t="inlineStr">
        <is>
          <t>JÄMTLANDS LÄN</t>
        </is>
      </c>
      <c r="E1400" t="inlineStr">
        <is>
          <t>KROKOM</t>
        </is>
      </c>
      <c r="F1400" t="inlineStr">
        <is>
          <t>SCA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40221-2024</t>
        </is>
      </c>
      <c r="B1401" s="1" t="n">
        <v>45554</v>
      </c>
      <c r="C1401" s="1" t="n">
        <v>45582</v>
      </c>
      <c r="D1401" t="inlineStr">
        <is>
          <t>JÄMTLANDS LÄN</t>
        </is>
      </c>
      <c r="E1401" t="inlineStr">
        <is>
          <t>KROKOM</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40394-2024</t>
        </is>
      </c>
      <c r="B1402" s="1" t="n">
        <v>45555</v>
      </c>
      <c r="C1402" s="1" t="n">
        <v>45582</v>
      </c>
      <c r="D1402" t="inlineStr">
        <is>
          <t>JÄMTLANDS LÄN</t>
        </is>
      </c>
      <c r="E1402" t="inlineStr">
        <is>
          <t>KROKOM</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40862-2024</t>
        </is>
      </c>
      <c r="B1403" s="1" t="n">
        <v>45558</v>
      </c>
      <c r="C1403" s="1" t="n">
        <v>45582</v>
      </c>
      <c r="D1403" t="inlineStr">
        <is>
          <t>JÄMTLANDS LÄN</t>
        </is>
      </c>
      <c r="E1403" t="inlineStr">
        <is>
          <t>KROKOM</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45582</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45582</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41497-2024</t>
        </is>
      </c>
      <c r="B1406" s="1" t="n">
        <v>45560</v>
      </c>
      <c r="C1406" s="1" t="n">
        <v>45582</v>
      </c>
      <c r="D1406" t="inlineStr">
        <is>
          <t>JÄMTLANDS LÄN</t>
        </is>
      </c>
      <c r="E1406" t="inlineStr">
        <is>
          <t>KROKOM</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45582</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41675-2024</t>
        </is>
      </c>
      <c r="B1408" s="1" t="n">
        <v>45560</v>
      </c>
      <c r="C1408" s="1" t="n">
        <v>45582</v>
      </c>
      <c r="D1408" t="inlineStr">
        <is>
          <t>JÄMTLANDS LÄN</t>
        </is>
      </c>
      <c r="E1408" t="inlineStr">
        <is>
          <t>KROKOM</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45582</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45582</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41972-2024</t>
        </is>
      </c>
      <c r="B1411" s="1" t="n">
        <v>45561</v>
      </c>
      <c r="C1411" s="1" t="n">
        <v>45582</v>
      </c>
      <c r="D1411" t="inlineStr">
        <is>
          <t>JÄMTLANDS LÄN</t>
        </is>
      </c>
      <c r="E1411" t="inlineStr">
        <is>
          <t>KROKOM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45582</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41852-2024</t>
        </is>
      </c>
      <c r="B1413" s="1" t="n">
        <v>45561</v>
      </c>
      <c r="C1413" s="1" t="n">
        <v>45582</v>
      </c>
      <c r="D1413" t="inlineStr">
        <is>
          <t>JÄMTLANDS LÄN</t>
        </is>
      </c>
      <c r="E1413" t="inlineStr">
        <is>
          <t>KROKOM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42092-2024</t>
        </is>
      </c>
      <c r="B1414" s="1" t="n">
        <v>45562</v>
      </c>
      <c r="C1414" s="1" t="n">
        <v>45582</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42097-2024</t>
        </is>
      </c>
      <c r="B1415" s="1" t="n">
        <v>45562</v>
      </c>
      <c r="C1415" s="1" t="n">
        <v>45582</v>
      </c>
      <c r="D1415" t="inlineStr">
        <is>
          <t>JÄMTLANDS LÄN</t>
        </is>
      </c>
      <c r="E1415" t="inlineStr">
        <is>
          <t>KROKOM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45582</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42398-2024</t>
        </is>
      </c>
      <c r="B1417" s="1" t="n">
        <v>45565</v>
      </c>
      <c r="C1417" s="1" t="n">
        <v>45582</v>
      </c>
      <c r="D1417" t="inlineStr">
        <is>
          <t>JÄMTLANDS LÄN</t>
        </is>
      </c>
      <c r="E1417" t="inlineStr">
        <is>
          <t>KROKOM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42774-2024</t>
        </is>
      </c>
      <c r="B1418" s="1" t="n">
        <v>45566</v>
      </c>
      <c r="C1418" s="1" t="n">
        <v>45582</v>
      </c>
      <c r="D1418" t="inlineStr">
        <is>
          <t>JÄMTLANDS LÄN</t>
        </is>
      </c>
      <c r="E1418" t="inlineStr">
        <is>
          <t>KROKOM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43415-2024</t>
        </is>
      </c>
      <c r="B1419" s="1" t="n">
        <v>45568</v>
      </c>
      <c r="C1419" s="1" t="n">
        <v>45582</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43536-2024</t>
        </is>
      </c>
      <c r="B1420" s="1" t="n">
        <v>45569</v>
      </c>
      <c r="C1420" s="1" t="n">
        <v>45582</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43932-2024</t>
        </is>
      </c>
      <c r="B1421" s="1" t="n">
        <v>45572</v>
      </c>
      <c r="C1421" s="1" t="n">
        <v>45582</v>
      </c>
      <c r="D1421" t="inlineStr">
        <is>
          <t>JÄMTLANDS LÄN</t>
        </is>
      </c>
      <c r="E1421" t="inlineStr">
        <is>
          <t>KROKOM</t>
        </is>
      </c>
      <c r="F1421" t="inlineStr">
        <is>
          <t>Övriga Aktiebolag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45582</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44221-2024</t>
        </is>
      </c>
      <c r="B1423" s="1" t="n">
        <v>45573</v>
      </c>
      <c r="C1423" s="1" t="n">
        <v>45582</v>
      </c>
      <c r="D1423" t="inlineStr">
        <is>
          <t>JÄMTLANDS LÄN</t>
        </is>
      </c>
      <c r="E1423" t="inlineStr">
        <is>
          <t>KROKOM</t>
        </is>
      </c>
      <c r="F1423" t="inlineStr">
        <is>
          <t>Övriga Aktiebolag</t>
        </is>
      </c>
      <c r="G1423" t="n">
        <v>19.3</v>
      </c>
      <c r="H1423" t="n">
        <v>0</v>
      </c>
      <c r="I1423" t="n">
        <v>0</v>
      </c>
      <c r="J1423" t="n">
        <v>0</v>
      </c>
      <c r="K1423" t="n">
        <v>0</v>
      </c>
      <c r="L1423" t="n">
        <v>0</v>
      </c>
      <c r="M1423" t="n">
        <v>0</v>
      </c>
      <c r="N1423" t="n">
        <v>0</v>
      </c>
      <c r="O1423" t="n">
        <v>0</v>
      </c>
      <c r="P1423" t="n">
        <v>0</v>
      </c>
      <c r="Q1423" t="n">
        <v>0</v>
      </c>
      <c r="R1423" s="2" t="inlineStr"/>
    </row>
    <row r="1424" ht="15" customHeight="1">
      <c r="A1424" t="inlineStr">
        <is>
          <t>A 44519-2024</t>
        </is>
      </c>
      <c r="B1424" s="1" t="n">
        <v>45574</v>
      </c>
      <c r="C1424" s="1" t="n">
        <v>45582</v>
      </c>
      <c r="D1424" t="inlineStr">
        <is>
          <t>JÄMTLANDS LÄN</t>
        </is>
      </c>
      <c r="E1424" t="inlineStr">
        <is>
          <t>KROKOM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45336-2024</t>
        </is>
      </c>
      <c r="B1425" s="1" t="n">
        <v>45576</v>
      </c>
      <c r="C1425" s="1" t="n">
        <v>45582</v>
      </c>
      <c r="D1425" t="inlineStr">
        <is>
          <t>JÄMTLANDS LÄN</t>
        </is>
      </c>
      <c r="E1425" t="inlineStr">
        <is>
          <t>KROKOM</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45753-2024</t>
        </is>
      </c>
      <c r="B1426" s="1" t="n">
        <v>45579</v>
      </c>
      <c r="C1426" s="1" t="n">
        <v>45582</v>
      </c>
      <c r="D1426" t="inlineStr">
        <is>
          <t>JÄMTLANDS LÄN</t>
        </is>
      </c>
      <c r="E1426" t="inlineStr">
        <is>
          <t>KROKOM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45582</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45866-2024</t>
        </is>
      </c>
      <c r="B1428" s="1" t="n">
        <v>45580</v>
      </c>
      <c r="C1428" s="1" t="n">
        <v>45582</v>
      </c>
      <c r="D1428" t="inlineStr">
        <is>
          <t>JÄMTLANDS LÄN</t>
        </is>
      </c>
      <c r="E1428" t="inlineStr">
        <is>
          <t>KROKOM</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45582</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45936-2024</t>
        </is>
      </c>
      <c r="B1430" s="1" t="n">
        <v>45580</v>
      </c>
      <c r="C1430" s="1" t="n">
        <v>45582</v>
      </c>
      <c r="D1430" t="inlineStr">
        <is>
          <t>JÄMTLANDS LÄN</t>
        </is>
      </c>
      <c r="E1430" t="inlineStr">
        <is>
          <t>KROKOM</t>
        </is>
      </c>
      <c r="G1430" t="n">
        <v>2.2</v>
      </c>
      <c r="H1430" t="n">
        <v>0</v>
      </c>
      <c r="I1430" t="n">
        <v>0</v>
      </c>
      <c r="J1430" t="n">
        <v>0</v>
      </c>
      <c r="K1430" t="n">
        <v>0</v>
      </c>
      <c r="L1430" t="n">
        <v>0</v>
      </c>
      <c r="M1430" t="n">
        <v>0</v>
      </c>
      <c r="N1430" t="n">
        <v>0</v>
      </c>
      <c r="O1430" t="n">
        <v>0</v>
      </c>
      <c r="P1430" t="n">
        <v>0</v>
      </c>
      <c r="Q1430" t="n">
        <v>0</v>
      </c>
      <c r="R1430" s="2" t="inlineStr"/>
    </row>
    <row r="1431">
      <c r="A1431" t="inlineStr">
        <is>
          <t>A 46118-2024</t>
        </is>
      </c>
      <c r="B1431" s="1" t="n">
        <v>45581</v>
      </c>
      <c r="C1431" s="1" t="n">
        <v>45582</v>
      </c>
      <c r="D1431" t="inlineStr">
        <is>
          <t>JÄMTLANDS LÄN</t>
        </is>
      </c>
      <c r="E1431" t="inlineStr">
        <is>
          <t>KROKOM</t>
        </is>
      </c>
      <c r="G1431" t="n">
        <v>10.8</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2024-10-17T12:42:50Z</dcterms:created>
  <dcterms:modified xmlns:dcterms="http://purl.org/dc/terms/" xmlns:xsi="http://www.w3.org/2001/XMLSchema-instance" xsi:type="dcterms:W3CDTF">2024-10-17T12:42:51Z</dcterms:modified>
</cp:coreProperties>
</file>