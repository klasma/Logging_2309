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45580</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45580</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45580</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45580</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45580</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45580</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45580</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45580</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45580</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45580</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45580</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45580</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45580</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45580</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45580</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45580</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45580</v>
      </c>
      <c r="D21" t="inlineStr">
        <is>
          <t>JÄMTLANDS LÄN</t>
        </is>
      </c>
      <c r="E21" t="inlineStr">
        <is>
          <t>KROKOM</t>
        </is>
      </c>
      <c r="G21" t="n">
        <v>1.3</v>
      </c>
      <c r="H21" t="n">
        <v>2</v>
      </c>
      <c r="I21" t="n">
        <v>9</v>
      </c>
      <c r="J21" t="n">
        <v>5</v>
      </c>
      <c r="K21" t="n">
        <v>1</v>
      </c>
      <c r="L21" t="n">
        <v>0</v>
      </c>
      <c r="M21" t="n">
        <v>0</v>
      </c>
      <c r="N21" t="n">
        <v>0</v>
      </c>
      <c r="O21" t="n">
        <v>6</v>
      </c>
      <c r="P21" t="n">
        <v>1</v>
      </c>
      <c r="Q21" t="n">
        <v>16</v>
      </c>
      <c r="R21" s="2" t="inlineStr">
        <is>
          <t>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68077-2019</t>
        </is>
      </c>
      <c r="B22" s="1" t="n">
        <v>43816</v>
      </c>
      <c r="C22" s="1" t="n">
        <v>45580</v>
      </c>
      <c r="D22" t="inlineStr">
        <is>
          <t>JÄMTLANDS LÄN</t>
        </is>
      </c>
      <c r="E22" t="inlineStr">
        <is>
          <t>KROKOM</t>
        </is>
      </c>
      <c r="F22" t="inlineStr">
        <is>
          <t>SCA</t>
        </is>
      </c>
      <c r="G22" t="n">
        <v>3.8</v>
      </c>
      <c r="H22" t="n">
        <v>2</v>
      </c>
      <c r="I22" t="n">
        <v>7</v>
      </c>
      <c r="J22" t="n">
        <v>6</v>
      </c>
      <c r="K22" t="n">
        <v>1</v>
      </c>
      <c r="L22" t="n">
        <v>0</v>
      </c>
      <c r="M22" t="n">
        <v>0</v>
      </c>
      <c r="N22" t="n">
        <v>0</v>
      </c>
      <c r="O22" t="n">
        <v>7</v>
      </c>
      <c r="P22" t="n">
        <v>1</v>
      </c>
      <c r="Q22" t="n">
        <v>15</v>
      </c>
      <c r="R22" s="2" t="inlineStr">
        <is>
          <t>Doftticka
Garnlav
Kolflarnlav
Lunglav
Skrovellav
Vedflamlav
Vedskivlav
Bårdlav
Dvärgtufs
Gulnål
Gytterlav
Korallblylav
Slanklav
Stuplav
Revlummer</t>
        </is>
      </c>
      <c r="S22">
        <f>HYPERLINK("https://klasma.github.io/Logging_2309/artfynd/A 68077-2019 artfynd.xlsx", "A 68077-2019")</f>
        <v/>
      </c>
      <c r="T22">
        <f>HYPERLINK("https://klasma.github.io/Logging_2309/kartor/A 68077-2019 karta.png", "A 68077-2019")</f>
        <v/>
      </c>
      <c r="V22">
        <f>HYPERLINK("https://klasma.github.io/Logging_2309/klagomål/A 68077-2019 FSC-klagomål.docx", "A 68077-2019")</f>
        <v/>
      </c>
      <c r="W22">
        <f>HYPERLINK("https://klasma.github.io/Logging_2309/klagomålsmail/A 68077-2019 FSC-klagomål mail.docx", "A 68077-2019")</f>
        <v/>
      </c>
      <c r="X22">
        <f>HYPERLINK("https://klasma.github.io/Logging_2309/tillsyn/A 68077-2019 tillsynsbegäran.docx", "A 68077-2019")</f>
        <v/>
      </c>
      <c r="Y22">
        <f>HYPERLINK("https://klasma.github.io/Logging_2309/tillsynsmail/A 68077-2019 tillsynsbegäran mail.docx", "A 68077-2019")</f>
        <v/>
      </c>
    </row>
    <row r="23" ht="15" customHeight="1">
      <c r="A23" t="inlineStr">
        <is>
          <t>A 1955-2022</t>
        </is>
      </c>
      <c r="B23" s="1" t="n">
        <v>44575</v>
      </c>
      <c r="C23" s="1" t="n">
        <v>45580</v>
      </c>
      <c r="D23" t="inlineStr">
        <is>
          <t>JÄMTLANDS LÄN</t>
        </is>
      </c>
      <c r="E23" t="inlineStr">
        <is>
          <t>KROKOM</t>
        </is>
      </c>
      <c r="G23" t="n">
        <v>16.1</v>
      </c>
      <c r="H23" t="n">
        <v>3</v>
      </c>
      <c r="I23" t="n">
        <v>2</v>
      </c>
      <c r="J23" t="n">
        <v>10</v>
      </c>
      <c r="K23" t="n">
        <v>1</v>
      </c>
      <c r="L23" t="n">
        <v>0</v>
      </c>
      <c r="M23" t="n">
        <v>0</v>
      </c>
      <c r="N23" t="n">
        <v>0</v>
      </c>
      <c r="O23" t="n">
        <v>11</v>
      </c>
      <c r="P23" t="n">
        <v>1</v>
      </c>
      <c r="Q23" t="n">
        <v>14</v>
      </c>
      <c r="R23" s="2" t="inlineStr">
        <is>
          <t>Knärot
Gammelgransskål
Garnlav
Granticka
Harticka
Lunglav
Skrovellav
Stjärntagging
Tretåig hackspett
Ullticka
Vitgrynig nållav
Gulnål
Skinnlav
Revlummer</t>
        </is>
      </c>
      <c r="S23">
        <f>HYPERLINK("https://klasma.github.io/Logging_2309/artfynd/A 1955-2022 artfynd.xlsx", "A 1955-2022")</f>
        <v/>
      </c>
      <c r="T23">
        <f>HYPERLINK("https://klasma.github.io/Logging_2309/kartor/A 1955-2022 karta.png", "A 1955-2022")</f>
        <v/>
      </c>
      <c r="U23">
        <f>HYPERLINK("https://klasma.github.io/Logging_2309/knärot/A 1955-2022 karta knärot.png", "A 1955-2022")</f>
        <v/>
      </c>
      <c r="V23">
        <f>HYPERLINK("https://klasma.github.io/Logging_2309/klagomål/A 1955-2022 FSC-klagomål.docx", "A 1955-2022")</f>
        <v/>
      </c>
      <c r="W23">
        <f>HYPERLINK("https://klasma.github.io/Logging_2309/klagomålsmail/A 1955-2022 FSC-klagomål mail.docx", "A 1955-2022")</f>
        <v/>
      </c>
      <c r="X23">
        <f>HYPERLINK("https://klasma.github.io/Logging_2309/tillsyn/A 1955-2022 tillsynsbegäran.docx", "A 1955-2022")</f>
        <v/>
      </c>
      <c r="Y23">
        <f>HYPERLINK("https://klasma.github.io/Logging_2309/tillsynsmail/A 1955-2022 tillsynsbegäran mail.docx", "A 1955-2022")</f>
        <v/>
      </c>
      <c r="Z23">
        <f>HYPERLINK("https://klasma.github.io/Logging_2309/fåglar/A 1955-2022 prioriterade fågelarter.docx", "A 1955-2022")</f>
        <v/>
      </c>
    </row>
    <row r="24" ht="15" customHeight="1">
      <c r="A24" t="inlineStr">
        <is>
          <t>A 24413-2023</t>
        </is>
      </c>
      <c r="B24" s="1" t="n">
        <v>45082</v>
      </c>
      <c r="C24" s="1" t="n">
        <v>45580</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45580</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45580</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45580</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45580</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45580</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45580</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45580</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45580</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45580</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45580</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45580</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45580</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45580</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45580</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45580</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45580</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45580</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45580</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45580</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45580</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45580</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45580</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45580</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45580</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45580</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45580</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45580</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45580</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45580</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45580</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45580</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45580</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45580</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45580</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45580</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45580</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45580</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45580</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45580</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45580</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45580</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45580</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45580</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45580</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45580</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45580</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45580</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45580</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45580</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45580</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45580</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45580</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45580</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45580</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45580</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45580</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45580</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45580</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45580</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45580</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45580</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45580</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45580</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45580</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45580</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45580</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45580</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45580</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45580</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45580</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45580</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45580</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45580</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45580</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45580</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45580</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45580</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45580</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45580</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45580</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45580</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45580</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45580</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45580</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45580</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45580</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45580</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45580</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45580</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45580</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45580</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45580</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45580</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45580</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45580</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45580</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45580</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45580</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45580</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45580</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45580</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45580</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45580</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45580</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45580</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45580</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45580</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45580</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45580</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45580</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45580</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45683-2019</t>
        </is>
      </c>
      <c r="B136" s="1" t="n">
        <v>43717</v>
      </c>
      <c r="C136" s="1" t="n">
        <v>45580</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45580</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45580</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45580</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45580</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45580</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45580</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45580</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45580</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45580</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45580</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45580</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45580</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45580</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45580</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45580</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45580</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45580</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45580</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45580</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45580</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45580</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45580</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45580</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45580</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45580</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45580</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45580</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45580</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45580</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45580</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45580</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45580</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45580</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45580</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45580</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45580</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45580</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45580</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45580</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45580</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45580</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45580</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45580</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45580</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45580</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45580</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45580</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45580</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45580</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45580</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45580</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45580</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45580</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45580</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45580</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45580</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45580</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45580</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45580</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45580</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45580</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45580</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45580</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45580</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45580</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45580</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45580</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45580</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45580</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45580</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45580</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45580</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45580</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45580</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45580</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45580</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45580</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45580</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45580</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45580</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45580</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45580</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45580</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45580</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45580</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45580</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45580</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45580</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45580</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45580</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45580</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45580</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45580</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45580</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45580</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45580</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45580</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45580</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45580</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45580</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45580</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45580</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45580</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45580</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45580</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45580</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45580</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45580</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45580</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45580</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45580</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45580</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45580</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45580</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45580</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45580</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45580</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45580</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45580</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45580</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45580</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45580</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45580</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45580</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45580</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45580</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45580</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45580</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45580</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45580</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45580</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45580</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45580</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45580</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45580</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45580</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45580</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45580</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45580</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45580</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45580</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45580</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45580</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45580</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45580</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45580</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45580</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45580</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45580</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45580</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45580</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45580</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45580</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45580</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45580</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45580</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45580</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45580</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45580</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45580</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45580</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45580</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45580</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45580</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45580</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45580</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45580</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45580</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45580</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45580</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45580</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45580</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45580</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45580</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45580</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45580</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45580</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45580</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45580</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45580</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45580</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45580</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45580</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45580</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45580</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45580</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45580</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45580</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45580</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45580</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45580</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45580</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45580</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45580</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45580</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45580</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45580</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45580</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45580</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45580</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45580</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45580</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45580</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45580</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45580</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45580</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45580</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45580</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45580</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45580</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45580</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45580</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45580</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45580</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45580</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45580</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45580</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45580</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45580</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45580</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45580</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45580</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45580</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45580</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45580</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45580</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45580</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45580</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45580</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45580</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45580</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45580</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45580</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45580</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45580</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45580</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45580</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45580</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45580</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45580</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45580</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45580</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45580</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45580</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45580</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45580</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45580</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45580</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45580</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45580</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45580</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45580</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45580</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45580</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45580</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45580</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45580</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45580</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45580</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45580</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45580</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45580</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45580</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45580</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45580</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45580</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45580</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45580</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45580</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45580</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45580</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45580</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45580</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45580</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45580</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45580</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45580</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45580</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45580</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45580</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45580</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45580</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45580</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45580</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45580</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45580</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45580</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45580</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45580</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45580</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45580</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45580</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45580</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45580</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45580</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45580</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45580</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45580</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45580</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45580</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45580</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45580</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45580</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45580</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45580</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45580</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45580</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45580</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45580</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45580</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45580</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45580</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45580</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45580</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45580</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45580</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45580</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45580</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45580</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45580</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45580</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45580</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45580</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45580</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45580</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45580</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45580</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45580</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45580</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45580</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45580</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45580</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45580</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45580</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45580</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45580</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45580</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45580</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45580</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45580</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45580</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45580</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45580</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45580</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45580</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45580</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45580</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45580</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45580</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45580</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45580</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45580</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45580</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45580</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45580</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45580</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45580</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45580</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45580</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45580</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45580</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45580</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45580</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45580</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45580</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45580</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45580</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45580</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45580</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45580</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45580</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45580</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45580</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45580</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45580</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45580</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45580</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45580</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45580</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45580</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45580</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45580</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45580</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45580</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45580</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45580</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45580</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45580</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45580</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45580</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45580</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45580</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45580</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45580</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45580</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45580</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45580</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45580</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45580</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45580</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45580</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45580</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45580</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45580</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45580</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45580</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45580</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45580</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45580</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45580</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45580</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45580</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45580</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45580</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45580</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45580</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45580</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45580</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45580</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45580</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45580</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45580</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45580</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45580</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45580</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45580</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45580</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45580</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45580</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45580</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45580</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45580</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45580</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45580</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45580</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45580</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45580</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45580</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45580</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45580</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45580</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45580</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45580</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45580</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45580</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45580</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45580</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45580</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45580</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45580</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45580</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45580</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45580</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45580</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45580</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45580</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45580</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45580</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45580</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45580</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45580</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45580</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45580</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45580</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45580</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45580</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45580</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45580</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45580</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45580</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45580</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45580</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45580</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45580</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45580</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45580</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45580</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45580</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45580</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45580</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45580</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45580</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45580</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45580</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45580</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45580</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45580</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45580</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45580</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45580</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45580</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45580</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45580</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45580</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45580</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45580</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45580</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45580</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45580</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45580</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45580</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45580</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45580</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45580</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45580</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45580</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45580</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45580</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45580</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45580</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45580</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45580</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45580</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45580</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45580</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45580</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45580</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45580</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45580</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45580</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45580</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45580</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45580</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45580</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45580</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45580</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45580</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45580</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45580</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45580</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45580</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45580</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45580</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45580</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45580</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45580</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45580</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45580</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45580</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45580</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45580</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45580</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45580</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45580</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45580</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45580</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45580</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45580</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45580</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45580</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45580</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45580</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45580</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45580</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45580</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45580</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45580</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45580</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45580</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45580</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45580</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45580</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45580</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45580</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45580</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45580</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45580</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45580</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45580</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45580</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45580</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45580</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45580</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45580</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45580</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45580</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45580</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45580</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45580</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45580</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45580</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45580</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45580</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45580</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45580</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45580</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45580</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45580</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45580</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45580</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45580</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45580</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45580</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45580</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45580</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45580</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45580</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45580</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45580</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45580</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45580</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45580</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45580</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45580</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45580</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45580</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45580</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45580</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45580</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45580</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45580</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45580</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45580</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45580</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45580</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45580</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45580</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45580</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45580</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45580</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45580</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45580</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45580</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45580</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45580</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45580</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45580</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45580</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45580</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45580</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45580</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45580</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45580</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45580</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45580</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45580</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45580</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45580</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45580</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45580</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45580</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45580</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45580</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45580</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45580</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45580</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45580</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45580</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45580</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45580</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45580</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45580</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45580</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45580</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45580</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45580</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45580</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45580</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45580</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45580</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45580</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45580</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45580</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45580</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45580</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45580</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45580</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45580</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45580</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45580</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45580</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45580</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45580</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45580</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45580</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45580</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45580</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45580</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45580</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45580</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45580</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45580</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45580</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45580</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45580</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45580</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45580</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45580</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45580</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45580</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45580</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45580</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45580</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45580</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45580</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45580</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45580</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45580</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45580</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45580</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45580</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45580</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45580</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45580</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45580</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45580</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45580</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45580</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45580</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45580</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45580</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45580</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45580</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45580</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45580</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45580</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45580</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45580</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45580</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45580</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45580</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45580</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45580</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45580</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45580</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45580</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45580</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45580</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45580</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45580</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45580</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45580</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45580</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45580</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45580</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45580</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45580</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45580</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45580</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45580</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45580</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45580</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45580</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45580</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45580</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45580</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45580</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45580</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45580</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45580</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45580</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45580</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45580</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45580</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45580</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45580</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45580</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45580</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45580</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45580</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45580</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45580</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45580</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45580</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45580</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45580</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45580</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45580</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45580</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45580</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45580</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45580</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45580</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45580</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45580</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45580</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45580</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45580</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45580</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45580</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45580</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45580</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45580</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45580</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45580</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45580</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45580</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45580</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45580</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45580</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45580</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45580</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45580</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45580</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45580</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45580</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45580</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45580</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45580</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45580</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45580</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45580</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45580</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45580</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45580</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45580</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45580</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45580</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45580</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45580</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45580</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45580</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45580</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45580</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45580</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45580</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45580</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45580</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45580</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45580</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45580</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45580</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45580</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45580</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45580</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45580</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45580</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45580</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45580</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45580</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45580</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45580</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45580</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45580</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45580</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45580</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45580</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45580</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45580</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45580</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45580</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45580</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45580</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45580</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45580</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45580</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45580</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45580</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45580</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45580</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45580</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45580</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45580</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45580</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45580</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45580</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45580</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45580</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45580</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45580</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45580</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45580</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45580</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45580</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45580</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45580</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45580</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45580</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45580</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45580</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45580</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45580</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45580</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45580</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45580</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45580</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45580</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45580</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45580</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45580</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45580</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45580</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45580</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45580</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45580</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45580</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45580</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45580</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45580</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45580</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45580</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45580</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45580</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45580</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45580</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45580</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45580</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45580</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45580</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45580</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45580</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45580</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45580</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45580</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45580</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45580</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45580</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45580</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45580</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45580</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45580</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45580</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45580</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45580</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45580</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45580</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45580</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45580</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45580</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45580</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45580</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45580</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45580</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45580</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45580</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45580</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45580</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45580</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45580</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45580</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45580</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45580</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45580</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45580</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45580</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45580</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45580</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45580</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45580</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45580</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45580</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45580</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45580</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45580</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45580</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45580</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45580</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45580</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45580</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45580</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45580</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45580</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45580</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45580</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45580</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45580</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45580</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45580</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45580</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45580</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45580</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45580</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45580</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45580</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45580</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45580</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45580</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45580</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45580</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45580</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45580</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45580</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45580</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45580</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45580</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45580</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45580</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45580</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45580</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45580</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45580</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45580</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45580</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45580</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45580</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45580</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45580</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45580</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45580</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45580</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45580</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45580</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45580</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45580</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45580</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45580</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45580</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45580</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45580</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45580</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45580</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45580</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45580</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45580</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45580</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45580</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45580</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45580</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45580</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45580</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45580</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45580</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45580</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45580</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45580</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45580</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45580</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45580</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45580</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45580</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45580</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45580</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45580</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45580</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45580</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45580</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45580</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45580</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45580</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45580</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45580</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45580</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45580</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45580</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45580</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45580</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45580</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45580</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45580</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45580</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45580</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45580</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45580</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45580</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45580</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45580</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45580</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45580</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45580</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45580</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45580</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45580</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45580</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45580</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45580</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45580</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45580</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45580</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45580</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45580</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45580</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45580</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45580</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45580</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45580</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45580</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45580</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45580</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45580</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45580</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45580</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45580</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45580</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45580</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45580</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45580</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45580</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45580</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45580</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45580</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45580</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45580</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45580</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45580</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45580</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45580</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45580</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45580</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45580</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45580</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45580</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45580</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45580</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45580</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45580</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45580</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45580</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45580</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45580</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45580</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45580</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45580</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45580</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45580</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45580</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45580</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45580</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45580</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45580</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45580</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45580</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45580</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45580</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45580</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45580</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45580</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45580</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45580</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45580</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45580</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45580</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45580</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45580</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45580</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45580</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45580</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45580</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45580</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45580</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45580</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45580</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45580</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45580</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45580</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45580</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45580</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45580</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45580</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45580</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45580</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45580</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45580</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45580</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45580</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45580</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45580</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45580</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45580</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45580</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45580</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45580</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45580</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45580</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45580</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45580</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45580</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45580</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45580</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45580</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45580</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45580</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45580</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45580</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45580</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45580</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45580</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45580</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45580</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45580</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45580</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45580</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45580</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45580</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45580</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45580</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45580</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45580</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45580</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45580</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45580</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45580</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45580</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45580</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45580</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45580</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45580</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45580</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45580</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45580</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45580</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45580</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45580</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45580</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45580</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45580</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45580</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45580</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45580</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45580</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45580</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45580</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45580</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45580</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45580</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45580</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45580</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45580</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45580</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45580</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45580</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45580</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45580</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45580</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45580</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45580</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45580</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45580</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45580</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45580</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45580</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45580</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45580</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45580</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45580</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45580</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45580</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45580</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45580</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45580</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45580</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45580</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45580</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45580</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45580</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45580</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45580</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45580</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45580</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45580</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45580</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45580</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45580</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45580</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45580</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45580</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45580</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45580</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45580</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45580</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45580</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45580</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39751-2024</t>
        </is>
      </c>
      <c r="B1388" s="1" t="n">
        <v>45552</v>
      </c>
      <c r="C1388" s="1" t="n">
        <v>45580</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45580</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45580</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45580</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45580</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45580</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45580</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45580</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45580</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45580</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45580</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45580</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45580</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45580</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45580</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45580</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41700-2024</t>
        </is>
      </c>
      <c r="B1404" s="1" t="n">
        <v>45560</v>
      </c>
      <c r="C1404" s="1" t="n">
        <v>45580</v>
      </c>
      <c r="D1404" t="inlineStr">
        <is>
          <t>JÄMTLANDS LÄN</t>
        </is>
      </c>
      <c r="E1404" t="inlineStr">
        <is>
          <t>KROKOM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45580</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45580</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45580</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45580</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45580</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45580</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41972-2024</t>
        </is>
      </c>
      <c r="B1411" s="1" t="n">
        <v>45561</v>
      </c>
      <c r="C1411" s="1" t="n">
        <v>45580</v>
      </c>
      <c r="D1411" t="inlineStr">
        <is>
          <t>JÄMTLANDS LÄN</t>
        </is>
      </c>
      <c r="E1411" t="inlineStr">
        <is>
          <t>KROKOM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45580</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45580</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45580</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45580</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45580</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45580</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45580</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45580</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45580</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44296-2024</t>
        </is>
      </c>
      <c r="B1421" s="1" t="n">
        <v>45573</v>
      </c>
      <c r="C1421" s="1" t="n">
        <v>45580</v>
      </c>
      <c r="D1421" t="inlineStr">
        <is>
          <t>JÄMTLANDS LÄN</t>
        </is>
      </c>
      <c r="E1421" t="inlineStr">
        <is>
          <t>KROKOM</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44221-2024</t>
        </is>
      </c>
      <c r="B1422" s="1" t="n">
        <v>45573</v>
      </c>
      <c r="C1422" s="1" t="n">
        <v>45580</v>
      </c>
      <c r="D1422" t="inlineStr">
        <is>
          <t>JÄMTLANDS LÄN</t>
        </is>
      </c>
      <c r="E1422" t="inlineStr">
        <is>
          <t>KROKOM</t>
        </is>
      </c>
      <c r="F1422" t="inlineStr">
        <is>
          <t>Övriga Aktiebolag</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44519-2024</t>
        </is>
      </c>
      <c r="B1423" s="1" t="n">
        <v>45574</v>
      </c>
      <c r="C1423" s="1" t="n">
        <v>45580</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45336-2024</t>
        </is>
      </c>
      <c r="B1424" s="1" t="n">
        <v>45576</v>
      </c>
      <c r="C1424" s="1" t="n">
        <v>45580</v>
      </c>
      <c r="D1424" t="inlineStr">
        <is>
          <t>JÄMTLANDS LÄN</t>
        </is>
      </c>
      <c r="E1424" t="inlineStr">
        <is>
          <t>KROKOM</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45750-2024</t>
        </is>
      </c>
      <c r="B1425" s="1" t="n">
        <v>45579</v>
      </c>
      <c r="C1425" s="1" t="n">
        <v>45580</v>
      </c>
      <c r="D1425" t="inlineStr">
        <is>
          <t>JÄMTLANDS LÄN</t>
        </is>
      </c>
      <c r="E1425" t="inlineStr">
        <is>
          <t>KROKOM</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45777-2024</t>
        </is>
      </c>
      <c r="B1426" s="1" t="n">
        <v>45579</v>
      </c>
      <c r="C1426" s="1" t="n">
        <v>45580</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c r="A1427" t="inlineStr">
        <is>
          <t>A 45753-2024</t>
        </is>
      </c>
      <c r="B1427" s="1" t="n">
        <v>45579</v>
      </c>
      <c r="C1427" s="1" t="n">
        <v>45580</v>
      </c>
      <c r="D1427" t="inlineStr">
        <is>
          <t>JÄMTLANDS LÄN</t>
        </is>
      </c>
      <c r="E1427" t="inlineStr">
        <is>
          <t>KROKOM</t>
        </is>
      </c>
      <c r="G1427" t="n">
        <v>2.5</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2024-10-15T12:42:43Z</dcterms:created>
  <dcterms:modified xmlns:dcterms="http://purl.org/dc/terms/" xmlns:xsi="http://www.w3.org/2001/XMLSchema-instance" xsi:type="dcterms:W3CDTF">2024-10-15T12:42:44Z</dcterms:modified>
</cp:coreProperties>
</file>