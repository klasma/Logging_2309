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45353</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45353</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45353</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45353</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45353</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45353</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45353</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45353</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45353</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45353</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45353</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45353</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45353</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45353</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45353</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45353</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45353</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45353</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45353</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45353</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45353</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45353</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45353</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45353</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45353</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45353</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45353</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45353</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45353</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45353</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45353</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45353</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45353</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45353</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45353</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45353</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45353</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45353</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45353</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45353</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45353</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45353</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45353</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45353</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45353</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45353</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45353</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45353</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45353</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45353</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45353</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45353</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45353</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45353</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45353</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45353</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45353</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45353</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45353</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45353</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45353</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45353</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45353</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45353</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45353</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45353</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45353</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45353</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45353</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45353</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45353</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45353</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45353</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45353</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45353</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45353</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45353</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45353</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45353</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45353</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45353</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45353</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45353</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45353</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45353</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45353</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45353</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45353</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45353</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45353</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45353</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45353</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45353</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45353</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45353</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45353</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45353</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2256-2024</t>
        </is>
      </c>
      <c r="B99" s="1" t="n">
        <v>45310</v>
      </c>
      <c r="C99" s="1" t="n">
        <v>45353</v>
      </c>
      <c r="D99" t="inlineStr">
        <is>
          <t>JÄMTLANDS LÄN</t>
        </is>
      </c>
      <c r="E99" t="inlineStr">
        <is>
          <t>KROKOM</t>
        </is>
      </c>
      <c r="G99" t="n">
        <v>29.6</v>
      </c>
      <c r="H99" t="n">
        <v>1</v>
      </c>
      <c r="I99" t="n">
        <v>1</v>
      </c>
      <c r="J99" t="n">
        <v>2</v>
      </c>
      <c r="K99" t="n">
        <v>0</v>
      </c>
      <c r="L99" t="n">
        <v>0</v>
      </c>
      <c r="M99" t="n">
        <v>0</v>
      </c>
      <c r="N99" t="n">
        <v>0</v>
      </c>
      <c r="O99" t="n">
        <v>2</v>
      </c>
      <c r="P99" t="n">
        <v>0</v>
      </c>
      <c r="Q99" t="n">
        <v>4</v>
      </c>
      <c r="R99" s="2" t="inlineStr">
        <is>
          <t>Garnlav
Gränsticka
Stuplav
Revlummer</t>
        </is>
      </c>
      <c r="S99">
        <f>HYPERLINK("https://klasma.github.io/Logging_2309/artfynd/A 2256-2024 artfynd.xlsx", "A 2256-2024")</f>
        <v/>
      </c>
      <c r="T99">
        <f>HYPERLINK("https://klasma.github.io/Logging_2309/kartor/A 2256-2024 karta.png", "A 2256-2024")</f>
        <v/>
      </c>
      <c r="V99">
        <f>HYPERLINK("https://klasma.github.io/Logging_2309/klagomål/A 2256-2024 FSC-klagomål.docx", "A 2256-2024")</f>
        <v/>
      </c>
      <c r="W99">
        <f>HYPERLINK("https://klasma.github.io/Logging_2309/klagomålsmail/A 2256-2024 FSC-klagomål mail.docx", "A 2256-2024")</f>
        <v/>
      </c>
      <c r="X99">
        <f>HYPERLINK("https://klasma.github.io/Logging_2309/tillsyn/A 2256-2024 tillsynsbegäran.docx", "A 2256-2024")</f>
        <v/>
      </c>
      <c r="Y99">
        <f>HYPERLINK("https://klasma.github.io/Logging_2309/tillsynsmail/A 2256-2024 tillsynsbegäran mail.docx", "A 2256-2024")</f>
        <v/>
      </c>
    </row>
    <row r="100" ht="15" customHeight="1">
      <c r="A100" t="inlineStr">
        <is>
          <t>A 56744-2018</t>
        </is>
      </c>
      <c r="B100" s="1" t="n">
        <v>43402</v>
      </c>
      <c r="C100" s="1" t="n">
        <v>45353</v>
      </c>
      <c r="D100" t="inlineStr">
        <is>
          <t>JÄMTLANDS LÄN</t>
        </is>
      </c>
      <c r="E100" t="inlineStr">
        <is>
          <t>KROKOM</t>
        </is>
      </c>
      <c r="G100" t="n">
        <v>5.9</v>
      </c>
      <c r="H100" t="n">
        <v>1</v>
      </c>
      <c r="I100" t="n">
        <v>1</v>
      </c>
      <c r="J100" t="n">
        <v>1</v>
      </c>
      <c r="K100" t="n">
        <v>0</v>
      </c>
      <c r="L100" t="n">
        <v>0</v>
      </c>
      <c r="M100" t="n">
        <v>0</v>
      </c>
      <c r="N100" t="n">
        <v>0</v>
      </c>
      <c r="O100" t="n">
        <v>1</v>
      </c>
      <c r="P100" t="n">
        <v>0</v>
      </c>
      <c r="Q100" t="n">
        <v>3</v>
      </c>
      <c r="R100" s="2" t="inlineStr">
        <is>
          <t>Garnlav
Luddlav
Revlummer</t>
        </is>
      </c>
      <c r="S100">
        <f>HYPERLINK("https://klasma.github.io/Logging_2309/artfynd/A 56744-2018 artfynd.xlsx", "A 56744-2018")</f>
        <v/>
      </c>
      <c r="T100">
        <f>HYPERLINK("https://klasma.github.io/Logging_2309/kartor/A 56744-2018 karta.png", "A 56744-2018")</f>
        <v/>
      </c>
      <c r="V100">
        <f>HYPERLINK("https://klasma.github.io/Logging_2309/klagomål/A 56744-2018 FSC-klagomål.docx", "A 56744-2018")</f>
        <v/>
      </c>
      <c r="W100">
        <f>HYPERLINK("https://klasma.github.io/Logging_2309/klagomålsmail/A 56744-2018 FSC-klagomål mail.docx", "A 56744-2018")</f>
        <v/>
      </c>
      <c r="X100">
        <f>HYPERLINK("https://klasma.github.io/Logging_2309/tillsyn/A 56744-2018 tillsynsbegäran.docx", "A 56744-2018")</f>
        <v/>
      </c>
      <c r="Y100">
        <f>HYPERLINK("https://klasma.github.io/Logging_2309/tillsynsmail/A 56744-2018 tillsynsbegäran mail.docx", "A 56744-2018")</f>
        <v/>
      </c>
    </row>
    <row r="101" ht="15" customHeight="1">
      <c r="A101" t="inlineStr">
        <is>
          <t>A 5935-2019</t>
        </is>
      </c>
      <c r="B101" s="1" t="n">
        <v>43490</v>
      </c>
      <c r="C101" s="1" t="n">
        <v>45353</v>
      </c>
      <c r="D101" t="inlineStr">
        <is>
          <t>JÄMTLANDS LÄN</t>
        </is>
      </c>
      <c r="E101" t="inlineStr">
        <is>
          <t>KROKOM</t>
        </is>
      </c>
      <c r="G101" t="n">
        <v>7</v>
      </c>
      <c r="H101" t="n">
        <v>1</v>
      </c>
      <c r="I101" t="n">
        <v>1</v>
      </c>
      <c r="J101" t="n">
        <v>2</v>
      </c>
      <c r="K101" t="n">
        <v>0</v>
      </c>
      <c r="L101" t="n">
        <v>0</v>
      </c>
      <c r="M101" t="n">
        <v>0</v>
      </c>
      <c r="N101" t="n">
        <v>0</v>
      </c>
      <c r="O101" t="n">
        <v>2</v>
      </c>
      <c r="P101" t="n">
        <v>0</v>
      </c>
      <c r="Q101" t="n">
        <v>3</v>
      </c>
      <c r="R101" s="2" t="inlineStr">
        <is>
          <t>Garnlav
Ullticka
Guckusko</t>
        </is>
      </c>
      <c r="S101">
        <f>HYPERLINK("https://klasma.github.io/Logging_2309/artfynd/A 5935-2019 artfynd.xlsx", "A 5935-2019")</f>
        <v/>
      </c>
      <c r="T101">
        <f>HYPERLINK("https://klasma.github.io/Logging_2309/kartor/A 5935-2019 karta.png", "A 5935-2019")</f>
        <v/>
      </c>
      <c r="V101">
        <f>HYPERLINK("https://klasma.github.io/Logging_2309/klagomål/A 5935-2019 FSC-klagomål.docx", "A 5935-2019")</f>
        <v/>
      </c>
      <c r="W101">
        <f>HYPERLINK("https://klasma.github.io/Logging_2309/klagomålsmail/A 5935-2019 FSC-klagomål mail.docx", "A 5935-2019")</f>
        <v/>
      </c>
      <c r="X101">
        <f>HYPERLINK("https://klasma.github.io/Logging_2309/tillsyn/A 5935-2019 tillsynsbegäran.docx", "A 5935-2019")</f>
        <v/>
      </c>
      <c r="Y101">
        <f>HYPERLINK("https://klasma.github.io/Logging_2309/tillsynsmail/A 5935-2019 tillsynsbegäran mail.docx", "A 5935-2019")</f>
        <v/>
      </c>
    </row>
    <row r="102" ht="15" customHeight="1">
      <c r="A102" t="inlineStr">
        <is>
          <t>A 45683-2019</t>
        </is>
      </c>
      <c r="B102" s="1" t="n">
        <v>43717</v>
      </c>
      <c r="C102" s="1" t="n">
        <v>45353</v>
      </c>
      <c r="D102" t="inlineStr">
        <is>
          <t>JÄMTLANDS LÄN</t>
        </is>
      </c>
      <c r="E102" t="inlineStr">
        <is>
          <t>KROKOM</t>
        </is>
      </c>
      <c r="G102" t="n">
        <v>4.6</v>
      </c>
      <c r="H102" t="n">
        <v>2</v>
      </c>
      <c r="I102" t="n">
        <v>0</v>
      </c>
      <c r="J102" t="n">
        <v>2</v>
      </c>
      <c r="K102" t="n">
        <v>1</v>
      </c>
      <c r="L102" t="n">
        <v>0</v>
      </c>
      <c r="M102" t="n">
        <v>0</v>
      </c>
      <c r="N102" t="n">
        <v>0</v>
      </c>
      <c r="O102" t="n">
        <v>3</v>
      </c>
      <c r="P102" t="n">
        <v>1</v>
      </c>
      <c r="Q102" t="n">
        <v>3</v>
      </c>
      <c r="R102" s="2" t="inlineStr">
        <is>
          <t>Knärot
Gränsticka
Tretåig hackspett</t>
        </is>
      </c>
      <c r="S102">
        <f>HYPERLINK("https://klasma.github.io/Logging_2309/artfynd/A 45683-2019 artfynd.xlsx", "A 45683-2019")</f>
        <v/>
      </c>
      <c r="T102">
        <f>HYPERLINK("https://klasma.github.io/Logging_2309/kartor/A 45683-2019 karta.png", "A 45683-2019")</f>
        <v/>
      </c>
      <c r="U102">
        <f>HYPERLINK("https://klasma.github.io/Logging_2309/knärot/A 45683-2019 karta knärot.png", "A 45683-2019")</f>
        <v/>
      </c>
      <c r="V102">
        <f>HYPERLINK("https://klasma.github.io/Logging_2309/klagomål/A 45683-2019 FSC-klagomål.docx", "A 45683-2019")</f>
        <v/>
      </c>
      <c r="W102">
        <f>HYPERLINK("https://klasma.github.io/Logging_2309/klagomålsmail/A 45683-2019 FSC-klagomål mail.docx", "A 45683-2019")</f>
        <v/>
      </c>
      <c r="X102">
        <f>HYPERLINK("https://klasma.github.io/Logging_2309/tillsyn/A 45683-2019 tillsynsbegäran.docx", "A 45683-2019")</f>
        <v/>
      </c>
      <c r="Y102">
        <f>HYPERLINK("https://klasma.github.io/Logging_2309/tillsynsmail/A 45683-2019 tillsynsbegäran mail.docx", "A 45683-2019")</f>
        <v/>
      </c>
      <c r="Z102">
        <f>HYPERLINK("https://klasma.github.io/Logging_2309/fåglar/A 45683-2019 prioriterade fågelarter.docx", "A 45683-2019")</f>
        <v/>
      </c>
    </row>
    <row r="103" ht="15" customHeight="1">
      <c r="A103" t="inlineStr">
        <is>
          <t>A 57028-2019</t>
        </is>
      </c>
      <c r="B103" s="1" t="n">
        <v>43766</v>
      </c>
      <c r="C103" s="1" t="n">
        <v>45353</v>
      </c>
      <c r="D103" t="inlineStr">
        <is>
          <t>JÄMTLANDS LÄN</t>
        </is>
      </c>
      <c r="E103" t="inlineStr">
        <is>
          <t>KROKOM</t>
        </is>
      </c>
      <c r="G103" t="n">
        <v>13.6</v>
      </c>
      <c r="H103" t="n">
        <v>0</v>
      </c>
      <c r="I103" t="n">
        <v>1</v>
      </c>
      <c r="J103" t="n">
        <v>1</v>
      </c>
      <c r="K103" t="n">
        <v>1</v>
      </c>
      <c r="L103" t="n">
        <v>0</v>
      </c>
      <c r="M103" t="n">
        <v>0</v>
      </c>
      <c r="N103" t="n">
        <v>0</v>
      </c>
      <c r="O103" t="n">
        <v>2</v>
      </c>
      <c r="P103" t="n">
        <v>1</v>
      </c>
      <c r="Q103" t="n">
        <v>3</v>
      </c>
      <c r="R103" s="2" t="inlineStr">
        <is>
          <t>Liten sotlav
Rödbrun blekspik
Rostfläck</t>
        </is>
      </c>
      <c r="S103">
        <f>HYPERLINK("https://klasma.github.io/Logging_2309/artfynd/A 57028-2019 artfynd.xlsx", "A 57028-2019")</f>
        <v/>
      </c>
      <c r="T103">
        <f>HYPERLINK("https://klasma.github.io/Logging_2309/kartor/A 57028-2019 karta.png", "A 57028-2019")</f>
        <v/>
      </c>
      <c r="V103">
        <f>HYPERLINK("https://klasma.github.io/Logging_2309/klagomål/A 57028-2019 FSC-klagomål.docx", "A 57028-2019")</f>
        <v/>
      </c>
      <c r="W103">
        <f>HYPERLINK("https://klasma.github.io/Logging_2309/klagomålsmail/A 57028-2019 FSC-klagomål mail.docx", "A 57028-2019")</f>
        <v/>
      </c>
      <c r="X103">
        <f>HYPERLINK("https://klasma.github.io/Logging_2309/tillsyn/A 57028-2019 tillsynsbegäran.docx", "A 57028-2019")</f>
        <v/>
      </c>
      <c r="Y103">
        <f>HYPERLINK("https://klasma.github.io/Logging_2309/tillsynsmail/A 57028-2019 tillsynsbegäran mail.docx", "A 57028-2019")</f>
        <v/>
      </c>
    </row>
    <row r="104" ht="15" customHeight="1">
      <c r="A104" t="inlineStr">
        <is>
          <t>A 53354-2021</t>
        </is>
      </c>
      <c r="B104" s="1" t="n">
        <v>44468</v>
      </c>
      <c r="C104" s="1" t="n">
        <v>45353</v>
      </c>
      <c r="D104" t="inlineStr">
        <is>
          <t>JÄMTLANDS LÄN</t>
        </is>
      </c>
      <c r="E104" t="inlineStr">
        <is>
          <t>KROKOM</t>
        </is>
      </c>
      <c r="F104" t="inlineStr">
        <is>
          <t>Kyrkan</t>
        </is>
      </c>
      <c r="G104" t="n">
        <v>7.8</v>
      </c>
      <c r="H104" t="n">
        <v>0</v>
      </c>
      <c r="I104" t="n">
        <v>1</v>
      </c>
      <c r="J104" t="n">
        <v>2</v>
      </c>
      <c r="K104" t="n">
        <v>0</v>
      </c>
      <c r="L104" t="n">
        <v>0</v>
      </c>
      <c r="M104" t="n">
        <v>0</v>
      </c>
      <c r="N104" t="n">
        <v>0</v>
      </c>
      <c r="O104" t="n">
        <v>2</v>
      </c>
      <c r="P104" t="n">
        <v>0</v>
      </c>
      <c r="Q104" t="n">
        <v>3</v>
      </c>
      <c r="R104" s="2" t="inlineStr">
        <is>
          <t>Granticka
Lunglav
Stuplav</t>
        </is>
      </c>
      <c r="S104">
        <f>HYPERLINK("https://klasma.github.io/Logging_2309/artfynd/A 53354-2021 artfynd.xlsx", "A 53354-2021")</f>
        <v/>
      </c>
      <c r="T104">
        <f>HYPERLINK("https://klasma.github.io/Logging_2309/kartor/A 53354-2021 karta.png", "A 53354-2021")</f>
        <v/>
      </c>
      <c r="V104">
        <f>HYPERLINK("https://klasma.github.io/Logging_2309/klagomål/A 53354-2021 FSC-klagomål.docx", "A 53354-2021")</f>
        <v/>
      </c>
      <c r="W104">
        <f>HYPERLINK("https://klasma.github.io/Logging_2309/klagomålsmail/A 53354-2021 FSC-klagomål mail.docx", "A 53354-2021")</f>
        <v/>
      </c>
      <c r="X104">
        <f>HYPERLINK("https://klasma.github.io/Logging_2309/tillsyn/A 53354-2021 tillsynsbegäran.docx", "A 53354-2021")</f>
        <v/>
      </c>
      <c r="Y104">
        <f>HYPERLINK("https://klasma.github.io/Logging_2309/tillsynsmail/A 53354-2021 tillsynsbegäran mail.docx", "A 53354-2021")</f>
        <v/>
      </c>
    </row>
    <row r="105" ht="15" customHeight="1">
      <c r="A105" t="inlineStr">
        <is>
          <t>A 64300-2021</t>
        </is>
      </c>
      <c r="B105" s="1" t="n">
        <v>44510</v>
      </c>
      <c r="C105" s="1" t="n">
        <v>45353</v>
      </c>
      <c r="D105" t="inlineStr">
        <is>
          <t>JÄMTLANDS LÄN</t>
        </is>
      </c>
      <c r="E105" t="inlineStr">
        <is>
          <t>KROKOM</t>
        </is>
      </c>
      <c r="G105" t="n">
        <v>8.6</v>
      </c>
      <c r="H105" t="n">
        <v>0</v>
      </c>
      <c r="I105" t="n">
        <v>0</v>
      </c>
      <c r="J105" t="n">
        <v>3</v>
      </c>
      <c r="K105" t="n">
        <v>0</v>
      </c>
      <c r="L105" t="n">
        <v>0</v>
      </c>
      <c r="M105" t="n">
        <v>0</v>
      </c>
      <c r="N105" t="n">
        <v>0</v>
      </c>
      <c r="O105" t="n">
        <v>3</v>
      </c>
      <c r="P105" t="n">
        <v>0</v>
      </c>
      <c r="Q105" t="n">
        <v>3</v>
      </c>
      <c r="R105" s="2" t="inlineStr">
        <is>
          <t>Garnlav
Lunglav
Skrovellav</t>
        </is>
      </c>
      <c r="S105">
        <f>HYPERLINK("https://klasma.github.io/Logging_2309/artfynd/A 64300-2021 artfynd.xlsx", "A 64300-2021")</f>
        <v/>
      </c>
      <c r="T105">
        <f>HYPERLINK("https://klasma.github.io/Logging_2309/kartor/A 64300-2021 karta.png", "A 64300-2021")</f>
        <v/>
      </c>
      <c r="V105">
        <f>HYPERLINK("https://klasma.github.io/Logging_2309/klagomål/A 64300-2021 FSC-klagomål.docx", "A 64300-2021")</f>
        <v/>
      </c>
      <c r="W105">
        <f>HYPERLINK("https://klasma.github.io/Logging_2309/klagomålsmail/A 64300-2021 FSC-klagomål mail.docx", "A 64300-2021")</f>
        <v/>
      </c>
      <c r="X105">
        <f>HYPERLINK("https://klasma.github.io/Logging_2309/tillsyn/A 64300-2021 tillsynsbegäran.docx", "A 64300-2021")</f>
        <v/>
      </c>
      <c r="Y105">
        <f>HYPERLINK("https://klasma.github.io/Logging_2309/tillsynsmail/A 64300-2021 tillsynsbegäran mail.docx", "A 64300-2021")</f>
        <v/>
      </c>
    </row>
    <row r="106" ht="15" customHeight="1">
      <c r="A106" t="inlineStr">
        <is>
          <t>A 71573-2021</t>
        </is>
      </c>
      <c r="B106" s="1" t="n">
        <v>44540</v>
      </c>
      <c r="C106" s="1" t="n">
        <v>45353</v>
      </c>
      <c r="D106" t="inlineStr">
        <is>
          <t>JÄMTLANDS LÄN</t>
        </is>
      </c>
      <c r="E106" t="inlineStr">
        <is>
          <t>KROKOM</t>
        </is>
      </c>
      <c r="G106" t="n">
        <v>1</v>
      </c>
      <c r="H106" t="n">
        <v>0</v>
      </c>
      <c r="I106" t="n">
        <v>2</v>
      </c>
      <c r="J106" t="n">
        <v>1</v>
      </c>
      <c r="K106" t="n">
        <v>0</v>
      </c>
      <c r="L106" t="n">
        <v>0</v>
      </c>
      <c r="M106" t="n">
        <v>0</v>
      </c>
      <c r="N106" t="n">
        <v>0</v>
      </c>
      <c r="O106" t="n">
        <v>1</v>
      </c>
      <c r="P106" t="n">
        <v>0</v>
      </c>
      <c r="Q106" t="n">
        <v>3</v>
      </c>
      <c r="R106" s="2" t="inlineStr">
        <is>
          <t>Doftskinn
Fjällig taggsvamp s.str.
Svavelriska</t>
        </is>
      </c>
      <c r="S106">
        <f>HYPERLINK("https://klasma.github.io/Logging_2309/artfynd/A 71573-2021 artfynd.xlsx", "A 71573-2021")</f>
        <v/>
      </c>
      <c r="T106">
        <f>HYPERLINK("https://klasma.github.io/Logging_2309/kartor/A 71573-2021 karta.png", "A 71573-2021")</f>
        <v/>
      </c>
      <c r="V106">
        <f>HYPERLINK("https://klasma.github.io/Logging_2309/klagomål/A 71573-2021 FSC-klagomål.docx", "A 71573-2021")</f>
        <v/>
      </c>
      <c r="W106">
        <f>HYPERLINK("https://klasma.github.io/Logging_2309/klagomålsmail/A 71573-2021 FSC-klagomål mail.docx", "A 71573-2021")</f>
        <v/>
      </c>
      <c r="X106">
        <f>HYPERLINK("https://klasma.github.io/Logging_2309/tillsyn/A 71573-2021 tillsynsbegäran.docx", "A 71573-2021")</f>
        <v/>
      </c>
      <c r="Y106">
        <f>HYPERLINK("https://klasma.github.io/Logging_2309/tillsynsmail/A 71573-2021 tillsynsbegäran mail.docx", "A 71573-2021")</f>
        <v/>
      </c>
    </row>
    <row r="107" ht="15" customHeight="1">
      <c r="A107" t="inlineStr">
        <is>
          <t>A 30068-2022</t>
        </is>
      </c>
      <c r="B107" s="1" t="n">
        <v>44757</v>
      </c>
      <c r="C107" s="1" t="n">
        <v>45353</v>
      </c>
      <c r="D107" t="inlineStr">
        <is>
          <t>JÄMTLANDS LÄN</t>
        </is>
      </c>
      <c r="E107" t="inlineStr">
        <is>
          <t>KROKOM</t>
        </is>
      </c>
      <c r="G107" t="n">
        <v>5</v>
      </c>
      <c r="H107" t="n">
        <v>1</v>
      </c>
      <c r="I107" t="n">
        <v>0</v>
      </c>
      <c r="J107" t="n">
        <v>3</v>
      </c>
      <c r="K107" t="n">
        <v>0</v>
      </c>
      <c r="L107" t="n">
        <v>0</v>
      </c>
      <c r="M107" t="n">
        <v>0</v>
      </c>
      <c r="N107" t="n">
        <v>0</v>
      </c>
      <c r="O107" t="n">
        <v>3</v>
      </c>
      <c r="P107" t="n">
        <v>0</v>
      </c>
      <c r="Q107" t="n">
        <v>3</v>
      </c>
      <c r="R107" s="2" t="inlineStr">
        <is>
          <t>Gränsticka
Tretåig hackspett
Ullticka</t>
        </is>
      </c>
      <c r="S107">
        <f>HYPERLINK("https://klasma.github.io/Logging_2309/artfynd/A 30068-2022 artfynd.xlsx", "A 30068-2022")</f>
        <v/>
      </c>
      <c r="T107">
        <f>HYPERLINK("https://klasma.github.io/Logging_2309/kartor/A 30068-2022 karta.png", "A 30068-2022")</f>
        <v/>
      </c>
      <c r="V107">
        <f>HYPERLINK("https://klasma.github.io/Logging_2309/klagomål/A 30068-2022 FSC-klagomål.docx", "A 30068-2022")</f>
        <v/>
      </c>
      <c r="W107">
        <f>HYPERLINK("https://klasma.github.io/Logging_2309/klagomålsmail/A 30068-2022 FSC-klagomål mail.docx", "A 30068-2022")</f>
        <v/>
      </c>
      <c r="X107">
        <f>HYPERLINK("https://klasma.github.io/Logging_2309/tillsyn/A 30068-2022 tillsynsbegäran.docx", "A 30068-2022")</f>
        <v/>
      </c>
      <c r="Y107">
        <f>HYPERLINK("https://klasma.github.io/Logging_2309/tillsynsmail/A 30068-2022 tillsynsbegäran mail.docx", "A 30068-2022")</f>
        <v/>
      </c>
      <c r="Z107">
        <f>HYPERLINK("https://klasma.github.io/Logging_2309/fåglar/A 30068-2022 prioriterade fågelarter.docx", "A 30068-2022")</f>
        <v/>
      </c>
    </row>
    <row r="108" ht="15" customHeight="1">
      <c r="A108" t="inlineStr">
        <is>
          <t>A 30069-2022</t>
        </is>
      </c>
      <c r="B108" s="1" t="n">
        <v>44757</v>
      </c>
      <c r="C108" s="1" t="n">
        <v>45353</v>
      </c>
      <c r="D108" t="inlineStr">
        <is>
          <t>JÄMTLANDS LÄN</t>
        </is>
      </c>
      <c r="E108" t="inlineStr">
        <is>
          <t>KROKOM</t>
        </is>
      </c>
      <c r="G108" t="n">
        <v>0.7</v>
      </c>
      <c r="H108" t="n">
        <v>1</v>
      </c>
      <c r="I108" t="n">
        <v>0</v>
      </c>
      <c r="J108" t="n">
        <v>2</v>
      </c>
      <c r="K108" t="n">
        <v>1</v>
      </c>
      <c r="L108" t="n">
        <v>0</v>
      </c>
      <c r="M108" t="n">
        <v>0</v>
      </c>
      <c r="N108" t="n">
        <v>0</v>
      </c>
      <c r="O108" t="n">
        <v>3</v>
      </c>
      <c r="P108" t="n">
        <v>1</v>
      </c>
      <c r="Q108" t="n">
        <v>3</v>
      </c>
      <c r="R108" s="2" t="inlineStr">
        <is>
          <t>Rynkskinn
Granticka
Tretåig hackspett</t>
        </is>
      </c>
      <c r="S108">
        <f>HYPERLINK("https://klasma.github.io/Logging_2309/artfynd/A 30069-2022 artfynd.xlsx", "A 30069-2022")</f>
        <v/>
      </c>
      <c r="T108">
        <f>HYPERLINK("https://klasma.github.io/Logging_2309/kartor/A 30069-2022 karta.png", "A 30069-2022")</f>
        <v/>
      </c>
      <c r="V108">
        <f>HYPERLINK("https://klasma.github.io/Logging_2309/klagomål/A 30069-2022 FSC-klagomål.docx", "A 30069-2022")</f>
        <v/>
      </c>
      <c r="W108">
        <f>HYPERLINK("https://klasma.github.io/Logging_2309/klagomålsmail/A 30069-2022 FSC-klagomål mail.docx", "A 30069-2022")</f>
        <v/>
      </c>
      <c r="X108">
        <f>HYPERLINK("https://klasma.github.io/Logging_2309/tillsyn/A 30069-2022 tillsynsbegäran.docx", "A 30069-2022")</f>
        <v/>
      </c>
      <c r="Y108">
        <f>HYPERLINK("https://klasma.github.io/Logging_2309/tillsynsmail/A 30069-2022 tillsynsbegäran mail.docx", "A 30069-2022")</f>
        <v/>
      </c>
      <c r="Z108">
        <f>HYPERLINK("https://klasma.github.io/Logging_2309/fåglar/A 30069-2022 prioriterade fågelarter.docx", "A 30069-2022")</f>
        <v/>
      </c>
    </row>
    <row r="109" ht="15" customHeight="1">
      <c r="A109" t="inlineStr">
        <is>
          <t>A 44869-2022</t>
        </is>
      </c>
      <c r="B109" s="1" t="n">
        <v>44841</v>
      </c>
      <c r="C109" s="1" t="n">
        <v>45353</v>
      </c>
      <c r="D109" t="inlineStr">
        <is>
          <t>JÄMTLANDS LÄN</t>
        </is>
      </c>
      <c r="E109" t="inlineStr">
        <is>
          <t>KROKOM</t>
        </is>
      </c>
      <c r="G109" t="n">
        <v>4.5</v>
      </c>
      <c r="H109" t="n">
        <v>1</v>
      </c>
      <c r="I109" t="n">
        <v>0</v>
      </c>
      <c r="J109" t="n">
        <v>1</v>
      </c>
      <c r="K109" t="n">
        <v>2</v>
      </c>
      <c r="L109" t="n">
        <v>0</v>
      </c>
      <c r="M109" t="n">
        <v>0</v>
      </c>
      <c r="N109" t="n">
        <v>0</v>
      </c>
      <c r="O109" t="n">
        <v>3</v>
      </c>
      <c r="P109" t="n">
        <v>2</v>
      </c>
      <c r="Q109" t="n">
        <v>3</v>
      </c>
      <c r="R109" s="2" t="inlineStr">
        <is>
          <t>Knärot
Ulltickeporing
Lunglav</t>
        </is>
      </c>
      <c r="S109">
        <f>HYPERLINK("https://klasma.github.io/Logging_2309/artfynd/A 44869-2022 artfynd.xlsx", "A 44869-2022")</f>
        <v/>
      </c>
      <c r="T109">
        <f>HYPERLINK("https://klasma.github.io/Logging_2309/kartor/A 44869-2022 karta.png", "A 44869-2022")</f>
        <v/>
      </c>
      <c r="U109">
        <f>HYPERLINK("https://klasma.github.io/Logging_2309/knärot/A 44869-2022 karta knärot.png", "A 44869-2022")</f>
        <v/>
      </c>
      <c r="V109">
        <f>HYPERLINK("https://klasma.github.io/Logging_2309/klagomål/A 44869-2022 FSC-klagomål.docx", "A 44869-2022")</f>
        <v/>
      </c>
      <c r="W109">
        <f>HYPERLINK("https://klasma.github.io/Logging_2309/klagomålsmail/A 44869-2022 FSC-klagomål mail.docx", "A 44869-2022")</f>
        <v/>
      </c>
      <c r="X109">
        <f>HYPERLINK("https://klasma.github.io/Logging_2309/tillsyn/A 44869-2022 tillsynsbegäran.docx", "A 44869-2022")</f>
        <v/>
      </c>
      <c r="Y109">
        <f>HYPERLINK("https://klasma.github.io/Logging_2309/tillsynsmail/A 44869-2022 tillsynsbegäran mail.docx", "A 44869-2022")</f>
        <v/>
      </c>
    </row>
    <row r="110" ht="15" customHeight="1">
      <c r="A110" t="inlineStr">
        <is>
          <t>A 51663-2022</t>
        </is>
      </c>
      <c r="B110" s="1" t="n">
        <v>44867</v>
      </c>
      <c r="C110" s="1" t="n">
        <v>45353</v>
      </c>
      <c r="D110" t="inlineStr">
        <is>
          <t>JÄMTLANDS LÄN</t>
        </is>
      </c>
      <c r="E110" t="inlineStr">
        <is>
          <t>KROKOM</t>
        </is>
      </c>
      <c r="G110" t="n">
        <v>28.5</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HYPERLINK("https://klasma.github.io/Logging_2309/artfynd/A 51663-2022 artfynd.xlsx", "A 51663-2022")</f>
        <v/>
      </c>
      <c r="T110">
        <f>HYPERLINK("https://klasma.github.io/Logging_2309/kartor/A 51663-2022 karta.png", "A 51663-2022")</f>
        <v/>
      </c>
      <c r="V110">
        <f>HYPERLINK("https://klasma.github.io/Logging_2309/klagomål/A 51663-2022 FSC-klagomål.docx", "A 51663-2022")</f>
        <v/>
      </c>
      <c r="W110">
        <f>HYPERLINK("https://klasma.github.io/Logging_2309/klagomålsmail/A 51663-2022 FSC-klagomål mail.docx", "A 51663-2022")</f>
        <v/>
      </c>
      <c r="X110">
        <f>HYPERLINK("https://klasma.github.io/Logging_2309/tillsyn/A 51663-2022 tillsynsbegäran.docx", "A 51663-2022")</f>
        <v/>
      </c>
      <c r="Y110">
        <f>HYPERLINK("https://klasma.github.io/Logging_2309/tillsynsmail/A 51663-2022 tillsynsbegäran mail.docx", "A 51663-2022")</f>
        <v/>
      </c>
      <c r="Z110">
        <f>HYPERLINK("https://klasma.github.io/Logging_2309/fåglar/A 51663-2022 prioriterade fågelarter.docx", "A 51663-2022")</f>
        <v/>
      </c>
    </row>
    <row r="111" ht="15" customHeight="1">
      <c r="A111" t="inlineStr">
        <is>
          <t>A 52264-2022</t>
        </is>
      </c>
      <c r="B111" s="1" t="n">
        <v>44873</v>
      </c>
      <c r="C111" s="1" t="n">
        <v>45353</v>
      </c>
      <c r="D111" t="inlineStr">
        <is>
          <t>JÄMTLANDS LÄN</t>
        </is>
      </c>
      <c r="E111" t="inlineStr">
        <is>
          <t>KROKOM</t>
        </is>
      </c>
      <c r="G111" t="n">
        <v>4.1</v>
      </c>
      <c r="H111" t="n">
        <v>2</v>
      </c>
      <c r="I111" t="n">
        <v>0</v>
      </c>
      <c r="J111" t="n">
        <v>2</v>
      </c>
      <c r="K111" t="n">
        <v>1</v>
      </c>
      <c r="L111" t="n">
        <v>0</v>
      </c>
      <c r="M111" t="n">
        <v>0</v>
      </c>
      <c r="N111" t="n">
        <v>0</v>
      </c>
      <c r="O111" t="n">
        <v>3</v>
      </c>
      <c r="P111" t="n">
        <v>1</v>
      </c>
      <c r="Q111" t="n">
        <v>3</v>
      </c>
      <c r="R111" s="2" t="inlineStr">
        <is>
          <t>Knärot
Tretåig hackspett
Ullticka</t>
        </is>
      </c>
      <c r="S111">
        <f>HYPERLINK("https://klasma.github.io/Logging_2309/artfynd/A 52264-2022 artfynd.xlsx", "A 52264-2022")</f>
        <v/>
      </c>
      <c r="T111">
        <f>HYPERLINK("https://klasma.github.io/Logging_2309/kartor/A 52264-2022 karta.png", "A 52264-2022")</f>
        <v/>
      </c>
      <c r="U111">
        <f>HYPERLINK("https://klasma.github.io/Logging_2309/knärot/A 52264-2022 karta knärot.png", "A 52264-2022")</f>
        <v/>
      </c>
      <c r="V111">
        <f>HYPERLINK("https://klasma.github.io/Logging_2309/klagomål/A 52264-2022 FSC-klagomål.docx", "A 52264-2022")</f>
        <v/>
      </c>
      <c r="W111">
        <f>HYPERLINK("https://klasma.github.io/Logging_2309/klagomålsmail/A 52264-2022 FSC-klagomål mail.docx", "A 52264-2022")</f>
        <v/>
      </c>
      <c r="X111">
        <f>HYPERLINK("https://klasma.github.io/Logging_2309/tillsyn/A 52264-2022 tillsynsbegäran.docx", "A 52264-2022")</f>
        <v/>
      </c>
      <c r="Y111">
        <f>HYPERLINK("https://klasma.github.io/Logging_2309/tillsynsmail/A 52264-2022 tillsynsbegäran mail.docx", "A 52264-2022")</f>
        <v/>
      </c>
      <c r="Z111">
        <f>HYPERLINK("https://klasma.github.io/Logging_2309/fåglar/A 52264-2022 prioriterade fågelarter.docx", "A 52264-2022")</f>
        <v/>
      </c>
    </row>
    <row r="112" ht="15" customHeight="1">
      <c r="A112" t="inlineStr">
        <is>
          <t>A 46013-2023</t>
        </is>
      </c>
      <c r="B112" s="1" t="n">
        <v>45196</v>
      </c>
      <c r="C112" s="1" t="n">
        <v>45353</v>
      </c>
      <c r="D112" t="inlineStr">
        <is>
          <t>JÄMTLANDS LÄN</t>
        </is>
      </c>
      <c r="E112" t="inlineStr">
        <is>
          <t>KROKOM</t>
        </is>
      </c>
      <c r="G112" t="n">
        <v>8.1</v>
      </c>
      <c r="H112" t="n">
        <v>1</v>
      </c>
      <c r="I112" t="n">
        <v>2</v>
      </c>
      <c r="J112" t="n">
        <v>0</v>
      </c>
      <c r="K112" t="n">
        <v>0</v>
      </c>
      <c r="L112" t="n">
        <v>0</v>
      </c>
      <c r="M112" t="n">
        <v>0</v>
      </c>
      <c r="N112" t="n">
        <v>0</v>
      </c>
      <c r="O112" t="n">
        <v>0</v>
      </c>
      <c r="P112" t="n">
        <v>0</v>
      </c>
      <c r="Q112" t="n">
        <v>3</v>
      </c>
      <c r="R112" s="2" t="inlineStr">
        <is>
          <t>Svavelriska
Underviol
Blåsippa</t>
        </is>
      </c>
      <c r="S112">
        <f>HYPERLINK("https://klasma.github.io/Logging_2309/artfynd/A 46013-2023 artfynd.xlsx", "A 46013-2023")</f>
        <v/>
      </c>
      <c r="T112">
        <f>HYPERLINK("https://klasma.github.io/Logging_2309/kartor/A 46013-2023 karta.png", "A 46013-2023")</f>
        <v/>
      </c>
      <c r="V112">
        <f>HYPERLINK("https://klasma.github.io/Logging_2309/klagomål/A 46013-2023 FSC-klagomål.docx", "A 46013-2023")</f>
        <v/>
      </c>
      <c r="W112">
        <f>HYPERLINK("https://klasma.github.io/Logging_2309/klagomålsmail/A 46013-2023 FSC-klagomål mail.docx", "A 46013-2023")</f>
        <v/>
      </c>
      <c r="X112">
        <f>HYPERLINK("https://klasma.github.io/Logging_2309/tillsyn/A 46013-2023 tillsynsbegäran.docx", "A 46013-2023")</f>
        <v/>
      </c>
      <c r="Y112">
        <f>HYPERLINK("https://klasma.github.io/Logging_2309/tillsynsmail/A 46013-2023 tillsynsbegäran mail.docx", "A 46013-2023")</f>
        <v/>
      </c>
    </row>
    <row r="113" ht="15" customHeight="1">
      <c r="A113" t="inlineStr">
        <is>
          <t>A 54494-2023</t>
        </is>
      </c>
      <c r="B113" s="1" t="n">
        <v>45233</v>
      </c>
      <c r="C113" s="1" t="n">
        <v>45353</v>
      </c>
      <c r="D113" t="inlineStr">
        <is>
          <t>JÄMTLANDS LÄN</t>
        </is>
      </c>
      <c r="E113" t="inlineStr">
        <is>
          <t>KROKOM</t>
        </is>
      </c>
      <c r="G113" t="n">
        <v>6.2</v>
      </c>
      <c r="H113" t="n">
        <v>1</v>
      </c>
      <c r="I113" t="n">
        <v>2</v>
      </c>
      <c r="J113" t="n">
        <v>0</v>
      </c>
      <c r="K113" t="n">
        <v>0</v>
      </c>
      <c r="L113" t="n">
        <v>0</v>
      </c>
      <c r="M113" t="n">
        <v>0</v>
      </c>
      <c r="N113" t="n">
        <v>0</v>
      </c>
      <c r="O113" t="n">
        <v>0</v>
      </c>
      <c r="P113" t="n">
        <v>0</v>
      </c>
      <c r="Q113" t="n">
        <v>3</v>
      </c>
      <c r="R113" s="2" t="inlineStr">
        <is>
          <t>Finbräken
Tibast
Blåsippa</t>
        </is>
      </c>
      <c r="S113">
        <f>HYPERLINK("https://klasma.github.io/Logging_2309/artfynd/A 54494-2023 artfynd.xlsx", "A 54494-2023")</f>
        <v/>
      </c>
      <c r="T113">
        <f>HYPERLINK("https://klasma.github.io/Logging_2309/kartor/A 54494-2023 karta.png", "A 54494-2023")</f>
        <v/>
      </c>
      <c r="V113">
        <f>HYPERLINK("https://klasma.github.io/Logging_2309/klagomål/A 54494-2023 FSC-klagomål.docx", "A 54494-2023")</f>
        <v/>
      </c>
      <c r="W113">
        <f>HYPERLINK("https://klasma.github.io/Logging_2309/klagomålsmail/A 54494-2023 FSC-klagomål mail.docx", "A 54494-2023")</f>
        <v/>
      </c>
      <c r="X113">
        <f>HYPERLINK("https://klasma.github.io/Logging_2309/tillsyn/A 54494-2023 tillsynsbegäran.docx", "A 54494-2023")</f>
        <v/>
      </c>
      <c r="Y113">
        <f>HYPERLINK("https://klasma.github.io/Logging_2309/tillsynsmail/A 54494-2023 tillsynsbegäran mail.docx", "A 54494-2023")</f>
        <v/>
      </c>
    </row>
    <row r="114" ht="15" customHeight="1">
      <c r="A114" t="inlineStr">
        <is>
          <t>A 42165-2018</t>
        </is>
      </c>
      <c r="B114" s="1" t="n">
        <v>43353</v>
      </c>
      <c r="C114" s="1" t="n">
        <v>45353</v>
      </c>
      <c r="D114" t="inlineStr">
        <is>
          <t>JÄMTLANDS LÄN</t>
        </is>
      </c>
      <c r="E114" t="inlineStr">
        <is>
          <t>KROKOM</t>
        </is>
      </c>
      <c r="G114" t="n">
        <v>2.9</v>
      </c>
      <c r="H114" t="n">
        <v>2</v>
      </c>
      <c r="I114" t="n">
        <v>0</v>
      </c>
      <c r="J114" t="n">
        <v>1</v>
      </c>
      <c r="K114" t="n">
        <v>0</v>
      </c>
      <c r="L114" t="n">
        <v>0</v>
      </c>
      <c r="M114" t="n">
        <v>0</v>
      </c>
      <c r="N114" t="n">
        <v>0</v>
      </c>
      <c r="O114" t="n">
        <v>1</v>
      </c>
      <c r="P114" t="n">
        <v>0</v>
      </c>
      <c r="Q114" t="n">
        <v>2</v>
      </c>
      <c r="R114" s="2" t="inlineStr">
        <is>
          <t>Buskskvätta
Törnskata</t>
        </is>
      </c>
      <c r="S114">
        <f>HYPERLINK("https://klasma.github.io/Logging_2309/artfynd/A 42165-2018 artfynd.xlsx", "A 42165-2018")</f>
        <v/>
      </c>
      <c r="T114">
        <f>HYPERLINK("https://klasma.github.io/Logging_2309/kartor/A 42165-2018 karta.png", "A 42165-2018")</f>
        <v/>
      </c>
      <c r="V114">
        <f>HYPERLINK("https://klasma.github.io/Logging_2309/klagomål/A 42165-2018 FSC-klagomål.docx", "A 42165-2018")</f>
        <v/>
      </c>
      <c r="W114">
        <f>HYPERLINK("https://klasma.github.io/Logging_2309/klagomålsmail/A 42165-2018 FSC-klagomål mail.docx", "A 42165-2018")</f>
        <v/>
      </c>
      <c r="X114">
        <f>HYPERLINK("https://klasma.github.io/Logging_2309/tillsyn/A 42165-2018 tillsynsbegäran.docx", "A 42165-2018")</f>
        <v/>
      </c>
      <c r="Y114">
        <f>HYPERLINK("https://klasma.github.io/Logging_2309/tillsynsmail/A 42165-2018 tillsynsbegäran mail.docx", "A 42165-2018")</f>
        <v/>
      </c>
      <c r="Z114">
        <f>HYPERLINK("https://klasma.github.io/Logging_2309/fåglar/A 42165-2018 prioriterade fågelarter.docx", "A 42165-2018")</f>
        <v/>
      </c>
    </row>
    <row r="115" ht="15" customHeight="1">
      <c r="A115" t="inlineStr">
        <is>
          <t>A 45382-2018</t>
        </is>
      </c>
      <c r="B115" s="1" t="n">
        <v>43362</v>
      </c>
      <c r="C115" s="1" t="n">
        <v>45353</v>
      </c>
      <c r="D115" t="inlineStr">
        <is>
          <t>JÄMTLANDS LÄN</t>
        </is>
      </c>
      <c r="E115" t="inlineStr">
        <is>
          <t>KROKOM</t>
        </is>
      </c>
      <c r="G115" t="n">
        <v>8.199999999999999</v>
      </c>
      <c r="H115" t="n">
        <v>0</v>
      </c>
      <c r="I115" t="n">
        <v>1</v>
      </c>
      <c r="J115" t="n">
        <v>1</v>
      </c>
      <c r="K115" t="n">
        <v>0</v>
      </c>
      <c r="L115" t="n">
        <v>0</v>
      </c>
      <c r="M115" t="n">
        <v>0</v>
      </c>
      <c r="N115" t="n">
        <v>0</v>
      </c>
      <c r="O115" t="n">
        <v>1</v>
      </c>
      <c r="P115" t="n">
        <v>0</v>
      </c>
      <c r="Q115" t="n">
        <v>2</v>
      </c>
      <c r="R115" s="2" t="inlineStr">
        <is>
          <t>Gammelgransskål
Stuplav</t>
        </is>
      </c>
      <c r="S115">
        <f>HYPERLINK("https://klasma.github.io/Logging_2309/artfynd/A 45382-2018 artfynd.xlsx", "A 45382-2018")</f>
        <v/>
      </c>
      <c r="T115">
        <f>HYPERLINK("https://klasma.github.io/Logging_2309/kartor/A 45382-2018 karta.png", "A 45382-2018")</f>
        <v/>
      </c>
      <c r="V115">
        <f>HYPERLINK("https://klasma.github.io/Logging_2309/klagomål/A 45382-2018 FSC-klagomål.docx", "A 45382-2018")</f>
        <v/>
      </c>
      <c r="W115">
        <f>HYPERLINK("https://klasma.github.io/Logging_2309/klagomålsmail/A 45382-2018 FSC-klagomål mail.docx", "A 45382-2018")</f>
        <v/>
      </c>
      <c r="X115">
        <f>HYPERLINK("https://klasma.github.io/Logging_2309/tillsyn/A 45382-2018 tillsynsbegäran.docx", "A 45382-2018")</f>
        <v/>
      </c>
      <c r="Y115">
        <f>HYPERLINK("https://klasma.github.io/Logging_2309/tillsynsmail/A 45382-2018 tillsynsbegäran mail.docx", "A 45382-2018")</f>
        <v/>
      </c>
    </row>
    <row r="116" ht="15" customHeight="1">
      <c r="A116" t="inlineStr">
        <is>
          <t>A 65468-2018</t>
        </is>
      </c>
      <c r="B116" s="1" t="n">
        <v>43433</v>
      </c>
      <c r="C116" s="1" t="n">
        <v>45353</v>
      </c>
      <c r="D116" t="inlineStr">
        <is>
          <t>JÄMTLANDS LÄN</t>
        </is>
      </c>
      <c r="E116" t="inlineStr">
        <is>
          <t>KROKOM</t>
        </is>
      </c>
      <c r="G116" t="n">
        <v>1.5</v>
      </c>
      <c r="H116" t="n">
        <v>2</v>
      </c>
      <c r="I116" t="n">
        <v>0</v>
      </c>
      <c r="J116" t="n">
        <v>0</v>
      </c>
      <c r="K116" t="n">
        <v>1</v>
      </c>
      <c r="L116" t="n">
        <v>0</v>
      </c>
      <c r="M116" t="n">
        <v>0</v>
      </c>
      <c r="N116" t="n">
        <v>0</v>
      </c>
      <c r="O116" t="n">
        <v>1</v>
      </c>
      <c r="P116" t="n">
        <v>1</v>
      </c>
      <c r="Q116" t="n">
        <v>2</v>
      </c>
      <c r="R116" s="2" t="inlineStr">
        <is>
          <t>Knärot
Blåsippa</t>
        </is>
      </c>
      <c r="S116">
        <f>HYPERLINK("https://klasma.github.io/Logging_2309/artfynd/A 65468-2018 artfynd.xlsx", "A 65468-2018")</f>
        <v/>
      </c>
      <c r="T116">
        <f>HYPERLINK("https://klasma.github.io/Logging_2309/kartor/A 65468-2018 karta.png", "A 65468-2018")</f>
        <v/>
      </c>
      <c r="U116">
        <f>HYPERLINK("https://klasma.github.io/Logging_2309/knärot/A 65468-2018 karta knärot.png", "A 65468-2018")</f>
        <v/>
      </c>
      <c r="V116">
        <f>HYPERLINK("https://klasma.github.io/Logging_2309/klagomål/A 65468-2018 FSC-klagomål.docx", "A 65468-2018")</f>
        <v/>
      </c>
      <c r="W116">
        <f>HYPERLINK("https://klasma.github.io/Logging_2309/klagomålsmail/A 65468-2018 FSC-klagomål mail.docx", "A 65468-2018")</f>
        <v/>
      </c>
      <c r="X116">
        <f>HYPERLINK("https://klasma.github.io/Logging_2309/tillsyn/A 65468-2018 tillsynsbegäran.docx", "A 65468-2018")</f>
        <v/>
      </c>
      <c r="Y116">
        <f>HYPERLINK("https://klasma.github.io/Logging_2309/tillsynsmail/A 65468-2018 tillsynsbegäran mail.docx", "A 65468-2018")</f>
        <v/>
      </c>
    </row>
    <row r="117" ht="15" customHeight="1">
      <c r="A117" t="inlineStr">
        <is>
          <t>A 8909-2019</t>
        </is>
      </c>
      <c r="B117" s="1" t="n">
        <v>43503</v>
      </c>
      <c r="C117" s="1" t="n">
        <v>45353</v>
      </c>
      <c r="D117" t="inlineStr">
        <is>
          <t>JÄMTLANDS LÄN</t>
        </is>
      </c>
      <c r="E117" t="inlineStr">
        <is>
          <t>KROKOM</t>
        </is>
      </c>
      <c r="F117" t="inlineStr">
        <is>
          <t>Övriga Aktiebolag</t>
        </is>
      </c>
      <c r="G117" t="n">
        <v>22.7</v>
      </c>
      <c r="H117" t="n">
        <v>0</v>
      </c>
      <c r="I117" t="n">
        <v>1</v>
      </c>
      <c r="J117" t="n">
        <v>1</v>
      </c>
      <c r="K117" t="n">
        <v>0</v>
      </c>
      <c r="L117" t="n">
        <v>0</v>
      </c>
      <c r="M117" t="n">
        <v>0</v>
      </c>
      <c r="N117" t="n">
        <v>0</v>
      </c>
      <c r="O117" t="n">
        <v>1</v>
      </c>
      <c r="P117" t="n">
        <v>0</v>
      </c>
      <c r="Q117" t="n">
        <v>2</v>
      </c>
      <c r="R117" s="2" t="inlineStr">
        <is>
          <t>Granticka
Luddlav</t>
        </is>
      </c>
      <c r="S117">
        <f>HYPERLINK("https://klasma.github.io/Logging_2309/artfynd/A 8909-2019 artfynd.xlsx", "A 8909-2019")</f>
        <v/>
      </c>
      <c r="T117">
        <f>HYPERLINK("https://klasma.github.io/Logging_2309/kartor/A 8909-2019 karta.png", "A 8909-2019")</f>
        <v/>
      </c>
      <c r="V117">
        <f>HYPERLINK("https://klasma.github.io/Logging_2309/klagomål/A 8909-2019 FSC-klagomål.docx", "A 8909-2019")</f>
        <v/>
      </c>
      <c r="W117">
        <f>HYPERLINK("https://klasma.github.io/Logging_2309/klagomålsmail/A 8909-2019 FSC-klagomål mail.docx", "A 8909-2019")</f>
        <v/>
      </c>
      <c r="X117">
        <f>HYPERLINK("https://klasma.github.io/Logging_2309/tillsyn/A 8909-2019 tillsynsbegäran.docx", "A 8909-2019")</f>
        <v/>
      </c>
      <c r="Y117">
        <f>HYPERLINK("https://klasma.github.io/Logging_2309/tillsynsmail/A 8909-2019 tillsynsbegäran mail.docx", "A 8909-2019")</f>
        <v/>
      </c>
    </row>
    <row r="118" ht="15" customHeight="1">
      <c r="A118" t="inlineStr">
        <is>
          <t>A 25930-2019</t>
        </is>
      </c>
      <c r="B118" s="1" t="n">
        <v>43608</v>
      </c>
      <c r="C118" s="1" t="n">
        <v>45353</v>
      </c>
      <c r="D118" t="inlineStr">
        <is>
          <t>JÄMTLANDS LÄN</t>
        </is>
      </c>
      <c r="E118" t="inlineStr">
        <is>
          <t>KROKOM</t>
        </is>
      </c>
      <c r="F118" t="inlineStr">
        <is>
          <t>Övriga Aktiebolag</t>
        </is>
      </c>
      <c r="G118" t="n">
        <v>34.6</v>
      </c>
      <c r="H118" t="n">
        <v>0</v>
      </c>
      <c r="I118" t="n">
        <v>2</v>
      </c>
      <c r="J118" t="n">
        <v>0</v>
      </c>
      <c r="K118" t="n">
        <v>0</v>
      </c>
      <c r="L118" t="n">
        <v>0</v>
      </c>
      <c r="M118" t="n">
        <v>0</v>
      </c>
      <c r="N118" t="n">
        <v>0</v>
      </c>
      <c r="O118" t="n">
        <v>0</v>
      </c>
      <c r="P118" t="n">
        <v>0</v>
      </c>
      <c r="Q118" t="n">
        <v>2</v>
      </c>
      <c r="R118" s="2" t="inlineStr">
        <is>
          <t>Finbräken
Kransrams</t>
        </is>
      </c>
      <c r="S118">
        <f>HYPERLINK("https://klasma.github.io/Logging_2309/artfynd/A 25930-2019 artfynd.xlsx", "A 25930-2019")</f>
        <v/>
      </c>
      <c r="T118">
        <f>HYPERLINK("https://klasma.github.io/Logging_2309/kartor/A 25930-2019 karta.png", "A 25930-2019")</f>
        <v/>
      </c>
      <c r="V118">
        <f>HYPERLINK("https://klasma.github.io/Logging_2309/klagomål/A 25930-2019 FSC-klagomål.docx", "A 25930-2019")</f>
        <v/>
      </c>
      <c r="W118">
        <f>HYPERLINK("https://klasma.github.io/Logging_2309/klagomålsmail/A 25930-2019 FSC-klagomål mail.docx", "A 25930-2019")</f>
        <v/>
      </c>
      <c r="X118">
        <f>HYPERLINK("https://klasma.github.io/Logging_2309/tillsyn/A 25930-2019 tillsynsbegäran.docx", "A 25930-2019")</f>
        <v/>
      </c>
      <c r="Y118">
        <f>HYPERLINK("https://klasma.github.io/Logging_2309/tillsynsmail/A 25930-2019 tillsynsbegäran mail.docx", "A 25930-2019")</f>
        <v/>
      </c>
    </row>
    <row r="119" ht="15" customHeight="1">
      <c r="A119" t="inlineStr">
        <is>
          <t>A 37877-2019</t>
        </is>
      </c>
      <c r="B119" s="1" t="n">
        <v>43682</v>
      </c>
      <c r="C119" s="1" t="n">
        <v>45353</v>
      </c>
      <c r="D119" t="inlineStr">
        <is>
          <t>JÄMTLANDS LÄN</t>
        </is>
      </c>
      <c r="E119" t="inlineStr">
        <is>
          <t>KROKOM</t>
        </is>
      </c>
      <c r="F119" t="inlineStr">
        <is>
          <t>SCA</t>
        </is>
      </c>
      <c r="G119" t="n">
        <v>4.1</v>
      </c>
      <c r="H119" t="n">
        <v>0</v>
      </c>
      <c r="I119" t="n">
        <v>1</v>
      </c>
      <c r="J119" t="n">
        <v>1</v>
      </c>
      <c r="K119" t="n">
        <v>0</v>
      </c>
      <c r="L119" t="n">
        <v>0</v>
      </c>
      <c r="M119" t="n">
        <v>0</v>
      </c>
      <c r="N119" t="n">
        <v>0</v>
      </c>
      <c r="O119" t="n">
        <v>1</v>
      </c>
      <c r="P119" t="n">
        <v>0</v>
      </c>
      <c r="Q119" t="n">
        <v>2</v>
      </c>
      <c r="R119" s="2" t="inlineStr">
        <is>
          <t>Skrovellav
Luddlav</t>
        </is>
      </c>
      <c r="S119">
        <f>HYPERLINK("https://klasma.github.io/Logging_2309/artfynd/A 37877-2019 artfynd.xlsx", "A 37877-2019")</f>
        <v/>
      </c>
      <c r="T119">
        <f>HYPERLINK("https://klasma.github.io/Logging_2309/kartor/A 37877-2019 karta.png", "A 37877-2019")</f>
        <v/>
      </c>
      <c r="V119">
        <f>HYPERLINK("https://klasma.github.io/Logging_2309/klagomål/A 37877-2019 FSC-klagomål.docx", "A 37877-2019")</f>
        <v/>
      </c>
      <c r="W119">
        <f>HYPERLINK("https://klasma.github.io/Logging_2309/klagomålsmail/A 37877-2019 FSC-klagomål mail.docx", "A 37877-2019")</f>
        <v/>
      </c>
      <c r="X119">
        <f>HYPERLINK("https://klasma.github.io/Logging_2309/tillsyn/A 37877-2019 tillsynsbegäran.docx", "A 37877-2019")</f>
        <v/>
      </c>
      <c r="Y119">
        <f>HYPERLINK("https://klasma.github.io/Logging_2309/tillsynsmail/A 37877-2019 tillsynsbegäran mail.docx", "A 37877-2019")</f>
        <v/>
      </c>
    </row>
    <row r="120" ht="15" customHeight="1">
      <c r="A120" t="inlineStr">
        <is>
          <t>A 67215-2019</t>
        </is>
      </c>
      <c r="B120" s="1" t="n">
        <v>43811</v>
      </c>
      <c r="C120" s="1" t="n">
        <v>45353</v>
      </c>
      <c r="D120" t="inlineStr">
        <is>
          <t>JÄMTLANDS LÄN</t>
        </is>
      </c>
      <c r="E120" t="inlineStr">
        <is>
          <t>KROKOM</t>
        </is>
      </c>
      <c r="G120" t="n">
        <v>6.7</v>
      </c>
      <c r="H120" t="n">
        <v>0</v>
      </c>
      <c r="I120" t="n">
        <v>1</v>
      </c>
      <c r="J120" t="n">
        <v>0</v>
      </c>
      <c r="K120" t="n">
        <v>1</v>
      </c>
      <c r="L120" t="n">
        <v>0</v>
      </c>
      <c r="M120" t="n">
        <v>0</v>
      </c>
      <c r="N120" t="n">
        <v>0</v>
      </c>
      <c r="O120" t="n">
        <v>1</v>
      </c>
      <c r="P120" t="n">
        <v>1</v>
      </c>
      <c r="Q120" t="n">
        <v>2</v>
      </c>
      <c r="R120" s="2" t="inlineStr">
        <is>
          <t>Blåfotad fagerspindling
Svavelriska</t>
        </is>
      </c>
      <c r="S120">
        <f>HYPERLINK("https://klasma.github.io/Logging_2309/artfynd/A 67215-2019 artfynd.xlsx", "A 67215-2019")</f>
        <v/>
      </c>
      <c r="T120">
        <f>HYPERLINK("https://klasma.github.io/Logging_2309/kartor/A 67215-2019 karta.png", "A 67215-2019")</f>
        <v/>
      </c>
      <c r="V120">
        <f>HYPERLINK("https://klasma.github.io/Logging_2309/klagomål/A 67215-2019 FSC-klagomål.docx", "A 67215-2019")</f>
        <v/>
      </c>
      <c r="W120">
        <f>HYPERLINK("https://klasma.github.io/Logging_2309/klagomålsmail/A 67215-2019 FSC-klagomål mail.docx", "A 67215-2019")</f>
        <v/>
      </c>
      <c r="X120">
        <f>HYPERLINK("https://klasma.github.io/Logging_2309/tillsyn/A 67215-2019 tillsynsbegäran.docx", "A 67215-2019")</f>
        <v/>
      </c>
      <c r="Y120">
        <f>HYPERLINK("https://klasma.github.io/Logging_2309/tillsynsmail/A 67215-2019 tillsynsbegäran mail.docx", "A 67215-2019")</f>
        <v/>
      </c>
    </row>
    <row r="121" ht="15" customHeight="1">
      <c r="A121" t="inlineStr">
        <is>
          <t>A 68075-2019</t>
        </is>
      </c>
      <c r="B121" s="1" t="n">
        <v>43816</v>
      </c>
      <c r="C121" s="1" t="n">
        <v>45353</v>
      </c>
      <c r="D121" t="inlineStr">
        <is>
          <t>JÄMTLANDS LÄN</t>
        </is>
      </c>
      <c r="E121" t="inlineStr">
        <is>
          <t>KROKOM</t>
        </is>
      </c>
      <c r="F121" t="inlineStr">
        <is>
          <t>SCA</t>
        </is>
      </c>
      <c r="G121" t="n">
        <v>11.3</v>
      </c>
      <c r="H121" t="n">
        <v>0</v>
      </c>
      <c r="I121" t="n">
        <v>0</v>
      </c>
      <c r="J121" t="n">
        <v>2</v>
      </c>
      <c r="K121" t="n">
        <v>0</v>
      </c>
      <c r="L121" t="n">
        <v>0</v>
      </c>
      <c r="M121" t="n">
        <v>0</v>
      </c>
      <c r="N121" t="n">
        <v>0</v>
      </c>
      <c r="O121" t="n">
        <v>2</v>
      </c>
      <c r="P121" t="n">
        <v>0</v>
      </c>
      <c r="Q121" t="n">
        <v>2</v>
      </c>
      <c r="R121" s="2" t="inlineStr">
        <is>
          <t>Garnlav
Lunglav</t>
        </is>
      </c>
      <c r="S121">
        <f>HYPERLINK("https://klasma.github.io/Logging_2309/artfynd/A 68075-2019 artfynd.xlsx", "A 68075-2019")</f>
        <v/>
      </c>
      <c r="T121">
        <f>HYPERLINK("https://klasma.github.io/Logging_2309/kartor/A 68075-2019 karta.png", "A 68075-2019")</f>
        <v/>
      </c>
      <c r="V121">
        <f>HYPERLINK("https://klasma.github.io/Logging_2309/klagomål/A 68075-2019 FSC-klagomål.docx", "A 68075-2019")</f>
        <v/>
      </c>
      <c r="W121">
        <f>HYPERLINK("https://klasma.github.io/Logging_2309/klagomålsmail/A 68075-2019 FSC-klagomål mail.docx", "A 68075-2019")</f>
        <v/>
      </c>
      <c r="X121">
        <f>HYPERLINK("https://klasma.github.io/Logging_2309/tillsyn/A 68075-2019 tillsynsbegäran.docx", "A 68075-2019")</f>
        <v/>
      </c>
      <c r="Y121">
        <f>HYPERLINK("https://klasma.github.io/Logging_2309/tillsynsmail/A 68075-2019 tillsynsbegäran mail.docx", "A 68075-2019")</f>
        <v/>
      </c>
    </row>
    <row r="122" ht="15" customHeight="1">
      <c r="A122" t="inlineStr">
        <is>
          <t>A 54387-2020</t>
        </is>
      </c>
      <c r="B122" s="1" t="n">
        <v>44123</v>
      </c>
      <c r="C122" s="1" t="n">
        <v>45353</v>
      </c>
      <c r="D122" t="inlineStr">
        <is>
          <t>JÄMTLANDS LÄN</t>
        </is>
      </c>
      <c r="E122" t="inlineStr">
        <is>
          <t>KROKOM</t>
        </is>
      </c>
      <c r="G122" t="n">
        <v>4.3</v>
      </c>
      <c r="H122" t="n">
        <v>1</v>
      </c>
      <c r="I122" t="n">
        <v>1</v>
      </c>
      <c r="J122" t="n">
        <v>0</v>
      </c>
      <c r="K122" t="n">
        <v>0</v>
      </c>
      <c r="L122" t="n">
        <v>1</v>
      </c>
      <c r="M122" t="n">
        <v>0</v>
      </c>
      <c r="N122" t="n">
        <v>0</v>
      </c>
      <c r="O122" t="n">
        <v>1</v>
      </c>
      <c r="P122" t="n">
        <v>1</v>
      </c>
      <c r="Q122" t="n">
        <v>2</v>
      </c>
      <c r="R122" s="2" t="inlineStr">
        <is>
          <t>Violett guldvinge
Luddlav</t>
        </is>
      </c>
      <c r="S122">
        <f>HYPERLINK("https://klasma.github.io/Logging_2309/artfynd/A 54387-2020 artfynd.xlsx", "A 54387-2020")</f>
        <v/>
      </c>
      <c r="T122">
        <f>HYPERLINK("https://klasma.github.io/Logging_2309/kartor/A 54387-2020 karta.png", "A 54387-2020")</f>
        <v/>
      </c>
      <c r="V122">
        <f>HYPERLINK("https://klasma.github.io/Logging_2309/klagomål/A 54387-2020 FSC-klagomål.docx", "A 54387-2020")</f>
        <v/>
      </c>
      <c r="W122">
        <f>HYPERLINK("https://klasma.github.io/Logging_2309/klagomålsmail/A 54387-2020 FSC-klagomål mail.docx", "A 54387-2020")</f>
        <v/>
      </c>
      <c r="X122">
        <f>HYPERLINK("https://klasma.github.io/Logging_2309/tillsyn/A 54387-2020 tillsynsbegäran.docx", "A 54387-2020")</f>
        <v/>
      </c>
      <c r="Y122">
        <f>HYPERLINK("https://klasma.github.io/Logging_2309/tillsynsmail/A 54387-2020 tillsynsbegäran mail.docx", "A 54387-2020")</f>
        <v/>
      </c>
    </row>
    <row r="123" ht="15" customHeight="1">
      <c r="A123" t="inlineStr">
        <is>
          <t>A 62641-2020</t>
        </is>
      </c>
      <c r="B123" s="1" t="n">
        <v>44161</v>
      </c>
      <c r="C123" s="1" t="n">
        <v>45353</v>
      </c>
      <c r="D123" t="inlineStr">
        <is>
          <t>JÄMTLANDS LÄN</t>
        </is>
      </c>
      <c r="E123" t="inlineStr">
        <is>
          <t>KROKOM</t>
        </is>
      </c>
      <c r="G123" t="n">
        <v>5.3</v>
      </c>
      <c r="H123" t="n">
        <v>1</v>
      </c>
      <c r="I123" t="n">
        <v>1</v>
      </c>
      <c r="J123" t="n">
        <v>0</v>
      </c>
      <c r="K123" t="n">
        <v>0</v>
      </c>
      <c r="L123" t="n">
        <v>0</v>
      </c>
      <c r="M123" t="n">
        <v>0</v>
      </c>
      <c r="N123" t="n">
        <v>0</v>
      </c>
      <c r="O123" t="n">
        <v>0</v>
      </c>
      <c r="P123" t="n">
        <v>0</v>
      </c>
      <c r="Q123" t="n">
        <v>2</v>
      </c>
      <c r="R123" s="2" t="inlineStr">
        <is>
          <t>Svavelriska
Blåsippa</t>
        </is>
      </c>
      <c r="S123">
        <f>HYPERLINK("https://klasma.github.io/Logging_2309/artfynd/A 62641-2020 artfynd.xlsx", "A 62641-2020")</f>
        <v/>
      </c>
      <c r="T123">
        <f>HYPERLINK("https://klasma.github.io/Logging_2309/kartor/A 62641-2020 karta.png", "A 62641-2020")</f>
        <v/>
      </c>
      <c r="V123">
        <f>HYPERLINK("https://klasma.github.io/Logging_2309/klagomål/A 62641-2020 FSC-klagomål.docx", "A 62641-2020")</f>
        <v/>
      </c>
      <c r="W123">
        <f>HYPERLINK("https://klasma.github.io/Logging_2309/klagomålsmail/A 62641-2020 FSC-klagomål mail.docx", "A 62641-2020")</f>
        <v/>
      </c>
      <c r="X123">
        <f>HYPERLINK("https://klasma.github.io/Logging_2309/tillsyn/A 62641-2020 tillsynsbegäran.docx", "A 62641-2020")</f>
        <v/>
      </c>
      <c r="Y123">
        <f>HYPERLINK("https://klasma.github.io/Logging_2309/tillsynsmail/A 62641-2020 tillsynsbegäran mail.docx", "A 62641-2020")</f>
        <v/>
      </c>
    </row>
    <row r="124" ht="15" customHeight="1">
      <c r="A124" t="inlineStr">
        <is>
          <t>A 1698-2021</t>
        </is>
      </c>
      <c r="B124" s="1" t="n">
        <v>44209</v>
      </c>
      <c r="C124" s="1" t="n">
        <v>45353</v>
      </c>
      <c r="D124" t="inlineStr">
        <is>
          <t>JÄMTLANDS LÄN</t>
        </is>
      </c>
      <c r="E124" t="inlineStr">
        <is>
          <t>KROKOM</t>
        </is>
      </c>
      <c r="G124" t="n">
        <v>21</v>
      </c>
      <c r="H124" t="n">
        <v>2</v>
      </c>
      <c r="I124" t="n">
        <v>0</v>
      </c>
      <c r="J124" t="n">
        <v>2</v>
      </c>
      <c r="K124" t="n">
        <v>0</v>
      </c>
      <c r="L124" t="n">
        <v>0</v>
      </c>
      <c r="M124" t="n">
        <v>0</v>
      </c>
      <c r="N124" t="n">
        <v>0</v>
      </c>
      <c r="O124" t="n">
        <v>2</v>
      </c>
      <c r="P124" t="n">
        <v>0</v>
      </c>
      <c r="Q124" t="n">
        <v>2</v>
      </c>
      <c r="R124" s="2" t="inlineStr">
        <is>
          <t>Spillkråka
Tretåig hackspett</t>
        </is>
      </c>
      <c r="S124">
        <f>HYPERLINK("https://klasma.github.io/Logging_2309/artfynd/A 1698-2021 artfynd.xlsx", "A 1698-2021")</f>
        <v/>
      </c>
      <c r="T124">
        <f>HYPERLINK("https://klasma.github.io/Logging_2309/kartor/A 1698-2021 karta.png", "A 1698-2021")</f>
        <v/>
      </c>
      <c r="V124">
        <f>HYPERLINK("https://klasma.github.io/Logging_2309/klagomål/A 1698-2021 FSC-klagomål.docx", "A 1698-2021")</f>
        <v/>
      </c>
      <c r="W124">
        <f>HYPERLINK("https://klasma.github.io/Logging_2309/klagomålsmail/A 1698-2021 FSC-klagomål mail.docx", "A 1698-2021")</f>
        <v/>
      </c>
      <c r="X124">
        <f>HYPERLINK("https://klasma.github.io/Logging_2309/tillsyn/A 1698-2021 tillsynsbegäran.docx", "A 1698-2021")</f>
        <v/>
      </c>
      <c r="Y124">
        <f>HYPERLINK("https://klasma.github.io/Logging_2309/tillsynsmail/A 1698-2021 tillsynsbegäran mail.docx", "A 1698-2021")</f>
        <v/>
      </c>
      <c r="Z124">
        <f>HYPERLINK("https://klasma.github.io/Logging_2309/fåglar/A 1698-2021 prioriterade fågelarter.docx", "A 1698-2021")</f>
        <v/>
      </c>
    </row>
    <row r="125" ht="15" customHeight="1">
      <c r="A125" t="inlineStr">
        <is>
          <t>A 14589-2021</t>
        </is>
      </c>
      <c r="B125" s="1" t="n">
        <v>44279</v>
      </c>
      <c r="C125" s="1" t="n">
        <v>45353</v>
      </c>
      <c r="D125" t="inlineStr">
        <is>
          <t>JÄMTLANDS LÄN</t>
        </is>
      </c>
      <c r="E125" t="inlineStr">
        <is>
          <t>KROKOM</t>
        </is>
      </c>
      <c r="G125" t="n">
        <v>8.800000000000001</v>
      </c>
      <c r="H125" t="n">
        <v>2</v>
      </c>
      <c r="I125" t="n">
        <v>0</v>
      </c>
      <c r="J125" t="n">
        <v>1</v>
      </c>
      <c r="K125" t="n">
        <v>0</v>
      </c>
      <c r="L125" t="n">
        <v>0</v>
      </c>
      <c r="M125" t="n">
        <v>0</v>
      </c>
      <c r="N125" t="n">
        <v>0</v>
      </c>
      <c r="O125" t="n">
        <v>1</v>
      </c>
      <c r="P125" t="n">
        <v>0</v>
      </c>
      <c r="Q125" t="n">
        <v>2</v>
      </c>
      <c r="R125" s="2" t="inlineStr">
        <is>
          <t>Utter
Fläcknycklar</t>
        </is>
      </c>
      <c r="S125">
        <f>HYPERLINK("https://klasma.github.io/Logging_2309/artfynd/A 14589-2021 artfynd.xlsx", "A 14589-2021")</f>
        <v/>
      </c>
      <c r="T125">
        <f>HYPERLINK("https://klasma.github.io/Logging_2309/kartor/A 14589-2021 karta.png", "A 14589-2021")</f>
        <v/>
      </c>
      <c r="V125">
        <f>HYPERLINK("https://klasma.github.io/Logging_2309/klagomål/A 14589-2021 FSC-klagomål.docx", "A 14589-2021")</f>
        <v/>
      </c>
      <c r="W125">
        <f>HYPERLINK("https://klasma.github.io/Logging_2309/klagomålsmail/A 14589-2021 FSC-klagomål mail.docx", "A 14589-2021")</f>
        <v/>
      </c>
      <c r="X125">
        <f>HYPERLINK("https://klasma.github.io/Logging_2309/tillsyn/A 14589-2021 tillsynsbegäran.docx", "A 14589-2021")</f>
        <v/>
      </c>
      <c r="Y125">
        <f>HYPERLINK("https://klasma.github.io/Logging_2309/tillsynsmail/A 14589-2021 tillsynsbegäran mail.docx", "A 14589-2021")</f>
        <v/>
      </c>
    </row>
    <row r="126" ht="15" customHeight="1">
      <c r="A126" t="inlineStr">
        <is>
          <t>A 20981-2021</t>
        </is>
      </c>
      <c r="B126" s="1" t="n">
        <v>44316</v>
      </c>
      <c r="C126" s="1" t="n">
        <v>45353</v>
      </c>
      <c r="D126" t="inlineStr">
        <is>
          <t>JÄMTLANDS LÄN</t>
        </is>
      </c>
      <c r="E126" t="inlineStr">
        <is>
          <t>KROKOM</t>
        </is>
      </c>
      <c r="G126" t="n">
        <v>27.4</v>
      </c>
      <c r="H126" t="n">
        <v>0</v>
      </c>
      <c r="I126" t="n">
        <v>1</v>
      </c>
      <c r="J126" t="n">
        <v>1</v>
      </c>
      <c r="K126" t="n">
        <v>0</v>
      </c>
      <c r="L126" t="n">
        <v>0</v>
      </c>
      <c r="M126" t="n">
        <v>0</v>
      </c>
      <c r="N126" t="n">
        <v>0</v>
      </c>
      <c r="O126" t="n">
        <v>1</v>
      </c>
      <c r="P126" t="n">
        <v>0</v>
      </c>
      <c r="Q126" t="n">
        <v>2</v>
      </c>
      <c r="R126" s="2" t="inlineStr">
        <is>
          <t>Harticka
Trådticka</t>
        </is>
      </c>
      <c r="S126">
        <f>HYPERLINK("https://klasma.github.io/Logging_2309/artfynd/A 20981-2021 artfynd.xlsx", "A 20981-2021")</f>
        <v/>
      </c>
      <c r="T126">
        <f>HYPERLINK("https://klasma.github.io/Logging_2309/kartor/A 20981-2021 karta.png", "A 20981-2021")</f>
        <v/>
      </c>
      <c r="V126">
        <f>HYPERLINK("https://klasma.github.io/Logging_2309/klagomål/A 20981-2021 FSC-klagomål.docx", "A 20981-2021")</f>
        <v/>
      </c>
      <c r="W126">
        <f>HYPERLINK("https://klasma.github.io/Logging_2309/klagomålsmail/A 20981-2021 FSC-klagomål mail.docx", "A 20981-2021")</f>
        <v/>
      </c>
      <c r="X126">
        <f>HYPERLINK("https://klasma.github.io/Logging_2309/tillsyn/A 20981-2021 tillsynsbegäran.docx", "A 20981-2021")</f>
        <v/>
      </c>
      <c r="Y126">
        <f>HYPERLINK("https://klasma.github.io/Logging_2309/tillsynsmail/A 20981-2021 tillsynsbegäran mail.docx", "A 20981-2021")</f>
        <v/>
      </c>
    </row>
    <row r="127" ht="15" customHeight="1">
      <c r="A127" t="inlineStr">
        <is>
          <t>A 28151-2021</t>
        </is>
      </c>
      <c r="B127" s="1" t="n">
        <v>44355</v>
      </c>
      <c r="C127" s="1" t="n">
        <v>45353</v>
      </c>
      <c r="D127" t="inlineStr">
        <is>
          <t>JÄMTLANDS LÄN</t>
        </is>
      </c>
      <c r="E127" t="inlineStr">
        <is>
          <t>KROKOM</t>
        </is>
      </c>
      <c r="G127" t="n">
        <v>19.6</v>
      </c>
      <c r="H127" t="n">
        <v>0</v>
      </c>
      <c r="I127" t="n">
        <v>0</v>
      </c>
      <c r="J127" t="n">
        <v>2</v>
      </c>
      <c r="K127" t="n">
        <v>0</v>
      </c>
      <c r="L127" t="n">
        <v>0</v>
      </c>
      <c r="M127" t="n">
        <v>0</v>
      </c>
      <c r="N127" t="n">
        <v>0</v>
      </c>
      <c r="O127" t="n">
        <v>2</v>
      </c>
      <c r="P127" t="n">
        <v>0</v>
      </c>
      <c r="Q127" t="n">
        <v>2</v>
      </c>
      <c r="R127" s="2" t="inlineStr">
        <is>
          <t>Granticka
Lunglav</t>
        </is>
      </c>
      <c r="S127">
        <f>HYPERLINK("https://klasma.github.io/Logging_2309/artfynd/A 28151-2021 artfynd.xlsx", "A 28151-2021")</f>
        <v/>
      </c>
      <c r="T127">
        <f>HYPERLINK("https://klasma.github.io/Logging_2309/kartor/A 28151-2021 karta.png", "A 28151-2021")</f>
        <v/>
      </c>
      <c r="V127">
        <f>HYPERLINK("https://klasma.github.io/Logging_2309/klagomål/A 28151-2021 FSC-klagomål.docx", "A 28151-2021")</f>
        <v/>
      </c>
      <c r="W127">
        <f>HYPERLINK("https://klasma.github.io/Logging_2309/klagomålsmail/A 28151-2021 FSC-klagomål mail.docx", "A 28151-2021")</f>
        <v/>
      </c>
      <c r="X127">
        <f>HYPERLINK("https://klasma.github.io/Logging_2309/tillsyn/A 28151-2021 tillsynsbegäran.docx", "A 28151-2021")</f>
        <v/>
      </c>
      <c r="Y127">
        <f>HYPERLINK("https://klasma.github.io/Logging_2309/tillsynsmail/A 28151-2021 tillsynsbegäran mail.docx", "A 28151-2021")</f>
        <v/>
      </c>
    </row>
    <row r="128" ht="15" customHeight="1">
      <c r="A128" t="inlineStr">
        <is>
          <t>A 33874-2021</t>
        </is>
      </c>
      <c r="B128" s="1" t="n">
        <v>44378</v>
      </c>
      <c r="C128" s="1" t="n">
        <v>45353</v>
      </c>
      <c r="D128" t="inlineStr">
        <is>
          <t>JÄMTLANDS LÄN</t>
        </is>
      </c>
      <c r="E128" t="inlineStr">
        <is>
          <t>KROKOM</t>
        </is>
      </c>
      <c r="G128" t="n">
        <v>5.9</v>
      </c>
      <c r="H128" t="n">
        <v>1</v>
      </c>
      <c r="I128" t="n">
        <v>2</v>
      </c>
      <c r="J128" t="n">
        <v>0</v>
      </c>
      <c r="K128" t="n">
        <v>0</v>
      </c>
      <c r="L128" t="n">
        <v>0</v>
      </c>
      <c r="M128" t="n">
        <v>0</v>
      </c>
      <c r="N128" t="n">
        <v>0</v>
      </c>
      <c r="O128" t="n">
        <v>0</v>
      </c>
      <c r="P128" t="n">
        <v>0</v>
      </c>
      <c r="Q128" t="n">
        <v>2</v>
      </c>
      <c r="R128" s="2" t="inlineStr">
        <is>
          <t>Kransrams
Tvåblad</t>
        </is>
      </c>
      <c r="S128">
        <f>HYPERLINK("https://klasma.github.io/Logging_2309/artfynd/A 33874-2021 artfynd.xlsx", "A 33874-2021")</f>
        <v/>
      </c>
      <c r="T128">
        <f>HYPERLINK("https://klasma.github.io/Logging_2309/kartor/A 33874-2021 karta.png", "A 33874-2021")</f>
        <v/>
      </c>
      <c r="V128">
        <f>HYPERLINK("https://klasma.github.io/Logging_2309/klagomål/A 33874-2021 FSC-klagomål.docx", "A 33874-2021")</f>
        <v/>
      </c>
      <c r="W128">
        <f>HYPERLINK("https://klasma.github.io/Logging_2309/klagomålsmail/A 33874-2021 FSC-klagomål mail.docx", "A 33874-2021")</f>
        <v/>
      </c>
      <c r="X128">
        <f>HYPERLINK("https://klasma.github.io/Logging_2309/tillsyn/A 33874-2021 tillsynsbegäran.docx", "A 33874-2021")</f>
        <v/>
      </c>
      <c r="Y128">
        <f>HYPERLINK("https://klasma.github.io/Logging_2309/tillsynsmail/A 33874-2021 tillsynsbegäran mail.docx", "A 33874-2021")</f>
        <v/>
      </c>
    </row>
    <row r="129" ht="15" customHeight="1">
      <c r="A129" t="inlineStr">
        <is>
          <t>A 67700-2021</t>
        </is>
      </c>
      <c r="B129" s="1" t="n">
        <v>44524</v>
      </c>
      <c r="C129" s="1" t="n">
        <v>45353</v>
      </c>
      <c r="D129" t="inlineStr">
        <is>
          <t>JÄMTLANDS LÄN</t>
        </is>
      </c>
      <c r="E129" t="inlineStr">
        <is>
          <t>KROKOM</t>
        </is>
      </c>
      <c r="F129" t="inlineStr">
        <is>
          <t>SCA</t>
        </is>
      </c>
      <c r="G129" t="n">
        <v>1.3</v>
      </c>
      <c r="H129" t="n">
        <v>1</v>
      </c>
      <c r="I129" t="n">
        <v>0</v>
      </c>
      <c r="J129" t="n">
        <v>1</v>
      </c>
      <c r="K129" t="n">
        <v>0</v>
      </c>
      <c r="L129" t="n">
        <v>0</v>
      </c>
      <c r="M129" t="n">
        <v>0</v>
      </c>
      <c r="N129" t="n">
        <v>0</v>
      </c>
      <c r="O129" t="n">
        <v>1</v>
      </c>
      <c r="P129" t="n">
        <v>0</v>
      </c>
      <c r="Q129" t="n">
        <v>2</v>
      </c>
      <c r="R129" s="2" t="inlineStr">
        <is>
          <t>Lunglav
Blåsippa</t>
        </is>
      </c>
      <c r="S129">
        <f>HYPERLINK("https://klasma.github.io/Logging_2309/artfynd/A 67700-2021 artfynd.xlsx", "A 67700-2021")</f>
        <v/>
      </c>
      <c r="T129">
        <f>HYPERLINK("https://klasma.github.io/Logging_2309/kartor/A 67700-2021 karta.png", "A 67700-2021")</f>
        <v/>
      </c>
      <c r="V129">
        <f>HYPERLINK("https://klasma.github.io/Logging_2309/klagomål/A 67700-2021 FSC-klagomål.docx", "A 67700-2021")</f>
        <v/>
      </c>
      <c r="W129">
        <f>HYPERLINK("https://klasma.github.io/Logging_2309/klagomålsmail/A 67700-2021 FSC-klagomål mail.docx", "A 67700-2021")</f>
        <v/>
      </c>
      <c r="X129">
        <f>HYPERLINK("https://klasma.github.io/Logging_2309/tillsyn/A 67700-2021 tillsynsbegäran.docx", "A 67700-2021")</f>
        <v/>
      </c>
      <c r="Y129">
        <f>HYPERLINK("https://klasma.github.io/Logging_2309/tillsynsmail/A 67700-2021 tillsynsbegäran mail.docx", "A 67700-2021")</f>
        <v/>
      </c>
    </row>
    <row r="130" ht="15" customHeight="1">
      <c r="A130" t="inlineStr">
        <is>
          <t>A 71571-2021</t>
        </is>
      </c>
      <c r="B130" s="1" t="n">
        <v>44540</v>
      </c>
      <c r="C130" s="1" t="n">
        <v>45353</v>
      </c>
      <c r="D130" t="inlineStr">
        <is>
          <t>JÄMTLANDS LÄN</t>
        </is>
      </c>
      <c r="E130" t="inlineStr">
        <is>
          <t>KROKOM</t>
        </is>
      </c>
      <c r="G130" t="n">
        <v>0.7</v>
      </c>
      <c r="H130" t="n">
        <v>0</v>
      </c>
      <c r="I130" t="n">
        <v>1</v>
      </c>
      <c r="J130" t="n">
        <v>1</v>
      </c>
      <c r="K130" t="n">
        <v>0</v>
      </c>
      <c r="L130" t="n">
        <v>0</v>
      </c>
      <c r="M130" t="n">
        <v>0</v>
      </c>
      <c r="N130" t="n">
        <v>0</v>
      </c>
      <c r="O130" t="n">
        <v>1</v>
      </c>
      <c r="P130" t="n">
        <v>0</v>
      </c>
      <c r="Q130" t="n">
        <v>2</v>
      </c>
      <c r="R130" s="2" t="inlineStr">
        <is>
          <t>Skrovellav
Kryddspindling</t>
        </is>
      </c>
      <c r="S130">
        <f>HYPERLINK("https://klasma.github.io/Logging_2309/artfynd/A 71571-2021 artfynd.xlsx", "A 71571-2021")</f>
        <v/>
      </c>
      <c r="T130">
        <f>HYPERLINK("https://klasma.github.io/Logging_2309/kartor/A 71571-2021 karta.png", "A 71571-2021")</f>
        <v/>
      </c>
      <c r="V130">
        <f>HYPERLINK("https://klasma.github.io/Logging_2309/klagomål/A 71571-2021 FSC-klagomål.docx", "A 71571-2021")</f>
        <v/>
      </c>
      <c r="W130">
        <f>HYPERLINK("https://klasma.github.io/Logging_2309/klagomålsmail/A 71571-2021 FSC-klagomål mail.docx", "A 71571-2021")</f>
        <v/>
      </c>
      <c r="X130">
        <f>HYPERLINK("https://klasma.github.io/Logging_2309/tillsyn/A 71571-2021 tillsynsbegäran.docx", "A 71571-2021")</f>
        <v/>
      </c>
      <c r="Y130">
        <f>HYPERLINK("https://klasma.github.io/Logging_2309/tillsynsmail/A 71571-2021 tillsynsbegäran mail.docx", "A 71571-2021")</f>
        <v/>
      </c>
    </row>
    <row r="131" ht="15" customHeight="1">
      <c r="A131" t="inlineStr">
        <is>
          <t>A 30060-2022</t>
        </is>
      </c>
      <c r="B131" s="1" t="n">
        <v>44757</v>
      </c>
      <c r="C131" s="1" t="n">
        <v>45353</v>
      </c>
      <c r="D131" t="inlineStr">
        <is>
          <t>JÄMTLANDS LÄN</t>
        </is>
      </c>
      <c r="E131" t="inlineStr">
        <is>
          <t>KROKOM</t>
        </is>
      </c>
      <c r="G131" t="n">
        <v>0.6</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HYPERLINK("https://klasma.github.io/Logging_2309/artfynd/A 30060-2022 artfynd.xlsx", "A 30060-2022")</f>
        <v/>
      </c>
      <c r="T131">
        <f>HYPERLINK("https://klasma.github.io/Logging_2309/kartor/A 30060-2022 karta.png", "A 30060-2022")</f>
        <v/>
      </c>
      <c r="V131">
        <f>HYPERLINK("https://klasma.github.io/Logging_2309/klagomål/A 30060-2022 FSC-klagomål.docx", "A 30060-2022")</f>
        <v/>
      </c>
      <c r="W131">
        <f>HYPERLINK("https://klasma.github.io/Logging_2309/klagomålsmail/A 30060-2022 FSC-klagomål mail.docx", "A 30060-2022")</f>
        <v/>
      </c>
      <c r="X131">
        <f>HYPERLINK("https://klasma.github.io/Logging_2309/tillsyn/A 30060-2022 tillsynsbegäran.docx", "A 30060-2022")</f>
        <v/>
      </c>
      <c r="Y131">
        <f>HYPERLINK("https://klasma.github.io/Logging_2309/tillsynsmail/A 30060-2022 tillsynsbegäran mail.docx", "A 30060-2022")</f>
        <v/>
      </c>
      <c r="Z131">
        <f>HYPERLINK("https://klasma.github.io/Logging_2309/fåglar/A 30060-2022 prioriterade fågelarter.docx", "A 30060-2022")</f>
        <v/>
      </c>
    </row>
    <row r="132" ht="15" customHeight="1">
      <c r="A132" t="inlineStr">
        <is>
          <t>A 54189-2022</t>
        </is>
      </c>
      <c r="B132" s="1" t="n">
        <v>44879</v>
      </c>
      <c r="C132" s="1" t="n">
        <v>45353</v>
      </c>
      <c r="D132" t="inlineStr">
        <is>
          <t>JÄMTLANDS LÄN</t>
        </is>
      </c>
      <c r="E132" t="inlineStr">
        <is>
          <t>KROKOM</t>
        </is>
      </c>
      <c r="G132" t="n">
        <v>24.1</v>
      </c>
      <c r="H132" t="n">
        <v>0</v>
      </c>
      <c r="I132" t="n">
        <v>0</v>
      </c>
      <c r="J132" t="n">
        <v>1</v>
      </c>
      <c r="K132" t="n">
        <v>1</v>
      </c>
      <c r="L132" t="n">
        <v>0</v>
      </c>
      <c r="M132" t="n">
        <v>0</v>
      </c>
      <c r="N132" t="n">
        <v>0</v>
      </c>
      <c r="O132" t="n">
        <v>2</v>
      </c>
      <c r="P132" t="n">
        <v>1</v>
      </c>
      <c r="Q132" t="n">
        <v>2</v>
      </c>
      <c r="R132" s="2" t="inlineStr">
        <is>
          <t>Ulltickeporing
Ullticka</t>
        </is>
      </c>
      <c r="S132">
        <f>HYPERLINK("https://klasma.github.io/Logging_2309/artfynd/A 54189-2022 artfynd.xlsx", "A 54189-2022")</f>
        <v/>
      </c>
      <c r="T132">
        <f>HYPERLINK("https://klasma.github.io/Logging_2309/kartor/A 54189-2022 karta.png", "A 54189-2022")</f>
        <v/>
      </c>
      <c r="V132">
        <f>HYPERLINK("https://klasma.github.io/Logging_2309/klagomål/A 54189-2022 FSC-klagomål.docx", "A 54189-2022")</f>
        <v/>
      </c>
      <c r="W132">
        <f>HYPERLINK("https://klasma.github.io/Logging_2309/klagomålsmail/A 54189-2022 FSC-klagomål mail.docx", "A 54189-2022")</f>
        <v/>
      </c>
      <c r="X132">
        <f>HYPERLINK("https://klasma.github.io/Logging_2309/tillsyn/A 54189-2022 tillsynsbegäran.docx", "A 54189-2022")</f>
        <v/>
      </c>
      <c r="Y132">
        <f>HYPERLINK("https://klasma.github.io/Logging_2309/tillsynsmail/A 54189-2022 tillsynsbegäran mail.docx", "A 54189-2022")</f>
        <v/>
      </c>
    </row>
    <row r="133" ht="15" customHeight="1">
      <c r="A133" t="inlineStr">
        <is>
          <t>A 52021-2023</t>
        </is>
      </c>
      <c r="B133" s="1" t="n">
        <v>45223</v>
      </c>
      <c r="C133" s="1" t="n">
        <v>45353</v>
      </c>
      <c r="D133" t="inlineStr">
        <is>
          <t>JÄMTLANDS LÄN</t>
        </is>
      </c>
      <c r="E133" t="inlineStr">
        <is>
          <t>KROKOM</t>
        </is>
      </c>
      <c r="F133" t="inlineStr">
        <is>
          <t>Övriga Aktiebolag</t>
        </is>
      </c>
      <c r="G133" t="n">
        <v>1.5</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HYPERLINK("https://klasma.github.io/Logging_2309/artfynd/A 52021-2023 artfynd.xlsx", "A 52021-2023")</f>
        <v/>
      </c>
      <c r="T133">
        <f>HYPERLINK("https://klasma.github.io/Logging_2309/kartor/A 52021-2023 karta.png", "A 52021-2023")</f>
        <v/>
      </c>
      <c r="V133">
        <f>HYPERLINK("https://klasma.github.io/Logging_2309/klagomål/A 52021-2023 FSC-klagomål.docx", "A 52021-2023")</f>
        <v/>
      </c>
      <c r="W133">
        <f>HYPERLINK("https://klasma.github.io/Logging_2309/klagomålsmail/A 52021-2023 FSC-klagomål mail.docx", "A 52021-2023")</f>
        <v/>
      </c>
      <c r="X133">
        <f>HYPERLINK("https://klasma.github.io/Logging_2309/tillsyn/A 52021-2023 tillsynsbegäran.docx", "A 52021-2023")</f>
        <v/>
      </c>
      <c r="Y133">
        <f>HYPERLINK("https://klasma.github.io/Logging_2309/tillsynsmail/A 52021-2023 tillsynsbegäran mail.docx", "A 52021-2023")</f>
        <v/>
      </c>
      <c r="Z133">
        <f>HYPERLINK("https://klasma.github.io/Logging_2309/fåglar/A 52021-2023 prioriterade fågelarter.docx", "A 52021-2023")</f>
        <v/>
      </c>
    </row>
    <row r="134" ht="15" customHeight="1">
      <c r="A134" t="inlineStr">
        <is>
          <t>A 56476-2023</t>
        </is>
      </c>
      <c r="B134" s="1" t="n">
        <v>45243</v>
      </c>
      <c r="C134" s="1" t="n">
        <v>45353</v>
      </c>
      <c r="D134" t="inlineStr">
        <is>
          <t>JÄMTLANDS LÄN</t>
        </is>
      </c>
      <c r="E134" t="inlineStr">
        <is>
          <t>KROKOM</t>
        </is>
      </c>
      <c r="G134" t="n">
        <v>19.8</v>
      </c>
      <c r="H134" t="n">
        <v>0</v>
      </c>
      <c r="I134" t="n">
        <v>0</v>
      </c>
      <c r="J134" t="n">
        <v>2</v>
      </c>
      <c r="K134" t="n">
        <v>0</v>
      </c>
      <c r="L134" t="n">
        <v>0</v>
      </c>
      <c r="M134" t="n">
        <v>0</v>
      </c>
      <c r="N134" t="n">
        <v>0</v>
      </c>
      <c r="O134" t="n">
        <v>2</v>
      </c>
      <c r="P134" t="n">
        <v>0</v>
      </c>
      <c r="Q134" t="n">
        <v>2</v>
      </c>
      <c r="R134" s="2" t="inlineStr">
        <is>
          <t>Gammelgransskål
Gränsticka</t>
        </is>
      </c>
      <c r="S134">
        <f>HYPERLINK("https://klasma.github.io/Logging_2309/artfynd/A 56476-2023 artfynd.xlsx", "A 56476-2023")</f>
        <v/>
      </c>
      <c r="T134">
        <f>HYPERLINK("https://klasma.github.io/Logging_2309/kartor/A 56476-2023 karta.png", "A 56476-2023")</f>
        <v/>
      </c>
      <c r="V134">
        <f>HYPERLINK("https://klasma.github.io/Logging_2309/klagomål/A 56476-2023 FSC-klagomål.docx", "A 56476-2023")</f>
        <v/>
      </c>
      <c r="W134">
        <f>HYPERLINK("https://klasma.github.io/Logging_2309/klagomålsmail/A 56476-2023 FSC-klagomål mail.docx", "A 56476-2023")</f>
        <v/>
      </c>
      <c r="X134">
        <f>HYPERLINK("https://klasma.github.io/Logging_2309/tillsyn/A 56476-2023 tillsynsbegäran.docx", "A 56476-2023")</f>
        <v/>
      </c>
      <c r="Y134">
        <f>HYPERLINK("https://klasma.github.io/Logging_2309/tillsynsmail/A 56476-2023 tillsynsbegäran mail.docx", "A 56476-2023")</f>
        <v/>
      </c>
    </row>
    <row r="135" ht="15" customHeight="1">
      <c r="A135" t="inlineStr">
        <is>
          <t>A 35917-2018</t>
        </is>
      </c>
      <c r="B135" s="1" t="n">
        <v>43327</v>
      </c>
      <c r="C135" s="1" t="n">
        <v>45353</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45353</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45353</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45353</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45353</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45353</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45353</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45353</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45353</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45353</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45353</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45353</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45353</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45353</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45353</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45353</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45353</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45353</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45353</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45353</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45353</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45353</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45353</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45353</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45353</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45353</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45353</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45353</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45353</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45353</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45353</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45353</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45353</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45353</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45353</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45353</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45353</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45353</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45353</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45353</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45353</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45353</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45353</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45353</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45353</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45353</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45353</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45353</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45353</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45353</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45353</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45353</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45353</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45353</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45353</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45353</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45353</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45353</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45353</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45353</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45353</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45353</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45353</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45353</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45353</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45353</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45353</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45353</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45353</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45353</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45353</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45353</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45353</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45353</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45353</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45353</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45353</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45353</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45353</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45353</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45353</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45353</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45353</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45353</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45353</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45353</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45353</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45353</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45353</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45353</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45353</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45353</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45353</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45353</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45353</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45353</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45353</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45353</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45353</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45353</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45353</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45353</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45353</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45353</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45353</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45353</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45353</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45353</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45353</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45353</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45353</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45353</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45353</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45353</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45353</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45353</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45353</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45353</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45353</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45353</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45353</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45353</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45353</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45353</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45353</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45353</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45353</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45353</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45353</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45353</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45353</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45353</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45353</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45353</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45353</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45353</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45353</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45353</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45353</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45353</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45353</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45353</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45353</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45353</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45353</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45353</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45353</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45353</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45353</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45353</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45353</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45353</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45353</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45353</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45353</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45353</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45353</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45353</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45353</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45353</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45353</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45353</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45353</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45353</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45353</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45353</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45353</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45353</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45353</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45353</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45353</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45353</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45353</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45353</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45353</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45353</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45353</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45353</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45353</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45353</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45353</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45353</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45353</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45353</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45353</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45353</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45353</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45353</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45353</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45353</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45353</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45353</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45353</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45353</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45353</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45353</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45353</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45353</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45353</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45353</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45353</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45353</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45353</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45353</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45353</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45353</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45353</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45353</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45353</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45353</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45353</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45353</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45353</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45353</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45353</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45353</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45353</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45353</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45353</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45353</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45353</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45353</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45353</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45353</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45353</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45353</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45353</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45353</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45353</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45353</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45353</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45353</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45353</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45353</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45353</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45353</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45353</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45353</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45353</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45353</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45353</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45353</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45353</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45353</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45353</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45353</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45353</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45353</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45353</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45353</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45353</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45353</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45353</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45353</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45353</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45353</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45353</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45353</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45353</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45353</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45353</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45353</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45353</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45353</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45353</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45353</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45353</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45353</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45353</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45353</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45353</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45353</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45353</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45353</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45353</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45353</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45353</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45353</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45353</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45353</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45353</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45353</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45353</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45353</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45353</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45353</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45353</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45353</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45353</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45353</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45353</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45353</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45353</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45353</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45353</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45353</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45353</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45353</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45353</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45353</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45353</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45353</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45353</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45353</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45353</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45353</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45353</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45353</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45353</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45353</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45353</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45353</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45353</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45353</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45353</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45353</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45353</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45353</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45353</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45353</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45353</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45353</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45353</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45353</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45353</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45353</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45353</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45353</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45353</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45353</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45353</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45353</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45353</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45353</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45353</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45353</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45353</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45353</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45353</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45353</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45353</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45353</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45353</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45353</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45353</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45353</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45353</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45353</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45353</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45353</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45353</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45353</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45353</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45353</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45353</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45353</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45353</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45353</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45353</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45353</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45353</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45353</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45353</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45353</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45353</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45353</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45353</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45353</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45353</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45353</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45353</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45353</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45353</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45353</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45353</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45353</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45353</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45353</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45353</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45353</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45353</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45353</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45353</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45353</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45353</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45353</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45353</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45353</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45353</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45353</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45353</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45353</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45353</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45353</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45353</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45353</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45353</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45353</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45353</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45353</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45353</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45353</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45353</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45353</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45353</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45353</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45353</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45353</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45353</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45353</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45353</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45353</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45353</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45353</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45353</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45353</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45353</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45353</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45353</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45353</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45353</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45353</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45353</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45353</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45353</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45353</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45353</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45353</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45353</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45353</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45353</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45353</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45353</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45353</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45353</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45353</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45353</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45353</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45353</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45353</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45353</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45353</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45353</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45353</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45353</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45353</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45353</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45353</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45353</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45353</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45353</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45353</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45353</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45353</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45353</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45353</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45353</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45353</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45353</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45353</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45353</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45353</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45353</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45353</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45353</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45353</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45353</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45353</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45353</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45353</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45353</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45353</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45353</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45353</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45353</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45353</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45353</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45353</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45353</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45353</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45353</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45353</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45353</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45353</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45353</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45353</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45353</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45353</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45353</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45353</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45353</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45353</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45353</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45353</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45353</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45353</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45353</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45353</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45353</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45353</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45353</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45353</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45353</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45353</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45353</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45353</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45353</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45353</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45353</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45353</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45353</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45353</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45353</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45353</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45353</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45353</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45353</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45353</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45353</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45353</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45353</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45353</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45353</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45353</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45353</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45353</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45353</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45353</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45353</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45353</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45353</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45353</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45353</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45353</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45353</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45353</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45353</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45353</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45353</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45353</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45353</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45353</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45353</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45353</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45353</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45353</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45353</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45353</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45353</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45353</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45353</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45353</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45353</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45353</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45353</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45353</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45353</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45353</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45353</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45353</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45353</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45353</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45353</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45353</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45353</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45353</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45353</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45353</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45353</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45353</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45353</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45353</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45353</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45353</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45353</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45353</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45353</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45353</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45353</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45353</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45353</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45353</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45353</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45353</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45353</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45353</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45353</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45353</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45353</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45353</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45353</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45353</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45353</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45353</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45353</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45353</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45353</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45353</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45353</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45353</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45353</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45353</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45353</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45353</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45353</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45353</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45353</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45353</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45353</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45353</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45353</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45353</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45353</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45353</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45353</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45353</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45353</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45353</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45353</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45353</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45353</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45353</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45353</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45353</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45353</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45353</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45353</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45353</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45353</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45353</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45353</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45353</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45353</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45353</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45353</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45353</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45353</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45353</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45353</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45353</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45353</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45353</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45353</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45353</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45353</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45353</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45353</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45353</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45353</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45353</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45353</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45353</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45353</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45353</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45353</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45353</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45353</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45353</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45353</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45353</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45353</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45353</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45353</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45353</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45353</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45353</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45353</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45353</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45353</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45353</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45353</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45353</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45353</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45353</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45353</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45353</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45353</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45353</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45353</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45353</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45353</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45353</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45353</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45353</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45353</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45353</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45353</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45353</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45353</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45353</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45353</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45353</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45353</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45353</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45353</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45353</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45353</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45353</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45353</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45353</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45353</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45353</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45353</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45353</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45353</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45353</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45353</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45353</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45353</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45353</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45353</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45353</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45353</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45353</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45353</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45353</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45353</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45353</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45353</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45353</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45353</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45353</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45353</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45353</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45353</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45353</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45353</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45353</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45353</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45353</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45353</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45353</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45353</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45353</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45353</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45353</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45353</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45353</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45353</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45353</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45353</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45353</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45353</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45353</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45353</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45353</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45353</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45353</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45353</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45353</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45353</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45353</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45353</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45353</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45353</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45353</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45353</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45353</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45353</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45353</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45353</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45353</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45353</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45353</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45353</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45353</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45353</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45353</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45353</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45353</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45353</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45353</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45353</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45353</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45353</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45353</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45353</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45353</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45353</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45353</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45353</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45353</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45353</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45353</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45353</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45353</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45353</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45353</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45353</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45353</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45353</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45353</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45353</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45353</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45353</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45353</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45353</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45353</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45353</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45353</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45353</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45353</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45353</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45353</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45353</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45353</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45353</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45353</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45353</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45353</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45353</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45353</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45353</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45353</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45353</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45353</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45353</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45353</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45353</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45353</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45353</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45353</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45353</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45353</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45353</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45353</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45353</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45353</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45353</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45353</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45353</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45353</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45353</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45353</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45353</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45353</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45353</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45353</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45353</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45353</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45353</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45353</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45353</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45353</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45353</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45353</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45353</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45353</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45353</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45353</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45353</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45353</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45353</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45353</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45353</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45353</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45353</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45353</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45353</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45353</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45353</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45353</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45353</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45353</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45353</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45353</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45353</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45353</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45353</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45353</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45353</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45353</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45353</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45353</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45353</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45353</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45353</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45353</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45353</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45353</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45353</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45353</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45353</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45353</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45353</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45353</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45353</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45353</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45353</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45353</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45353</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45353</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45353</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45353</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45353</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45353</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45353</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45353</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45353</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45353</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45353</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45353</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45353</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45353</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45353</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45353</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45353</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45353</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45353</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45353</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45353</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45353</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45353</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45353</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45353</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45353</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45353</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45353</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45353</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45353</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45353</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45353</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45353</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45353</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45353</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45353</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45353</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45353</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45353</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45353</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45353</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45353</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45353</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45353</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45353</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45353</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45353</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45353</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45353</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45353</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45353</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45353</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45353</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45353</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45353</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45353</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45353</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45353</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45353</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45353</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45353</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45353</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45353</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45353</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45353</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45353</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45353</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45353</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45353</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45353</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45353</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45353</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45353</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45353</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45353</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45353</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45353</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45353</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45353</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45353</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45353</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45353</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45353</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45353</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45353</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45353</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45353</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45353</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45353</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45353</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45353</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45353</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45353</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45353</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45353</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45353</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45353</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45353</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45353</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45353</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45353</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45353</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45353</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45353</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45353</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45353</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45353</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45353</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45353</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45353</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45353</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45353</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45353</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45353</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45353</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45353</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45353</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45353</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45353</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45353</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45353</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45353</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45353</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45353</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45353</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45353</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45353</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45353</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45353</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45353</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45353</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45353</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45353</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45353</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45353</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45353</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45353</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45353</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45353</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45353</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45353</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45353</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45353</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45353</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45353</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45353</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45353</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45353</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45353</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45353</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45353</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45353</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45353</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45353</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45353</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45353</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45353</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45353</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45353</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45353</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45353</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45353</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45353</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45353</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45353</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45353</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45353</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45353</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45353</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45353</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45353</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45353</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45353</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45353</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45353</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45353</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45353</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45353</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45353</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45353</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45353</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45353</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45353</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45353</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45353</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45353</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45353</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45353</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45353</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45353</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45353</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45353</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45353</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45353</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45353</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45353</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45353</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45353</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45353</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45353</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45353</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45353</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45353</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45353</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45353</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45353</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45353</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45353</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4353-2024</t>
        </is>
      </c>
      <c r="B1233" s="1" t="n">
        <v>45324</v>
      </c>
      <c r="C1233" s="1" t="n">
        <v>45353</v>
      </c>
      <c r="D1233" t="inlineStr">
        <is>
          <t>JÄMTLANDS LÄN</t>
        </is>
      </c>
      <c r="E1233" t="inlineStr">
        <is>
          <t>KROKOM</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4355-2024</t>
        </is>
      </c>
      <c r="B1234" s="1" t="n">
        <v>45324</v>
      </c>
      <c r="C1234" s="1" t="n">
        <v>45353</v>
      </c>
      <c r="D1234" t="inlineStr">
        <is>
          <t>JÄMTLANDS LÄN</t>
        </is>
      </c>
      <c r="E1234" t="inlineStr">
        <is>
          <t>KROKOM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4354-2024</t>
        </is>
      </c>
      <c r="B1235" s="1" t="n">
        <v>45324</v>
      </c>
      <c r="C1235" s="1" t="n">
        <v>45353</v>
      </c>
      <c r="D1235" t="inlineStr">
        <is>
          <t>JÄMTLANDS LÄN</t>
        </is>
      </c>
      <c r="E1235" t="inlineStr">
        <is>
          <t>KROKOM</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5440-2024</t>
        </is>
      </c>
      <c r="B1236" s="1" t="n">
        <v>45331</v>
      </c>
      <c r="C1236" s="1" t="n">
        <v>45353</v>
      </c>
      <c r="D1236" t="inlineStr">
        <is>
          <t>JÄMTLANDS LÄN</t>
        </is>
      </c>
      <c r="E1236" t="inlineStr">
        <is>
          <t>KROKOM</t>
        </is>
      </c>
      <c r="F1236" t="inlineStr">
        <is>
          <t>SCA</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45353</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5437-2024</t>
        </is>
      </c>
      <c r="B1238" s="1" t="n">
        <v>45331</v>
      </c>
      <c r="C1238" s="1" t="n">
        <v>45353</v>
      </c>
      <c r="D1238" t="inlineStr">
        <is>
          <t>JÄMTLANDS LÄN</t>
        </is>
      </c>
      <c r="E1238" t="inlineStr">
        <is>
          <t>KROKOM</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45353</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45353</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45353</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6482-2024</t>
        </is>
      </c>
      <c r="B1242" s="1" t="n">
        <v>45338</v>
      </c>
      <c r="C1242" s="1" t="n">
        <v>45353</v>
      </c>
      <c r="D1242" t="inlineStr">
        <is>
          <t>JÄMTLANDS LÄN</t>
        </is>
      </c>
      <c r="E1242" t="inlineStr">
        <is>
          <t>KROKOM</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45353</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6898-2024</t>
        </is>
      </c>
      <c r="B1244" s="1" t="n">
        <v>45342</v>
      </c>
      <c r="C1244" s="1" t="n">
        <v>45353</v>
      </c>
      <c r="D1244" t="inlineStr">
        <is>
          <t>JÄMTLANDS LÄN</t>
        </is>
      </c>
      <c r="E1244" t="inlineStr">
        <is>
          <t>KROKOM</t>
        </is>
      </c>
      <c r="F1244" t="inlineStr">
        <is>
          <t>SCA</t>
        </is>
      </c>
      <c r="G1244" t="n">
        <v>30.7</v>
      </c>
      <c r="H1244" t="n">
        <v>0</v>
      </c>
      <c r="I1244" t="n">
        <v>0</v>
      </c>
      <c r="J1244" t="n">
        <v>0</v>
      </c>
      <c r="K1244" t="n">
        <v>0</v>
      </c>
      <c r="L1244" t="n">
        <v>0</v>
      </c>
      <c r="M1244" t="n">
        <v>0</v>
      </c>
      <c r="N1244" t="n">
        <v>0</v>
      </c>
      <c r="O1244" t="n">
        <v>0</v>
      </c>
      <c r="P1244" t="n">
        <v>0</v>
      </c>
      <c r="Q1244" t="n">
        <v>0</v>
      </c>
      <c r="R1244" s="2" t="inlineStr"/>
    </row>
    <row r="1245" ht="15" customHeight="1">
      <c r="A1245" t="inlineStr">
        <is>
          <t>A 6900-2024</t>
        </is>
      </c>
      <c r="B1245" s="1" t="n">
        <v>45342</v>
      </c>
      <c r="C1245" s="1" t="n">
        <v>45353</v>
      </c>
      <c r="D1245" t="inlineStr">
        <is>
          <t>JÄMTLANDS LÄN</t>
        </is>
      </c>
      <c r="E1245" t="inlineStr">
        <is>
          <t>KROKOM</t>
        </is>
      </c>
      <c r="F1245" t="inlineStr">
        <is>
          <t>SCA</t>
        </is>
      </c>
      <c r="G1245" t="n">
        <v>64.59999999999999</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45353</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7763-2024</t>
        </is>
      </c>
      <c r="B1247" s="1" t="n">
        <v>45348</v>
      </c>
      <c r="C1247" s="1" t="n">
        <v>45353</v>
      </c>
      <c r="D1247" t="inlineStr">
        <is>
          <t>JÄMTLANDS LÄN</t>
        </is>
      </c>
      <c r="E1247" t="inlineStr">
        <is>
          <t>KROKOM</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7761-2024</t>
        </is>
      </c>
      <c r="B1248" s="1" t="n">
        <v>45348</v>
      </c>
      <c r="C1248" s="1" t="n">
        <v>45353</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7735-2024</t>
        </is>
      </c>
      <c r="B1249" s="1" t="n">
        <v>45349</v>
      </c>
      <c r="C1249" s="1" t="n">
        <v>45353</v>
      </c>
      <c r="D1249" t="inlineStr">
        <is>
          <t>JÄMTLANDS LÄN</t>
        </is>
      </c>
      <c r="E1249" t="inlineStr">
        <is>
          <t>KROKOM</t>
        </is>
      </c>
      <c r="F1249" t="inlineStr">
        <is>
          <t>Allmännings- och besparingsskogar</t>
        </is>
      </c>
      <c r="G1249" t="n">
        <v>36.1</v>
      </c>
      <c r="H1249" t="n">
        <v>0</v>
      </c>
      <c r="I1249" t="n">
        <v>0</v>
      </c>
      <c r="J1249" t="n">
        <v>0</v>
      </c>
      <c r="K1249" t="n">
        <v>0</v>
      </c>
      <c r="L1249" t="n">
        <v>0</v>
      </c>
      <c r="M1249" t="n">
        <v>0</v>
      </c>
      <c r="N1249" t="n">
        <v>0</v>
      </c>
      <c r="O1249" t="n">
        <v>0</v>
      </c>
      <c r="P1249" t="n">
        <v>0</v>
      </c>
      <c r="Q1249" t="n">
        <v>0</v>
      </c>
      <c r="R1249" s="2" t="inlineStr"/>
    </row>
    <row r="1250" ht="15" customHeight="1">
      <c r="A1250" t="inlineStr">
        <is>
          <t>A 7863-2024</t>
        </is>
      </c>
      <c r="B1250" s="1" t="n">
        <v>45350</v>
      </c>
      <c r="C1250" s="1" t="n">
        <v>45353</v>
      </c>
      <c r="D1250" t="inlineStr">
        <is>
          <t>JÄMTLANDS LÄN</t>
        </is>
      </c>
      <c r="E1250" t="inlineStr">
        <is>
          <t>KROKOM</t>
        </is>
      </c>
      <c r="G1250" t="n">
        <v>8</v>
      </c>
      <c r="H1250" t="n">
        <v>0</v>
      </c>
      <c r="I1250" t="n">
        <v>0</v>
      </c>
      <c r="J1250" t="n">
        <v>0</v>
      </c>
      <c r="K1250" t="n">
        <v>0</v>
      </c>
      <c r="L1250" t="n">
        <v>0</v>
      </c>
      <c r="M1250" t="n">
        <v>0</v>
      </c>
      <c r="N1250" t="n">
        <v>0</v>
      </c>
      <c r="O1250" t="n">
        <v>0</v>
      </c>
      <c r="P1250" t="n">
        <v>0</v>
      </c>
      <c r="Q1250" t="n">
        <v>0</v>
      </c>
      <c r="R1250" s="2" t="inlineStr"/>
    </row>
    <row r="1251">
      <c r="A1251" t="inlineStr">
        <is>
          <t>A 8130-2024</t>
        </is>
      </c>
      <c r="B1251" s="1" t="n">
        <v>45351</v>
      </c>
      <c r="C1251" s="1" t="n">
        <v>45353</v>
      </c>
      <c r="D1251" t="inlineStr">
        <is>
          <t>JÄMTLANDS LÄN</t>
        </is>
      </c>
      <c r="E1251" t="inlineStr">
        <is>
          <t>KROKOM</t>
        </is>
      </c>
      <c r="G1251" t="n">
        <v>10.9</v>
      </c>
      <c r="H1251" t="n">
        <v>0</v>
      </c>
      <c r="I1251" t="n">
        <v>0</v>
      </c>
      <c r="J1251" t="n">
        <v>0</v>
      </c>
      <c r="K1251" t="n">
        <v>0</v>
      </c>
      <c r="L1251" t="n">
        <v>0</v>
      </c>
      <c r="M1251" t="n">
        <v>0</v>
      </c>
      <c r="N1251" t="n">
        <v>0</v>
      </c>
      <c r="O1251" t="n">
        <v>0</v>
      </c>
      <c r="P1251" t="n">
        <v>0</v>
      </c>
      <c r="Q1251" t="n">
        <v>0</v>
      </c>
      <c r="R125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2024-03-02T13:07:58Z</dcterms:created>
  <dcterms:modified xmlns:dcterms="http://purl.org/dc/terms/" xmlns:xsi="http://www.w3.org/2001/XMLSchema-instance" xsi:type="dcterms:W3CDTF">2024-03-02T13:07:59Z</dcterms:modified>
</cp:coreProperties>
</file>